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Data_wide" sheetId="3" state="visible" r:id="rId3"/>
    <sheet xmlns:r="http://schemas.openxmlformats.org/officeDocument/2006/relationships" name="Data_long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Spec" sheetId="6" state="visible" r:id="rId6"/>
    <sheet xmlns:r="http://schemas.openxmlformats.org/officeDocument/2006/relationships" name="Calib" sheetId="7" state="visible" r:id="rId7"/>
    <sheet xmlns:r="http://schemas.openxmlformats.org/officeDocument/2006/relationships" name="Model" sheetId="8" state="visible" r:id="rId8"/>
    <sheet xmlns:r="http://schemas.openxmlformats.org/officeDocument/2006/relationships" name="Outputs" sheetId="9" state="visible" r:id="rId9"/>
    <sheet xmlns:r="http://schemas.openxmlformats.org/officeDocument/2006/relationships" name="Interface" sheetId="10" state="visible" r:id="rId10"/>
    <sheet xmlns:r="http://schemas.openxmlformats.org/officeDocument/2006/relationships" name="Check" sheetId="11" state="visible" r:id="rId11"/>
    <sheet xmlns:r="http://schemas.openxmlformats.org/officeDocument/2006/relationships" name="Calc" sheetId="12" state="visible" r:id="rId12"/>
  </sheets>
  <definedNames>
    <definedName name="p_alpha">Assumptions!$B$2</definedName>
    <definedName name="p_delta">Assumptions!$B$3</definedName>
    <definedName name="p_delta_g">Assumptions!$B$4</definedName>
    <definedName name="p_lambda_k">Assumptions!$B$5</definedName>
    <definedName name="p_lambda_f">Assumptions!$B$6</definedName>
    <definedName name="p_lambda_f_res">Assumptions!$B$7</definedName>
    <definedName name="p_res_threshold">Assumptions!$B$8</definedName>
    <definedName name="p_eta">Assumptions!$B$9</definedName>
    <definedName name="p_rk">Assumptions!$B$10</definedName>
    <definedName name="p_amort">Assumptions!$B$11</definedName>
    <definedName name="p_tr_target">Assumptions!$B$12</definedName>
    <definedName name="p_gov_take">Assumptions!$B$13</definedName>
    <definedName name="p_rent_decline">Assumptions!$B$14</definedName>
    <definedName name="p_programme">Assumptions!$B$15</definedName>
    <definedName name="p_pricing">Assumptions!$B$16</definedName>
    <definedName name="p_sh_grant">Assumptions!$B$17</definedName>
    <definedName name="p_sh_conc">Assumptions!$B$18</definedName>
    <definedName name="p_dis_year">Assumptions!$B$19</definedName>
    <definedName name="p_eps_k">Assumptions!$B$20</definedName>
    <definedName name="p_eps_g">Assumptions!$B$21</definedName>
    <definedName name="p_eps_a">Assumptions!$B$22</definedName>
    <definedName name="p_rho_a">Assumptions!$B$23</definedName>
    <definedName name="dl_iso">Data_long!$A$2:$A$937</definedName>
    <definedName name="dl_ind">Data_long!$B$2:$B$937</definedName>
    <definedName name="dl_year">Data_long!$C$2:$C$937</definedName>
    <definedName name="dl_val">Data_long!$D$2:$D$937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0E1B2A"/>
      <sz val="18"/>
    </font>
    <font>
      <name val="Arial"/>
      <i val="1"/>
      <color rgb="005A6B7B"/>
      <sz val="9"/>
    </font>
    <font>
      <name val="Arial"/>
      <b val="1"/>
      <color rgb="000E1B2A"/>
      <sz val="10"/>
    </font>
    <font>
      <name val="Arial"/>
      <color rgb="000E1B2A"/>
      <sz val="10"/>
    </font>
    <font>
      <name val="Arial"/>
      <b val="1"/>
      <color rgb="00FFFFFF"/>
      <sz val="9"/>
    </font>
    <font>
      <name val="Arial"/>
      <b val="1"/>
      <color rgb="000E1B2A"/>
      <sz val="9"/>
    </font>
    <font>
      <name val="Arial"/>
      <color rgb="000E1B2A"/>
      <sz val="9"/>
    </font>
    <font>
      <name val="Arial"/>
      <color rgb="005A6B7B"/>
      <sz val="9"/>
    </font>
    <font>
      <name val="Arial"/>
      <color rgb="000E1B2A"/>
      <sz val="8"/>
    </font>
    <font>
      <name val="Arial"/>
      <b val="1"/>
      <color rgb="000E1B2A"/>
      <sz val="11"/>
    </font>
    <font>
      <name val="Arial"/>
      <b val="1"/>
      <color rgb="00C05621"/>
      <sz val="11"/>
    </font>
    <font>
      <name val="Arial"/>
      <color rgb="005A6B7B"/>
      <sz val="8"/>
    </font>
  </fonts>
  <fills count="5">
    <fill>
      <patternFill/>
    </fill>
    <fill>
      <patternFill patternType="gray125"/>
    </fill>
    <fill>
      <patternFill patternType="solid">
        <fgColor rgb="000E1B2A"/>
      </patternFill>
    </fill>
    <fill>
      <patternFill patternType="solid">
        <fgColor rgb="00FFF2CC"/>
      </patternFill>
    </fill>
    <fill>
      <patternFill patternType="solid">
        <fgColor rgb="00E3EAF2"/>
      </patternFill>
    </fill>
  </fills>
  <borders count="2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0" fillId="0" borderId="0" pivotButton="0" quotePrefix="0" xfId="0"/>
    <xf numFmtId="0" fontId="10" fillId="3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2" fontId="3" fillId="0" borderId="1" pivotButton="0" quotePrefix="0" xfId="0"/>
    <xf numFmtId="1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5" fillId="2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3" fillId="3" borderId="1" pivotButton="0" quotePrefix="0" xfId="0"/>
    <xf numFmtId="0" fontId="8" fillId="0" borderId="0" pivotButton="0" quotePrefix="0" xfId="0"/>
    <xf numFmtId="0" fontId="7" fillId="4" borderId="0" pivotButton="0" quotePrefix="0" xfId="0"/>
    <xf numFmtId="164" fontId="7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2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(2024 = 100)</a:t>
            </a:r>
          </a:p>
        </rich>
      </tx>
    </title>
    <plotArea>
      <lineChart>
        <grouping val="standard"/>
        <ser>
          <idx val="0"/>
          <order val="0"/>
          <tx>
            <strRef>
              <f>'Calc'!A2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'Calc'!$B$2:$AB$2</f>
            </numRef>
          </val>
        </ser>
        <ser>
          <idx val="1"/>
          <order val="1"/>
          <tx>
            <strRef>
              <f>'Calc'!A3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'Calc'!$B$3:$AB$3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Public debt, % of GDP</a:t>
            </a:r>
          </a:p>
        </rich>
      </tx>
    </title>
    <plotArea>
      <lineChart>
        <grouping val="standard"/>
        <ser>
          <idx val="0"/>
          <order val="0"/>
          <tx>
            <strRef>
              <f>'Calc'!A4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'Calc'!$B$4:$AB$4</f>
            </numRef>
          </val>
        </ser>
        <ser>
          <idx val="1"/>
          <order val="1"/>
          <tx>
            <strRef>
              <f>'Calc'!A5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'Calc'!$B$5:$AB$5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Transfers (fiscal rule), % of GDP</a:t>
            </a:r>
          </a:p>
        </rich>
      </tx>
    </title>
    <plotArea>
      <lineChart>
        <grouping val="standard"/>
        <ser>
          <idx val="0"/>
          <order val="0"/>
          <tx>
            <strRef>
              <f>'Calc'!A6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'Calc'!$B$6:$AB$6</f>
            </numRef>
          </val>
        </ser>
        <ser>
          <idx val="1"/>
          <order val="1"/>
          <tx>
            <strRef>
              <f>'Calc'!A7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'Calc'!$B$7:$AB$7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Programme, pricing revenue and rents, % of GDP</a:t>
            </a:r>
          </a:p>
        </rich>
      </tx>
    </title>
    <plotArea>
      <lineChart>
        <grouping val="standard"/>
        <ser>
          <idx val="0"/>
          <order val="0"/>
          <tx>
            <strRef>
              <f>'Calc'!A8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'Calc'!$B$8:$AB$8</f>
            </numRef>
          </val>
        </ser>
        <ser>
          <idx val="1"/>
          <order val="1"/>
          <tx>
            <strRef>
              <f>'Calc'!A9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'Calc'!$B$9:$AB$9</f>
            </numRef>
          </val>
        </ser>
        <ser>
          <idx val="2"/>
          <order val="2"/>
          <tx>
            <strRef>
              <f>'Calc'!A10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'Calc'!$B$10:$AB$10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34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49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12" customWidth="1" min="3" max="3"/>
  </cols>
  <sheetData>
    <row r="2">
      <c r="B2" s="1" t="inlineStr">
        <is>
          <t>DIGNAD-R Excel</t>
        </is>
      </c>
    </row>
    <row r="3">
      <c r="B3" s="2" t="inlineStr">
        <is>
          <t>Version 0.1. Proof of concept: a recursive, formula-only DIGNAD-lite / DIGNAR-lite for 12 countries, 2024-2050.</t>
        </is>
      </c>
    </row>
    <row r="5" ht="60" customHeight="1">
      <c r="B5" s="3" t="inlineStr">
        <is>
          <t>What it is</t>
        </is>
      </c>
      <c r="C5" s="4" t="inlineStr">
        <is>
          <t>A simplified DIGNAD (Debt-Investment-Growth and Natural Disasters) with the DIGNAR resource block, written entirely in Excel formulas, computed for all countries at once. It answers: what does the NMIM public investment need, financed by grants, concessional and commercial debt and earmarked carbon-pricing revenue, do to GDP, public debt, transfers and the poorest households, with and without a global fall in fossil rents?</t>
        </is>
      </c>
    </row>
    <row r="7" ht="75" customHeight="1">
      <c r="B7" s="3" t="inlineStr">
        <is>
          <t>How it differs from DIGNAD-lite</t>
        </is>
      </c>
      <c r="C7" s="4" t="inlineStr">
        <is>
          <t>DIGNAD-lite (Python) solves the whole path at once with forward-looking savers. Here every year follows from the previous one: private capital closes a share of the gap to its desired level each year (p_lambda_k) instead of a forward-looking investment choice, and savers' consumption is not modelled. The supply side (production with public capital and efficiency), the budget, the three kinds of financing, the debt-elastic commercial rate, the fiscal rule, the resource block and the disaster shock follow DIGNAD-lite. See the Check sheet for how close the two are.</t>
        </is>
      </c>
    </row>
    <row r="9" ht="45" customHeight="1">
      <c r="B9" s="3" t="inlineStr">
        <is>
          <t>How to use it</t>
        </is>
      </c>
      <c r="C9" s="4" t="inlineStr">
        <is>
          <t>Country sheet: pick a country (yellow cell); see the two scenarios and the charts. Assumptions sheet: change any yellow cell (named p_...), e.g. p_dis_year = 2030 for a disaster, p_pricing = 0 to drop the earmarked revenue, p_sh_grant for more grant financing. Everything recalculates (F9 if not automatic).</t>
        </is>
      </c>
    </row>
    <row r="11" ht="60" customHeight="1">
      <c r="B11" s="3" t="inlineStr">
        <is>
          <t>Scenarios</t>
        </is>
      </c>
      <c r="C11" s="4" t="inlineStr">
        <is>
          <t>Baseline (B): no programme; fossil rents still fall (a global transition). Programme (P): the NMIM incremental budget need (capital builds public capital; land-use and non-CO2 spending does not), financed by p_sh_grant grants, p_sh_conc concessional loans and the rest commercial, less earmarked pricing revenue. P versus B isolates the programme; P versus 2024 is the total.</t>
        </is>
      </c>
    </row>
    <row r="13" ht="45" customHeight="1">
      <c r="B13" s="3" t="inlineStr">
        <is>
          <t>Inputs (dashboard norms)</t>
        </is>
      </c>
      <c r="C13" s="4" t="inlineStr">
        <is>
          <t>Data_wide: one row per country, dashboard columns (same codes as the Tax and Macro-Fiscal Dashboard) then the augmented block (shaded; income-group defaults until the data are added to the dashboard), then __year columns. Data_long: annual paths (iso3, indicator, year, value, source). Spec: every input with its block and source.</t>
        </is>
      </c>
    </row>
    <row r="15" ht="30" customHeight="1">
      <c r="B15" s="3" t="inlineStr">
        <is>
          <t>Outputs (for a master tool)</t>
        </is>
      </c>
      <c r="C15" s="4" t="inlineStr">
        <is>
          <t>Outputs sheet: results in the dashboard's long form (iso3, country, indicator, year, value, source), codes dig.*. Interface sheet: the contract - what the module needs and what it passes.</t>
        </is>
      </c>
    </row>
    <row r="17" ht="30" customHeight="1">
      <c r="B17" s="3" t="inlineStr">
        <is>
          <t>Sheets</t>
        </is>
      </c>
      <c r="C17" s="4" t="inlineStr">
        <is>
          <t>Country (view), Assumptions, Data_wide, Data_long, Spec, Calib (per-country calibration, formulas), Model (one row per country-year, both scenarios, formulas), Outputs, Interface, Check.</t>
        </is>
      </c>
    </row>
    <row r="19" ht="30" customHeight="1">
      <c r="B19" s="3" t="inlineStr">
        <is>
          <t>Read with care</t>
        </is>
      </c>
      <c r="C19" s="4" t="inlineStr">
        <is>
          <t>Illustrative calibration; four augmented inputs are income-group defaults. No energy savings, no private investment push, no exchange rate. A proof of concept, not a forecast.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4" customWidth="1" min="3" max="3"/>
    <col width="14" customWidth="1" min="4" max="4"/>
    <col width="14" customWidth="1" min="5" max="5"/>
    <col width="2" customWidth="1" min="6" max="6"/>
    <col width="2" customWidth="1" min="7" max="7"/>
    <col width="2" customWidth="1" min="8" max="8"/>
  </cols>
  <sheetData>
    <row r="2">
      <c r="B2" s="1" t="inlineStr">
        <is>
          <t>DIGNAD-R Excel: one country</t>
        </is>
      </c>
    </row>
    <row r="3">
      <c r="B3" s="2" t="inlineStr">
        <is>
          <t>Version 0.1. Recursive DIGNAD-lite / DIGNAR-lite, all formulas. Illustrative calibration.</t>
        </is>
      </c>
    </row>
    <row r="5">
      <c r="B5" s="5" t="inlineStr">
        <is>
          <t>Country (pick)</t>
        </is>
      </c>
      <c r="C5" s="6" t="inlineStr">
        <is>
          <t>Kenya</t>
        </is>
      </c>
      <c r="E5" s="7">
        <f>INDEX(Calib!$A$2:$A$13,MATCH(C5,Calib!$B$2:$B$13,0))</f>
        <v/>
      </c>
    </row>
    <row r="6">
      <c r="B6" s="8" t="inlineStr">
        <is>
          <t>First row of the country in Model</t>
        </is>
      </c>
      <c r="C6" s="8">
        <f>MATCH(E5,Model!$A$2:$A$325,0)+1</f>
        <v/>
      </c>
    </row>
    <row r="8">
      <c r="B8" s="9" t="inlineStr">
        <is>
          <t>Calibration</t>
        </is>
      </c>
      <c r="C8" s="10" t="n"/>
      <c r="D8" s="10" t="n"/>
      <c r="E8" s="10" t="n"/>
    </row>
    <row r="9">
      <c r="B9" s="11" t="inlineStr">
        <is>
          <t>Public investment efficiency s</t>
        </is>
      </c>
      <c r="C9" s="12">
        <f>INDEX(Calib!$E$1:$E$13,MATCH($E$5,Calib!$A$2:$A$13,0)+1)</f>
        <v/>
      </c>
    </row>
    <row r="10">
      <c r="B10" s="11" t="inlineStr">
        <is>
          <t>Return on public capital</t>
        </is>
      </c>
      <c r="C10" s="12">
        <f>INDEX(Calib!$F$1:$F$13,MATCH($E$5,Calib!$A$2:$A$13,0)+1)</f>
        <v/>
      </c>
    </row>
    <row r="11">
      <c r="B11" s="11" t="inlineStr">
        <is>
          <t>Resource block on? (1 = DIGNAR)</t>
        </is>
      </c>
      <c r="C11" s="13">
        <f>INDEX(Calib!$M$1:$M$13,MATCH($E$5,Calib!$A$2:$A$13,0)+1)</f>
        <v/>
      </c>
    </row>
    <row r="12">
      <c r="B12" s="11" t="inlineStr">
        <is>
          <t>Rents at start, share of non-resource GDP</t>
        </is>
      </c>
      <c r="C12" s="14">
        <f>INDEX(Calib!$N$1:$N$13,MATCH($E$5,Calib!$A$2:$A$13,0)+1)</f>
        <v/>
      </c>
    </row>
    <row r="13">
      <c r="B13" s="11" t="inlineStr">
        <is>
          <t>Real commercial rate</t>
        </is>
      </c>
      <c r="C13" s="14">
        <f>INDEX(Calib!$K$1:$K$13,MATCH($E$5,Calib!$A$2:$A$13,0)+1)</f>
        <v/>
      </c>
    </row>
    <row r="14">
      <c r="B14" s="11" t="inlineStr">
        <is>
          <t>Concessional share of debt</t>
        </is>
      </c>
      <c r="C14" s="12">
        <f>INDEX(Calib!$J$1:$J$13,MATCH($E$5,Calib!$A$2:$A$13,0)+1)</f>
        <v/>
      </c>
    </row>
    <row r="16">
      <c r="B16" s="9" t="inlineStr">
        <is>
          <t>Results</t>
        </is>
      </c>
      <c r="C16" s="9" t="inlineStr">
        <is>
          <t>2030</t>
        </is>
      </c>
      <c r="D16" s="9" t="inlineStr">
        <is>
          <t>2050</t>
        </is>
      </c>
      <c r="E16" s="10" t="n"/>
    </row>
    <row r="17">
      <c r="B17" s="11" t="inlineStr">
        <is>
          <t>GDP, programme vs baseline (%)</t>
        </is>
      </c>
      <c r="C17" s="12">
        <f>INDEX(Model!$AQ$1:$AQ$325,$C$6+6)*1</f>
        <v/>
      </c>
      <c r="D17" s="12">
        <f>INDEX(Model!$AQ$1:$AQ$325,$C$6+26)*1</f>
        <v/>
      </c>
    </row>
    <row r="18">
      <c r="B18" s="11" t="inlineStr">
        <is>
          <t>GDP vs 2024, programme (%)</t>
        </is>
      </c>
      <c r="C18" s="12">
        <f>INDEX(Model!$AR$1:$AR$325,$C$6+6)*1</f>
        <v/>
      </c>
      <c r="D18" s="12">
        <f>INDEX(Model!$AR$1:$AR$325,$C$6+26)*1</f>
        <v/>
      </c>
    </row>
    <row r="19">
      <c r="B19" s="11" t="inlineStr">
        <is>
          <t>GDP vs 2024, baseline (%)</t>
        </is>
      </c>
      <c r="C19" s="12">
        <f>INDEX(Model!$AS$1:$AS$325,$C$6+6)*1</f>
        <v/>
      </c>
      <c r="D19" s="12">
        <f>INDEX(Model!$AS$1:$AS$325,$C$6+26)*1</f>
        <v/>
      </c>
    </row>
    <row r="20">
      <c r="B20" s="11" t="inlineStr">
        <is>
          <t>Public debt, programme (% GDP)</t>
        </is>
      </c>
      <c r="C20" s="15">
        <f>INDEX(Model!$AN$1:$AN$325,$C$6+6)*100</f>
        <v/>
      </c>
      <c r="D20" s="15">
        <f>INDEX(Model!$AN$1:$AN$325,$C$6+26)*100</f>
        <v/>
      </c>
    </row>
    <row r="21">
      <c r="B21" s="11" t="inlineStr">
        <is>
          <t>Public debt, baseline (% GDP)</t>
        </is>
      </c>
      <c r="C21" s="15">
        <f>INDEX(Model!$X$1:$X$325,$C$6+6)*100</f>
        <v/>
      </c>
      <c r="D21" s="15">
        <f>INDEX(Model!$X$1:$X$325,$C$6+26)*100</f>
        <v/>
      </c>
    </row>
    <row r="22">
      <c r="B22" s="11" t="inlineStr">
        <is>
          <t>Debt added by the programme (pp)</t>
        </is>
      </c>
      <c r="C22" s="15">
        <f>INDEX(Model!$AT$1:$AT$325,$C$6+6)*1</f>
        <v/>
      </c>
      <c r="D22" s="15">
        <f>INDEX(Model!$AT$1:$AT$325,$C$6+26)*1</f>
        <v/>
      </c>
    </row>
    <row r="23">
      <c r="B23" s="11" t="inlineStr">
        <is>
          <t>Hand-to-mouth consumption, programme vs baseline (%)</t>
        </is>
      </c>
      <c r="C23" s="12">
        <f>INDEX(Model!$AU$1:$AU$325,$C$6+6)*1</f>
        <v/>
      </c>
      <c r="D23" s="12">
        <f>INDEX(Model!$AU$1:$AU$325,$C$6+26)*1</f>
        <v/>
      </c>
    </row>
    <row r="24">
      <c r="B24" s="11" t="inlineStr">
        <is>
          <t>Transfers, programme vs baseline (pp GDP)</t>
        </is>
      </c>
      <c r="C24" s="12">
        <f>INDEX(Model!$AV$1:$AV$325,$C$6+6)*1</f>
        <v/>
      </c>
      <c r="D24" s="12">
        <f>INDEX(Model!$AV$1:$AV$325,$C$6+26)*1</f>
        <v/>
      </c>
    </row>
    <row r="25">
      <c r="B25" s="11" t="inlineStr">
        <is>
          <t>Fossil rents (% GDP)</t>
        </is>
      </c>
      <c r="C25" s="15">
        <f>INDEX(Model!$G$1:$G$325,$C$6+6)*100</f>
        <v/>
      </c>
      <c r="D25" s="15">
        <f>INDEX(Model!$G$1:$G$325,$C$6+26)*100</f>
        <v/>
      </c>
    </row>
  </sheetData>
  <mergeCells count="1">
    <mergeCell ref="C5:D5"/>
  </mergeCells>
  <dataValidations count="1">
    <dataValidation sqref="C5" showDropDown="0" showInputMessage="0" showErrorMessage="0" allowBlank="0" type="list">
      <formula1>=Calib!$B$2:$B$13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6" t="inlineStr">
        <is>
          <t>iso3</t>
        </is>
      </c>
      <c r="B1" s="16" t="inlineStr">
        <is>
          <t>country</t>
        </is>
      </c>
      <c r="C1" s="16" t="inlineStr">
        <is>
          <t>region</t>
        </is>
      </c>
      <c r="D1" s="16" t="inlineStr">
        <is>
          <t>income</t>
        </is>
      </c>
      <c r="E1" s="16" t="inlineStr">
        <is>
          <t>gross_debt_pct_gdp</t>
        </is>
      </c>
      <c r="F1" s="16" t="inlineStr">
        <is>
          <t>tax_revenue_pct_gdp</t>
        </is>
      </c>
      <c r="G1" s="16" t="inlineStr">
        <is>
          <t>pefa_pi11_pim_score</t>
        </is>
      </c>
      <c r="H1" s="16" t="inlineStr">
        <is>
          <t>ids_multilateral_share_pct</t>
        </is>
      </c>
      <c r="I1" s="16" t="inlineStr">
        <is>
          <t>ids_private_creditor_rate_pct</t>
        </is>
      </c>
      <c r="J1" s="16" t="inlineStr">
        <is>
          <t>fossil_rents_total_pct_gdp</t>
        </is>
      </c>
      <c r="K1" s="16" t="inlineStr">
        <is>
          <t>public_investment_pct_gdp</t>
        </is>
      </c>
      <c r="L1" s="16" t="inlineStr">
        <is>
          <t>return_public_capital_pct</t>
        </is>
      </c>
      <c r="M1" s="16" t="inlineStr">
        <is>
          <t>hand_to_mouth_pct</t>
        </is>
      </c>
      <c r="N1" s="16" t="inlineStr">
        <is>
          <t>grants_pct_gdp</t>
        </is>
      </c>
      <c r="O1" s="16" t="inlineStr">
        <is>
          <t>fiscal_rule_speed</t>
        </is>
      </c>
      <c r="P1" s="16" t="inlineStr">
        <is>
          <t>gross_debt_pct_gdp__year</t>
        </is>
      </c>
      <c r="Q1" s="16" t="inlineStr">
        <is>
          <t>tax_revenue_pct_gdp__year</t>
        </is>
      </c>
      <c r="R1" s="16" t="inlineStr">
        <is>
          <t>pefa_pi11_pim_score__year</t>
        </is>
      </c>
      <c r="S1" s="16" t="inlineStr">
        <is>
          <t>ids_multilateral_share_pct__year</t>
        </is>
      </c>
      <c r="T1" s="16" t="inlineStr">
        <is>
          <t>ids_private_creditor_rate_pct__year</t>
        </is>
      </c>
      <c r="U1" s="16" t="inlineStr">
        <is>
          <t>fossil_rents_total_pct_gdp__year</t>
        </is>
      </c>
      <c r="V1" s="16" t="inlineStr">
        <is>
          <t>public_investment_pct_gdp__year</t>
        </is>
      </c>
      <c r="W1" s="16" t="inlineStr">
        <is>
          <t>return_public_capital_pct__year</t>
        </is>
      </c>
      <c r="X1" s="16" t="inlineStr">
        <is>
          <t>hand_to_mouth_pct__year</t>
        </is>
      </c>
      <c r="Y1" s="16" t="inlineStr">
        <is>
          <t>grants_pct_gdp__year</t>
        </is>
      </c>
      <c r="Z1" s="16" t="inlineStr">
        <is>
          <t>fiscal_rule_speed__year</t>
        </is>
      </c>
    </row>
    <row r="2">
      <c r="A2" s="17" t="inlineStr">
        <is>
          <t>KEN</t>
        </is>
      </c>
      <c r="B2" s="17" t="inlineStr">
        <is>
          <t>Kenya</t>
        </is>
      </c>
      <c r="C2" s="17" t="inlineStr">
        <is>
          <t>Sub-Saharan Africa</t>
        </is>
      </c>
      <c r="D2" s="17" t="inlineStr">
        <is>
          <t>Lower middle income</t>
        </is>
      </c>
      <c r="E2" s="17" t="n">
        <v>67.33799999999999</v>
      </c>
      <c r="F2" s="17" t="n">
        <v>12.937</v>
      </c>
      <c r="G2" s="17" t="n">
        <v>2.5</v>
      </c>
      <c r="H2" s="17" t="n">
        <v>56.192</v>
      </c>
      <c r="I2" s="17" t="n">
        <v>9.470000000000001</v>
      </c>
      <c r="J2" s="17" t="n">
        <v>0</v>
      </c>
      <c r="K2" s="18" t="n">
        <v>5</v>
      </c>
      <c r="L2" s="18" t="n">
        <v>17</v>
      </c>
      <c r="M2" s="18" t="n">
        <v>50</v>
      </c>
      <c r="N2" s="18" t="n">
        <v>1</v>
      </c>
      <c r="O2" s="18" t="n">
        <v>0.05</v>
      </c>
      <c r="P2" s="17" t="n">
        <v>2024</v>
      </c>
      <c r="Q2" s="17" t="n">
        <v>2024</v>
      </c>
      <c r="R2" s="17" t="n">
        <v>2023</v>
      </c>
      <c r="S2" s="17" t="n">
        <v>2024</v>
      </c>
      <c r="T2" s="17" t="n">
        <v>2024</v>
      </c>
      <c r="U2" s="17" t="n">
        <v>2021</v>
      </c>
      <c r="V2" s="17" t="inlineStr">
        <is>
          <t>default</t>
        </is>
      </c>
      <c r="W2" s="17" t="inlineStr">
        <is>
          <t>default</t>
        </is>
      </c>
      <c r="X2" s="17" t="inlineStr">
        <is>
          <t>default</t>
        </is>
      </c>
      <c r="Y2" s="17" t="inlineStr">
        <is>
          <t>default</t>
        </is>
      </c>
      <c r="Z2" s="17" t="inlineStr">
        <is>
          <t>2026 run</t>
        </is>
      </c>
    </row>
    <row r="3">
      <c r="A3" s="17" t="inlineStr">
        <is>
          <t>SLE</t>
        </is>
      </c>
      <c r="B3" s="17" t="inlineStr">
        <is>
          <t>Sierra Leone</t>
        </is>
      </c>
      <c r="C3" s="17" t="inlineStr">
        <is>
          <t>Sub-Saharan Africa</t>
        </is>
      </c>
      <c r="D3" s="17" t="inlineStr">
        <is>
          <t>Low income</t>
        </is>
      </c>
      <c r="E3" s="17" t="n">
        <v>46.667</v>
      </c>
      <c r="F3" s="17" t="n">
        <v>6.418</v>
      </c>
      <c r="G3" s="17" t="n">
        <v>1.5</v>
      </c>
      <c r="H3" s="17" t="n">
        <v>70.108</v>
      </c>
      <c r="I3" s="17" t="n"/>
      <c r="J3" s="17" t="n"/>
      <c r="K3" s="18" t="n">
        <v>6</v>
      </c>
      <c r="L3" s="18" t="n">
        <v>20</v>
      </c>
      <c r="M3" s="18" t="n">
        <v>60</v>
      </c>
      <c r="N3" s="18" t="n">
        <v>2</v>
      </c>
      <c r="O3" s="18" t="n">
        <v>0.05</v>
      </c>
      <c r="P3" s="17" t="n">
        <v>2024</v>
      </c>
      <c r="Q3" s="17" t="n">
        <v>2024</v>
      </c>
      <c r="R3" s="17" t="n">
        <v>2022</v>
      </c>
      <c r="S3" s="17" t="n">
        <v>2024</v>
      </c>
      <c r="T3" s="17" t="n"/>
      <c r="U3" s="17" t="n"/>
      <c r="V3" s="17" t="inlineStr">
        <is>
          <t>default</t>
        </is>
      </c>
      <c r="W3" s="17" t="inlineStr">
        <is>
          <t>default</t>
        </is>
      </c>
      <c r="X3" s="17" t="inlineStr">
        <is>
          <t>default</t>
        </is>
      </c>
      <c r="Y3" s="17" t="inlineStr">
        <is>
          <t>default</t>
        </is>
      </c>
      <c r="Z3" s="17" t="inlineStr">
        <is>
          <t>2026 run</t>
        </is>
      </c>
    </row>
    <row r="4">
      <c r="A4" s="17" t="inlineStr">
        <is>
          <t>UGA</t>
        </is>
      </c>
      <c r="B4" s="17" t="inlineStr">
        <is>
          <t>Uganda</t>
        </is>
      </c>
      <c r="C4" s="17" t="inlineStr">
        <is>
          <t>Sub-Saharan Africa</t>
        </is>
      </c>
      <c r="D4" s="17" t="inlineStr">
        <is>
          <t>Low income</t>
        </is>
      </c>
      <c r="E4" s="17" t="n">
        <v>51.773</v>
      </c>
      <c r="F4" s="17" t="n">
        <v>12.921</v>
      </c>
      <c r="G4" s="17" t="n">
        <v>1.5</v>
      </c>
      <c r="H4" s="17" t="n">
        <v>61.433</v>
      </c>
      <c r="I4" s="17" t="n">
        <v>7.864</v>
      </c>
      <c r="J4" s="17" t="n">
        <v>0</v>
      </c>
      <c r="K4" s="18" t="n">
        <v>6</v>
      </c>
      <c r="L4" s="18" t="n">
        <v>20</v>
      </c>
      <c r="M4" s="18" t="n">
        <v>60</v>
      </c>
      <c r="N4" s="18" t="n">
        <v>2</v>
      </c>
      <c r="O4" s="18" t="n">
        <v>0.05</v>
      </c>
      <c r="P4" s="17" t="n">
        <v>2024</v>
      </c>
      <c r="Q4" s="17" t="n">
        <v>2024</v>
      </c>
      <c r="R4" s="17" t="n">
        <v>2024</v>
      </c>
      <c r="S4" s="17" t="n">
        <v>2024</v>
      </c>
      <c r="T4" s="17" t="n">
        <v>2024</v>
      </c>
      <c r="U4" s="17" t="n">
        <v>2021</v>
      </c>
      <c r="V4" s="17" t="inlineStr">
        <is>
          <t>default</t>
        </is>
      </c>
      <c r="W4" s="17" t="inlineStr">
        <is>
          <t>default</t>
        </is>
      </c>
      <c r="X4" s="17" t="inlineStr">
        <is>
          <t>default</t>
        </is>
      </c>
      <c r="Y4" s="17" t="inlineStr">
        <is>
          <t>default</t>
        </is>
      </c>
      <c r="Z4" s="17" t="inlineStr">
        <is>
          <t>2026 run</t>
        </is>
      </c>
    </row>
    <row r="5">
      <c r="A5" s="17" t="inlineStr">
        <is>
          <t>LBR</t>
        </is>
      </c>
      <c r="B5" s="17" t="inlineStr">
        <is>
          <t>Liberia</t>
        </is>
      </c>
      <c r="C5" s="17" t="inlineStr">
        <is>
          <t>Sub-Saharan Africa</t>
        </is>
      </c>
      <c r="D5" s="17" t="inlineStr">
        <is>
          <t>Low income</t>
        </is>
      </c>
      <c r="E5" s="17" t="n">
        <v>56.368</v>
      </c>
      <c r="F5" s="17" t="n">
        <v>11.618</v>
      </c>
      <c r="G5" s="17" t="n">
        <v>1.5</v>
      </c>
      <c r="H5" s="17" t="n">
        <v>90.077</v>
      </c>
      <c r="I5" s="17" t="n">
        <v>4.02</v>
      </c>
      <c r="J5" s="17" t="n">
        <v>0</v>
      </c>
      <c r="K5" s="18" t="n">
        <v>6</v>
      </c>
      <c r="L5" s="18" t="n">
        <v>20</v>
      </c>
      <c r="M5" s="18" t="n">
        <v>60</v>
      </c>
      <c r="N5" s="18" t="n">
        <v>2</v>
      </c>
      <c r="O5" s="18" t="n">
        <v>0.2</v>
      </c>
      <c r="P5" s="17" t="n">
        <v>2024</v>
      </c>
      <c r="Q5" s="17" t="n">
        <v>2024</v>
      </c>
      <c r="R5" s="17" t="n">
        <v>2021</v>
      </c>
      <c r="S5" s="17" t="n">
        <v>2024</v>
      </c>
      <c r="T5" s="17" t="n">
        <v>2023</v>
      </c>
      <c r="U5" s="17" t="n">
        <v>2021</v>
      </c>
      <c r="V5" s="17" t="inlineStr">
        <is>
          <t>default</t>
        </is>
      </c>
      <c r="W5" s="17" t="inlineStr">
        <is>
          <t>default</t>
        </is>
      </c>
      <c r="X5" s="17" t="inlineStr">
        <is>
          <t>default</t>
        </is>
      </c>
      <c r="Y5" s="17" t="inlineStr">
        <is>
          <t>default</t>
        </is>
      </c>
      <c r="Z5" s="17" t="inlineStr">
        <is>
          <t>2026 run</t>
        </is>
      </c>
    </row>
    <row r="6">
      <c r="A6" s="17" t="inlineStr">
        <is>
          <t>ETH</t>
        </is>
      </c>
      <c r="B6" s="17" t="inlineStr">
        <is>
          <t>Ethiopia</t>
        </is>
      </c>
      <c r="C6" s="17" t="inlineStr">
        <is>
          <t>Sub-Saharan Africa</t>
        </is>
      </c>
      <c r="D6" s="17" t="inlineStr">
        <is>
          <t>Low income</t>
        </is>
      </c>
      <c r="E6" s="17" t="n">
        <v>33.382</v>
      </c>
      <c r="F6" s="17" t="n">
        <v>6.159</v>
      </c>
      <c r="G6" s="17" t="n">
        <v>1.5</v>
      </c>
      <c r="H6" s="17" t="n">
        <v>46.347</v>
      </c>
      <c r="I6" s="17" t="n">
        <v>3.996</v>
      </c>
      <c r="J6" s="17" t="n">
        <v>0</v>
      </c>
      <c r="K6" s="18" t="n">
        <v>6</v>
      </c>
      <c r="L6" s="18" t="n">
        <v>20</v>
      </c>
      <c r="M6" s="18" t="n">
        <v>60</v>
      </c>
      <c r="N6" s="18" t="n">
        <v>2</v>
      </c>
      <c r="O6" s="18" t="n">
        <v>0.05</v>
      </c>
      <c r="P6" s="17" t="n">
        <v>2024</v>
      </c>
      <c r="Q6" s="17" t="n">
        <v>2024</v>
      </c>
      <c r="R6" s="17" t="n">
        <v>2019</v>
      </c>
      <c r="S6" s="17" t="n">
        <v>2024</v>
      </c>
      <c r="T6" s="17" t="n">
        <v>2024</v>
      </c>
      <c r="U6" s="17" t="n">
        <v>2021</v>
      </c>
      <c r="V6" s="17" t="inlineStr">
        <is>
          <t>default</t>
        </is>
      </c>
      <c r="W6" s="17" t="inlineStr">
        <is>
          <t>default</t>
        </is>
      </c>
      <c r="X6" s="17" t="inlineStr">
        <is>
          <t>default</t>
        </is>
      </c>
      <c r="Y6" s="17" t="inlineStr">
        <is>
          <t>default</t>
        </is>
      </c>
      <c r="Z6" s="17" t="inlineStr">
        <is>
          <t>2026 run</t>
        </is>
      </c>
    </row>
    <row r="7">
      <c r="A7" s="17" t="inlineStr">
        <is>
          <t>RWA</t>
        </is>
      </c>
      <c r="B7" s="17" t="inlineStr">
        <is>
          <t>Rwanda</t>
        </is>
      </c>
      <c r="C7" s="17" t="inlineStr">
        <is>
          <t>Sub-Saharan Africa</t>
        </is>
      </c>
      <c r="D7" s="17" t="inlineStr">
        <is>
          <t>Low income</t>
        </is>
      </c>
      <c r="E7" s="17" t="n">
        <v>63.385</v>
      </c>
      <c r="F7" s="17" t="n">
        <v>13.805</v>
      </c>
      <c r="G7" s="17" t="n">
        <v>3.5</v>
      </c>
      <c r="H7" s="17" t="n">
        <v>66.715</v>
      </c>
      <c r="I7" s="17" t="n">
        <v>4.724</v>
      </c>
      <c r="J7" s="17" t="n">
        <v>0.051</v>
      </c>
      <c r="K7" s="18" t="n">
        <v>6</v>
      </c>
      <c r="L7" s="18" t="n">
        <v>20</v>
      </c>
      <c r="M7" s="18" t="n">
        <v>60</v>
      </c>
      <c r="N7" s="18" t="n">
        <v>2</v>
      </c>
      <c r="O7" s="18" t="n">
        <v>0.05</v>
      </c>
      <c r="P7" s="17" t="n">
        <v>2024</v>
      </c>
      <c r="Q7" s="17" t="n">
        <v>2024</v>
      </c>
      <c r="R7" s="17" t="n">
        <v>2022</v>
      </c>
      <c r="S7" s="17" t="n">
        <v>2024</v>
      </c>
      <c r="T7" s="17" t="n">
        <v>2024</v>
      </c>
      <c r="U7" s="17" t="n">
        <v>2021</v>
      </c>
      <c r="V7" s="17" t="inlineStr">
        <is>
          <t>default</t>
        </is>
      </c>
      <c r="W7" s="17" t="inlineStr">
        <is>
          <t>default</t>
        </is>
      </c>
      <c r="X7" s="17" t="inlineStr">
        <is>
          <t>default</t>
        </is>
      </c>
      <c r="Y7" s="17" t="inlineStr">
        <is>
          <t>default</t>
        </is>
      </c>
      <c r="Z7" s="17" t="inlineStr">
        <is>
          <t>2026 run</t>
        </is>
      </c>
    </row>
    <row r="8">
      <c r="A8" s="17" t="inlineStr">
        <is>
          <t>MOZ</t>
        </is>
      </c>
      <c r="B8" s="17" t="inlineStr">
        <is>
          <t>Mozambique</t>
        </is>
      </c>
      <c r="C8" s="17" t="inlineStr">
        <is>
          <t>Sub-Saharan Africa</t>
        </is>
      </c>
      <c r="D8" s="17" t="inlineStr">
        <is>
          <t>Low income</t>
        </is>
      </c>
      <c r="E8" s="17" t="n">
        <v>91.411</v>
      </c>
      <c r="F8" s="17" t="n">
        <v>20.303</v>
      </c>
      <c r="G8" s="17" t="n">
        <v>1</v>
      </c>
      <c r="H8" s="17" t="n">
        <v>48.897</v>
      </c>
      <c r="I8" s="17" t="n">
        <v>0.25</v>
      </c>
      <c r="J8" s="17" t="n">
        <v>7.426</v>
      </c>
      <c r="K8" s="18" t="n">
        <v>6</v>
      </c>
      <c r="L8" s="18" t="n">
        <v>20</v>
      </c>
      <c r="M8" s="18" t="n">
        <v>60</v>
      </c>
      <c r="N8" s="18" t="n">
        <v>2</v>
      </c>
      <c r="O8" s="18" t="n">
        <v>0.2</v>
      </c>
      <c r="P8" s="17" t="n">
        <v>2024</v>
      </c>
      <c r="Q8" s="17" t="n">
        <v>2024</v>
      </c>
      <c r="R8" s="17" t="n">
        <v>2021</v>
      </c>
      <c r="S8" s="17" t="n">
        <v>2024</v>
      </c>
      <c r="T8" s="17" t="n">
        <v>2022</v>
      </c>
      <c r="U8" s="17" t="n">
        <v>2021</v>
      </c>
      <c r="V8" s="17" t="inlineStr">
        <is>
          <t>default</t>
        </is>
      </c>
      <c r="W8" s="17" t="inlineStr">
        <is>
          <t>default</t>
        </is>
      </c>
      <c r="X8" s="17" t="inlineStr">
        <is>
          <t>default</t>
        </is>
      </c>
      <c r="Y8" s="17" t="inlineStr">
        <is>
          <t>default</t>
        </is>
      </c>
      <c r="Z8" s="17" t="inlineStr">
        <is>
          <t>2026 run</t>
        </is>
      </c>
    </row>
    <row r="9">
      <c r="A9" s="17" t="inlineStr">
        <is>
          <t>GHA</t>
        </is>
      </c>
      <c r="B9" s="17" t="inlineStr">
        <is>
          <t>Ghana</t>
        </is>
      </c>
      <c r="C9" s="17" t="inlineStr">
        <is>
          <t>Sub-Saharan Africa</t>
        </is>
      </c>
      <c r="D9" s="17" t="inlineStr">
        <is>
          <t>Lower middle income</t>
        </is>
      </c>
      <c r="E9" s="17" t="n">
        <v>70.342</v>
      </c>
      <c r="F9" s="17" t="n">
        <v>13.27</v>
      </c>
      <c r="G9" s="17" t="n">
        <v>1</v>
      </c>
      <c r="H9" s="17" t="n">
        <v>34.204</v>
      </c>
      <c r="I9" s="17" t="n">
        <v>1.665</v>
      </c>
      <c r="J9" s="17" t="n">
        <v>4.426</v>
      </c>
      <c r="K9" s="18" t="n">
        <v>5</v>
      </c>
      <c r="L9" s="18" t="n">
        <v>17</v>
      </c>
      <c r="M9" s="18" t="n">
        <v>50</v>
      </c>
      <c r="N9" s="18" t="n">
        <v>1</v>
      </c>
      <c r="O9" s="18" t="n">
        <v>0.05</v>
      </c>
      <c r="P9" s="17" t="n">
        <v>2024</v>
      </c>
      <c r="Q9" s="17" t="n">
        <v>2024</v>
      </c>
      <c r="R9" s="17" t="n">
        <v>2018</v>
      </c>
      <c r="S9" s="17" t="n">
        <v>2024</v>
      </c>
      <c r="T9" s="17" t="n">
        <v>2022</v>
      </c>
      <c r="U9" s="17" t="n">
        <v>2021</v>
      </c>
      <c r="V9" s="17" t="inlineStr">
        <is>
          <t>default</t>
        </is>
      </c>
      <c r="W9" s="17" t="inlineStr">
        <is>
          <t>default</t>
        </is>
      </c>
      <c r="X9" s="17" t="inlineStr">
        <is>
          <t>default</t>
        </is>
      </c>
      <c r="Y9" s="17" t="inlineStr">
        <is>
          <t>default</t>
        </is>
      </c>
      <c r="Z9" s="17" t="inlineStr">
        <is>
          <t>2026 run</t>
        </is>
      </c>
    </row>
    <row r="10">
      <c r="A10" s="17" t="inlineStr">
        <is>
          <t>SEN</t>
        </is>
      </c>
      <c r="B10" s="17" t="inlineStr">
        <is>
          <t>Senegal</t>
        </is>
      </c>
      <c r="C10" s="17" t="inlineStr">
        <is>
          <t>Sub-Saharan Africa</t>
        </is>
      </c>
      <c r="D10" s="17" t="inlineStr">
        <is>
          <t>Lower middle income</t>
        </is>
      </c>
      <c r="E10" s="17" t="n">
        <v>132.395</v>
      </c>
      <c r="F10" s="17" t="n">
        <v>18.197</v>
      </c>
      <c r="G10" s="17" t="n">
        <v>1.5</v>
      </c>
      <c r="H10" s="17" t="n">
        <v>37.879</v>
      </c>
      <c r="I10" s="17" t="n">
        <v>6.367</v>
      </c>
      <c r="J10" s="17" t="n">
        <v>0.003</v>
      </c>
      <c r="K10" s="18" t="n">
        <v>5</v>
      </c>
      <c r="L10" s="18" t="n">
        <v>17</v>
      </c>
      <c r="M10" s="18" t="n">
        <v>50</v>
      </c>
      <c r="N10" s="18" t="n">
        <v>1</v>
      </c>
      <c r="O10" s="18" t="n">
        <v>0.05</v>
      </c>
      <c r="P10" s="17" t="n">
        <v>2024</v>
      </c>
      <c r="Q10" s="17" t="n">
        <v>2024</v>
      </c>
      <c r="R10" s="17" t="n">
        <v>2020</v>
      </c>
      <c r="S10" s="17" t="n">
        <v>2024</v>
      </c>
      <c r="T10" s="17" t="n">
        <v>2024</v>
      </c>
      <c r="U10" s="17" t="n">
        <v>2021</v>
      </c>
      <c r="V10" s="17" t="inlineStr">
        <is>
          <t>default</t>
        </is>
      </c>
      <c r="W10" s="17" t="inlineStr">
        <is>
          <t>default</t>
        </is>
      </c>
      <c r="X10" s="17" t="inlineStr">
        <is>
          <t>default</t>
        </is>
      </c>
      <c r="Y10" s="17" t="inlineStr">
        <is>
          <t>default</t>
        </is>
      </c>
      <c r="Z10" s="17" t="inlineStr">
        <is>
          <t>2026 run</t>
        </is>
      </c>
    </row>
    <row r="11">
      <c r="A11" s="17" t="inlineStr">
        <is>
          <t>AGO</t>
        </is>
      </c>
      <c r="B11" s="17" t="inlineStr">
        <is>
          <t>Angola</t>
        </is>
      </c>
      <c r="C11" s="17" t="inlineStr">
        <is>
          <t>Sub-Saharan Africa</t>
        </is>
      </c>
      <c r="D11" s="17" t="inlineStr">
        <is>
          <t>Lower middle income</t>
        </is>
      </c>
      <c r="E11" s="17" t="n">
        <v>57.107</v>
      </c>
      <c r="F11" s="17" t="n">
        <v>5.608</v>
      </c>
      <c r="G11" s="17" t="n"/>
      <c r="H11" s="17" t="n">
        <v>13.443</v>
      </c>
      <c r="I11" s="17" t="n">
        <v>4.681</v>
      </c>
      <c r="J11" s="17" t="n">
        <v>29.286</v>
      </c>
      <c r="K11" s="18" t="n">
        <v>5</v>
      </c>
      <c r="L11" s="18" t="n">
        <v>17</v>
      </c>
      <c r="M11" s="18" t="n">
        <v>50</v>
      </c>
      <c r="N11" s="18" t="n">
        <v>1</v>
      </c>
      <c r="O11" s="18" t="n">
        <v>0.4</v>
      </c>
      <c r="P11" s="17" t="n">
        <v>2024</v>
      </c>
      <c r="Q11" s="17" t="n">
        <v>2024</v>
      </c>
      <c r="R11" s="17" t="n"/>
      <c r="S11" s="17" t="n">
        <v>2024</v>
      </c>
      <c r="T11" s="17" t="n">
        <v>2024</v>
      </c>
      <c r="U11" s="17" t="n">
        <v>2021</v>
      </c>
      <c r="V11" s="17" t="inlineStr">
        <is>
          <t>default</t>
        </is>
      </c>
      <c r="W11" s="17" t="inlineStr">
        <is>
          <t>default</t>
        </is>
      </c>
      <c r="X11" s="17" t="inlineStr">
        <is>
          <t>default</t>
        </is>
      </c>
      <c r="Y11" s="17" t="inlineStr">
        <is>
          <t>default</t>
        </is>
      </c>
      <c r="Z11" s="17" t="inlineStr">
        <is>
          <t>2026 run</t>
        </is>
      </c>
    </row>
    <row r="12">
      <c r="A12" s="17" t="inlineStr">
        <is>
          <t>COG</t>
        </is>
      </c>
      <c r="B12" s="17" t="inlineStr">
        <is>
          <t>Congo, Rep.</t>
        </is>
      </c>
      <c r="C12" s="17" t="inlineStr">
        <is>
          <t>Sub-Saharan Africa</t>
        </is>
      </c>
      <c r="D12" s="17" t="inlineStr">
        <is>
          <t>Lower middle income</t>
        </is>
      </c>
      <c r="E12" s="17" t="n">
        <v>98.02800000000001</v>
      </c>
      <c r="F12" s="17" t="n">
        <v>10.585</v>
      </c>
      <c r="G12" s="17" t="n"/>
      <c r="H12" s="17" t="n">
        <v>25.083</v>
      </c>
      <c r="I12" s="17" t="n">
        <v>5.5</v>
      </c>
      <c r="J12" s="17" t="n">
        <v>34.74</v>
      </c>
      <c r="K12" s="18" t="n">
        <v>5</v>
      </c>
      <c r="L12" s="18" t="n">
        <v>17</v>
      </c>
      <c r="M12" s="18" t="n">
        <v>50</v>
      </c>
      <c r="N12" s="18" t="n">
        <v>1</v>
      </c>
      <c r="O12" s="18" t="n">
        <v>0.4</v>
      </c>
      <c r="P12" s="17" t="n">
        <v>2024</v>
      </c>
      <c r="Q12" s="17" t="n">
        <v>2024</v>
      </c>
      <c r="R12" s="17" t="n"/>
      <c r="S12" s="17" t="n">
        <v>2024</v>
      </c>
      <c r="T12" s="17" t="n">
        <v>2024</v>
      </c>
      <c r="U12" s="17" t="n">
        <v>2021</v>
      </c>
      <c r="V12" s="17" t="inlineStr">
        <is>
          <t>default</t>
        </is>
      </c>
      <c r="W12" s="17" t="inlineStr">
        <is>
          <t>default</t>
        </is>
      </c>
      <c r="X12" s="17" t="inlineStr">
        <is>
          <t>default</t>
        </is>
      </c>
      <c r="Y12" s="17" t="inlineStr">
        <is>
          <t>default</t>
        </is>
      </c>
      <c r="Z12" s="17" t="inlineStr">
        <is>
          <t>2026 run</t>
        </is>
      </c>
    </row>
    <row r="13">
      <c r="A13" s="17" t="inlineStr">
        <is>
          <t>TCD</t>
        </is>
      </c>
      <c r="B13" s="17" t="inlineStr">
        <is>
          <t>Chad</t>
        </is>
      </c>
      <c r="C13" s="17" t="inlineStr">
        <is>
          <t>Sub-Saharan Africa</t>
        </is>
      </c>
      <c r="D13" s="17" t="inlineStr">
        <is>
          <t>Low income</t>
        </is>
      </c>
      <c r="E13" s="17" t="n">
        <v>31.427</v>
      </c>
      <c r="F13" s="17" t="n">
        <v>7.372</v>
      </c>
      <c r="G13" s="17" t="n">
        <v>1.5</v>
      </c>
      <c r="H13" s="17" t="n">
        <v>31.116</v>
      </c>
      <c r="I13" s="17" t="n"/>
      <c r="J13" s="17" t="n">
        <v>16.765</v>
      </c>
      <c r="K13" s="18" t="n">
        <v>6</v>
      </c>
      <c r="L13" s="18" t="n">
        <v>20</v>
      </c>
      <c r="M13" s="18" t="n">
        <v>60</v>
      </c>
      <c r="N13" s="18" t="n">
        <v>2</v>
      </c>
      <c r="O13" s="18" t="n">
        <v>0.2</v>
      </c>
      <c r="P13" s="17" t="n">
        <v>2024</v>
      </c>
      <c r="Q13" s="17" t="n">
        <v>2024</v>
      </c>
      <c r="R13" s="17" t="n">
        <v>2018</v>
      </c>
      <c r="S13" s="17" t="n">
        <v>2024</v>
      </c>
      <c r="T13" s="17" t="n"/>
      <c r="U13" s="17" t="n">
        <v>2021</v>
      </c>
      <c r="V13" s="17" t="inlineStr">
        <is>
          <t>default</t>
        </is>
      </c>
      <c r="W13" s="17" t="inlineStr">
        <is>
          <t>default</t>
        </is>
      </c>
      <c r="X13" s="17" t="inlineStr">
        <is>
          <t>default</t>
        </is>
      </c>
      <c r="Y13" s="17" t="inlineStr">
        <is>
          <t>default</t>
        </is>
      </c>
      <c r="Z13" s="17" t="inlineStr">
        <is>
          <t>2026 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10" customWidth="1" min="4" max="4"/>
    <col width="40" customWidth="1" min="5" max="5"/>
  </cols>
  <sheetData>
    <row r="1">
      <c r="A1" s="16" t="inlineStr">
        <is>
          <t>iso3</t>
        </is>
      </c>
      <c r="B1" s="16" t="inlineStr">
        <is>
          <t>indicator</t>
        </is>
      </c>
      <c r="C1" s="16" t="inlineStr">
        <is>
          <t>year</t>
        </is>
      </c>
      <c r="D1" s="16" t="inlineStr">
        <is>
          <t>value</t>
        </is>
      </c>
      <c r="E1" s="16" t="inlineStr">
        <is>
          <t>source</t>
        </is>
      </c>
    </row>
    <row r="2">
      <c r="A2" s="19" t="inlineStr">
        <is>
          <t>AGO</t>
        </is>
      </c>
      <c r="B2" s="19" t="inlineStr">
        <is>
          <t>pub_cap</t>
        </is>
      </c>
      <c r="C2" s="19" t="n">
        <v>2025</v>
      </c>
      <c r="D2" s="19" t="n">
        <v>0.2801</v>
      </c>
      <c r="E2" s="19" t="inlineStr">
        <is>
          <t>NMIM v0.2 via MacroFiscalModels</t>
        </is>
      </c>
    </row>
    <row r="3">
      <c r="A3" s="19" t="inlineStr">
        <is>
          <t>AGO</t>
        </is>
      </c>
      <c r="B3" s="19" t="inlineStr">
        <is>
          <t>pub_cap</t>
        </is>
      </c>
      <c r="C3" s="19" t="n">
        <v>2026</v>
      </c>
      <c r="D3" s="19" t="n">
        <v>0.2899</v>
      </c>
      <c r="E3" s="19" t="inlineStr">
        <is>
          <t>NMIM v0.2 via MacroFiscalModels</t>
        </is>
      </c>
    </row>
    <row r="4">
      <c r="A4" s="19" t="inlineStr">
        <is>
          <t>AGO</t>
        </is>
      </c>
      <c r="B4" s="19" t="inlineStr">
        <is>
          <t>pub_cap</t>
        </is>
      </c>
      <c r="C4" s="19" t="n">
        <v>2027</v>
      </c>
      <c r="D4" s="19" t="n">
        <v>0.2967</v>
      </c>
      <c r="E4" s="19" t="inlineStr">
        <is>
          <t>NMIM v0.2 via MacroFiscalModels</t>
        </is>
      </c>
    </row>
    <row r="5">
      <c r="A5" s="19" t="inlineStr">
        <is>
          <t>AGO</t>
        </is>
      </c>
      <c r="B5" s="19" t="inlineStr">
        <is>
          <t>pub_cap</t>
        </is>
      </c>
      <c r="C5" s="19" t="n">
        <v>2028</v>
      </c>
      <c r="D5" s="19" t="n">
        <v>0.3027</v>
      </c>
      <c r="E5" s="19" t="inlineStr">
        <is>
          <t>NMIM v0.2 via MacroFiscalModels</t>
        </is>
      </c>
    </row>
    <row r="6">
      <c r="A6" s="19" t="inlineStr">
        <is>
          <t>AGO</t>
        </is>
      </c>
      <c r="B6" s="19" t="inlineStr">
        <is>
          <t>pub_cap</t>
        </is>
      </c>
      <c r="C6" s="19" t="n">
        <v>2029</v>
      </c>
      <c r="D6" s="19" t="n">
        <v>0.3094</v>
      </c>
      <c r="E6" s="19" t="inlineStr">
        <is>
          <t>NMIM v0.2 via MacroFiscalModels</t>
        </is>
      </c>
    </row>
    <row r="7">
      <c r="A7" s="19" t="inlineStr">
        <is>
          <t>AGO</t>
        </is>
      </c>
      <c r="B7" s="19" t="inlineStr">
        <is>
          <t>pub_cap</t>
        </is>
      </c>
      <c r="C7" s="19" t="n">
        <v>2030</v>
      </c>
      <c r="D7" s="19" t="n">
        <v>0.3129</v>
      </c>
      <c r="E7" s="19" t="inlineStr">
        <is>
          <t>NMIM v0.2 via MacroFiscalModels</t>
        </is>
      </c>
    </row>
    <row r="8">
      <c r="A8" s="19" t="inlineStr">
        <is>
          <t>AGO</t>
        </is>
      </c>
      <c r="B8" s="19" t="inlineStr">
        <is>
          <t>pub_cap</t>
        </is>
      </c>
      <c r="C8" s="19" t="n">
        <v>2031</v>
      </c>
      <c r="D8" s="19" t="n">
        <v>0.3135</v>
      </c>
      <c r="E8" s="19" t="inlineStr">
        <is>
          <t>NMIM v0.2 via MacroFiscalModels</t>
        </is>
      </c>
    </row>
    <row r="9">
      <c r="A9" s="19" t="inlineStr">
        <is>
          <t>AGO</t>
        </is>
      </c>
      <c r="B9" s="19" t="inlineStr">
        <is>
          <t>pub_cap</t>
        </is>
      </c>
      <c r="C9" s="19" t="n">
        <v>2032</v>
      </c>
      <c r="D9" s="19" t="n">
        <v>0.311</v>
      </c>
      <c r="E9" s="19" t="inlineStr">
        <is>
          <t>NMIM v0.2 via MacroFiscalModels</t>
        </is>
      </c>
    </row>
    <row r="10">
      <c r="A10" s="19" t="inlineStr">
        <is>
          <t>AGO</t>
        </is>
      </c>
      <c r="B10" s="19" t="inlineStr">
        <is>
          <t>pub_cap</t>
        </is>
      </c>
      <c r="C10" s="19" t="n">
        <v>2033</v>
      </c>
      <c r="D10" s="19" t="n">
        <v>0.3176</v>
      </c>
      <c r="E10" s="19" t="inlineStr">
        <is>
          <t>NMIM v0.2 via MacroFiscalModels</t>
        </is>
      </c>
    </row>
    <row r="11">
      <c r="A11" s="19" t="inlineStr">
        <is>
          <t>AGO</t>
        </is>
      </c>
      <c r="B11" s="19" t="inlineStr">
        <is>
          <t>pub_cap</t>
        </is>
      </c>
      <c r="C11" s="19" t="n">
        <v>2034</v>
      </c>
      <c r="D11" s="19" t="n">
        <v>0.3236</v>
      </c>
      <c r="E11" s="19" t="inlineStr">
        <is>
          <t>NMIM v0.2 via MacroFiscalModels</t>
        </is>
      </c>
    </row>
    <row r="12">
      <c r="A12" s="19" t="inlineStr">
        <is>
          <t>AGO</t>
        </is>
      </c>
      <c r="B12" s="19" t="inlineStr">
        <is>
          <t>pub_cap</t>
        </is>
      </c>
      <c r="C12" s="19" t="n">
        <v>2035</v>
      </c>
      <c r="D12" s="19" t="n">
        <v>0.3332</v>
      </c>
      <c r="E12" s="19" t="inlineStr">
        <is>
          <t>NMIM v0.2 via MacroFiscalModels</t>
        </is>
      </c>
    </row>
    <row r="13">
      <c r="A13" s="19" t="inlineStr">
        <is>
          <t>AGO</t>
        </is>
      </c>
      <c r="B13" s="19" t="inlineStr">
        <is>
          <t>pub_cap</t>
        </is>
      </c>
      <c r="C13" s="19" t="n">
        <v>2036</v>
      </c>
      <c r="D13" s="19" t="n">
        <v>0.3443</v>
      </c>
      <c r="E13" s="19" t="inlineStr">
        <is>
          <t>NMIM v0.2 via MacroFiscalModels</t>
        </is>
      </c>
    </row>
    <row r="14">
      <c r="A14" s="19" t="inlineStr">
        <is>
          <t>AGO</t>
        </is>
      </c>
      <c r="B14" s="19" t="inlineStr">
        <is>
          <t>pub_cap</t>
        </is>
      </c>
      <c r="C14" s="19" t="n">
        <v>2037</v>
      </c>
      <c r="D14" s="19" t="n">
        <v>0.355</v>
      </c>
      <c r="E14" s="19" t="inlineStr">
        <is>
          <t>NMIM v0.2 via MacroFiscalModels</t>
        </is>
      </c>
    </row>
    <row r="15">
      <c r="A15" s="19" t="inlineStr">
        <is>
          <t>AGO</t>
        </is>
      </c>
      <c r="B15" s="19" t="inlineStr">
        <is>
          <t>pub_cap</t>
        </is>
      </c>
      <c r="C15" s="19" t="n">
        <v>2038</v>
      </c>
      <c r="D15" s="19" t="n">
        <v>0.3648</v>
      </c>
      <c r="E15" s="19" t="inlineStr">
        <is>
          <t>NMIM v0.2 via MacroFiscalModels</t>
        </is>
      </c>
    </row>
    <row r="16">
      <c r="A16" s="19" t="inlineStr">
        <is>
          <t>AGO</t>
        </is>
      </c>
      <c r="B16" s="19" t="inlineStr">
        <is>
          <t>pub_cap</t>
        </is>
      </c>
      <c r="C16" s="19" t="n">
        <v>2039</v>
      </c>
      <c r="D16" s="19" t="n">
        <v>0.3738</v>
      </c>
      <c r="E16" s="19" t="inlineStr">
        <is>
          <t>NMIM v0.2 via MacroFiscalModels</t>
        </is>
      </c>
    </row>
    <row r="17">
      <c r="A17" s="19" t="inlineStr">
        <is>
          <t>AGO</t>
        </is>
      </c>
      <c r="B17" s="19" t="inlineStr">
        <is>
          <t>pub_cap</t>
        </is>
      </c>
      <c r="C17" s="19" t="n">
        <v>2040</v>
      </c>
      <c r="D17" s="19" t="n">
        <v>0.3823</v>
      </c>
      <c r="E17" s="19" t="inlineStr">
        <is>
          <t>NMIM v0.2 via MacroFiscalModels</t>
        </is>
      </c>
    </row>
    <row r="18">
      <c r="A18" s="19" t="inlineStr">
        <is>
          <t>AGO</t>
        </is>
      </c>
      <c r="B18" s="19" t="inlineStr">
        <is>
          <t>pub_cap</t>
        </is>
      </c>
      <c r="C18" s="19" t="n">
        <v>2041</v>
      </c>
      <c r="D18" s="19" t="n">
        <v>0.3833</v>
      </c>
      <c r="E18" s="19" t="inlineStr">
        <is>
          <t>NMIM v0.2 via MacroFiscalModels</t>
        </is>
      </c>
    </row>
    <row r="19">
      <c r="A19" s="19" t="inlineStr">
        <is>
          <t>AGO</t>
        </is>
      </c>
      <c r="B19" s="19" t="inlineStr">
        <is>
          <t>pub_cap</t>
        </is>
      </c>
      <c r="C19" s="19" t="n">
        <v>2042</v>
      </c>
      <c r="D19" s="19" t="n">
        <v>0.3838</v>
      </c>
      <c r="E19" s="19" t="inlineStr">
        <is>
          <t>NMIM v0.2 via MacroFiscalModels</t>
        </is>
      </c>
    </row>
    <row r="20">
      <c r="A20" s="19" t="inlineStr">
        <is>
          <t>AGO</t>
        </is>
      </c>
      <c r="B20" s="19" t="inlineStr">
        <is>
          <t>pub_cap</t>
        </is>
      </c>
      <c r="C20" s="19" t="n">
        <v>2043</v>
      </c>
      <c r="D20" s="19" t="n">
        <v>0.3839</v>
      </c>
      <c r="E20" s="19" t="inlineStr">
        <is>
          <t>NMIM v0.2 via MacroFiscalModels</t>
        </is>
      </c>
    </row>
    <row r="21">
      <c r="A21" s="19" t="inlineStr">
        <is>
          <t>AGO</t>
        </is>
      </c>
      <c r="B21" s="19" t="inlineStr">
        <is>
          <t>pub_cap</t>
        </is>
      </c>
      <c r="C21" s="19" t="n">
        <v>2044</v>
      </c>
      <c r="D21" s="19" t="n">
        <v>0.3836</v>
      </c>
      <c r="E21" s="19" t="inlineStr">
        <is>
          <t>NMIM v0.2 via MacroFiscalModels</t>
        </is>
      </c>
    </row>
    <row r="22">
      <c r="A22" s="19" t="inlineStr">
        <is>
          <t>AGO</t>
        </is>
      </c>
      <c r="B22" s="19" t="inlineStr">
        <is>
          <t>pub_cap</t>
        </is>
      </c>
      <c r="C22" s="19" t="n">
        <v>2045</v>
      </c>
      <c r="D22" s="19" t="n">
        <v>0.383</v>
      </c>
      <c r="E22" s="19" t="inlineStr">
        <is>
          <t>NMIM v0.2 via MacroFiscalModels</t>
        </is>
      </c>
    </row>
    <row r="23">
      <c r="A23" s="19" t="inlineStr">
        <is>
          <t>AGO</t>
        </is>
      </c>
      <c r="B23" s="19" t="inlineStr">
        <is>
          <t>pub_cap</t>
        </is>
      </c>
      <c r="C23" s="19" t="n">
        <v>2046</v>
      </c>
      <c r="D23" s="19" t="n">
        <v>0.3378</v>
      </c>
      <c r="E23" s="19" t="inlineStr">
        <is>
          <t>NMIM v0.2 via MacroFiscalModels</t>
        </is>
      </c>
    </row>
    <row r="24">
      <c r="A24" s="19" t="inlineStr">
        <is>
          <t>AGO</t>
        </is>
      </c>
      <c r="B24" s="19" t="inlineStr">
        <is>
          <t>pub_cap</t>
        </is>
      </c>
      <c r="C24" s="19" t="n">
        <v>2047</v>
      </c>
      <c r="D24" s="19" t="n">
        <v>0.3317</v>
      </c>
      <c r="E24" s="19" t="inlineStr">
        <is>
          <t>NMIM v0.2 via MacroFiscalModels</t>
        </is>
      </c>
    </row>
    <row r="25">
      <c r="A25" s="19" t="inlineStr">
        <is>
          <t>AGO</t>
        </is>
      </c>
      <c r="B25" s="19" t="inlineStr">
        <is>
          <t>pub_cap</t>
        </is>
      </c>
      <c r="C25" s="19" t="n">
        <v>2048</v>
      </c>
      <c r="D25" s="19" t="n">
        <v>0.3257</v>
      </c>
      <c r="E25" s="19" t="inlineStr">
        <is>
          <t>NMIM v0.2 via MacroFiscalModels</t>
        </is>
      </c>
    </row>
    <row r="26">
      <c r="A26" s="19" t="inlineStr">
        <is>
          <t>AGO</t>
        </is>
      </c>
      <c r="B26" s="19" t="inlineStr">
        <is>
          <t>pub_cap</t>
        </is>
      </c>
      <c r="C26" s="19" t="n">
        <v>2049</v>
      </c>
      <c r="D26" s="19" t="n">
        <v>0.3188</v>
      </c>
      <c r="E26" s="19" t="inlineStr">
        <is>
          <t>NMIM v0.2 via MacroFiscalModels</t>
        </is>
      </c>
    </row>
    <row r="27">
      <c r="A27" s="19" t="inlineStr">
        <is>
          <t>AGO</t>
        </is>
      </c>
      <c r="B27" s="19" t="inlineStr">
        <is>
          <t>pub_cap</t>
        </is>
      </c>
      <c r="C27" s="19" t="n">
        <v>2050</v>
      </c>
      <c r="D27" s="19" t="n">
        <v>0.3118</v>
      </c>
      <c r="E27" s="19" t="inlineStr">
        <is>
          <t>NMIM v0.2 via MacroFiscalModels</t>
        </is>
      </c>
    </row>
    <row r="28">
      <c r="A28" s="19" t="inlineStr">
        <is>
          <t>AGO</t>
        </is>
      </c>
      <c r="B28" s="19" t="inlineStr">
        <is>
          <t>pub_spend</t>
        </is>
      </c>
      <c r="C28" s="19" t="n">
        <v>2025</v>
      </c>
      <c r="D28" s="19" t="n">
        <v>0.2717</v>
      </c>
      <c r="E28" s="19" t="inlineStr">
        <is>
          <t>NMIM v0.2 via MacroFiscalModels</t>
        </is>
      </c>
    </row>
    <row r="29">
      <c r="A29" s="19" t="inlineStr">
        <is>
          <t>AGO</t>
        </is>
      </c>
      <c r="B29" s="19" t="inlineStr">
        <is>
          <t>pub_spend</t>
        </is>
      </c>
      <c r="C29" s="19" t="n">
        <v>2026</v>
      </c>
      <c r="D29" s="19" t="n">
        <v>0.5312</v>
      </c>
      <c r="E29" s="19" t="inlineStr">
        <is>
          <t>NMIM v0.2 via MacroFiscalModels</t>
        </is>
      </c>
    </row>
    <row r="30">
      <c r="A30" s="19" t="inlineStr">
        <is>
          <t>AGO</t>
        </is>
      </c>
      <c r="B30" s="19" t="inlineStr">
        <is>
          <t>pub_spend</t>
        </is>
      </c>
      <c r="C30" s="19" t="n">
        <v>2027</v>
      </c>
      <c r="D30" s="19" t="n">
        <v>0.778</v>
      </c>
      <c r="E30" s="19" t="inlineStr">
        <is>
          <t>NMIM v0.2 via MacroFiscalModels</t>
        </is>
      </c>
    </row>
    <row r="31">
      <c r="A31" s="19" t="inlineStr">
        <is>
          <t>AGO</t>
        </is>
      </c>
      <c r="B31" s="19" t="inlineStr">
        <is>
          <t>pub_spend</t>
        </is>
      </c>
      <c r="C31" s="19" t="n">
        <v>2028</v>
      </c>
      <c r="D31" s="19" t="n">
        <v>1.012</v>
      </c>
      <c r="E31" s="19" t="inlineStr">
        <is>
          <t>NMIM v0.2 via MacroFiscalModels</t>
        </is>
      </c>
    </row>
    <row r="32">
      <c r="A32" s="19" t="inlineStr">
        <is>
          <t>AGO</t>
        </is>
      </c>
      <c r="B32" s="19" t="inlineStr">
        <is>
          <t>pub_spend</t>
        </is>
      </c>
      <c r="C32" s="19" t="n">
        <v>2029</v>
      </c>
      <c r="D32" s="19" t="n">
        <v>1.232</v>
      </c>
      <c r="E32" s="19" t="inlineStr">
        <is>
          <t>NMIM v0.2 via MacroFiscalModels</t>
        </is>
      </c>
    </row>
    <row r="33">
      <c r="A33" s="19" t="inlineStr">
        <is>
          <t>AGO</t>
        </is>
      </c>
      <c r="B33" s="19" t="inlineStr">
        <is>
          <t>pub_spend</t>
        </is>
      </c>
      <c r="C33" s="19" t="n">
        <v>2030</v>
      </c>
      <c r="D33" s="19" t="n">
        <v>1.438</v>
      </c>
      <c r="E33" s="19" t="inlineStr">
        <is>
          <t>NMIM v0.2 via MacroFiscalModels</t>
        </is>
      </c>
    </row>
    <row r="34">
      <c r="A34" s="19" t="inlineStr">
        <is>
          <t>AGO</t>
        </is>
      </c>
      <c r="B34" s="19" t="inlineStr">
        <is>
          <t>pub_spend</t>
        </is>
      </c>
      <c r="C34" s="19" t="n">
        <v>2031</v>
      </c>
      <c r="D34" s="19" t="n">
        <v>1.409</v>
      </c>
      <c r="E34" s="19" t="inlineStr">
        <is>
          <t>NMIM v0.2 via MacroFiscalModels</t>
        </is>
      </c>
    </row>
    <row r="35">
      <c r="A35" s="19" t="inlineStr">
        <is>
          <t>AGO</t>
        </is>
      </c>
      <c r="B35" s="19" t="inlineStr">
        <is>
          <t>pub_spend</t>
        </is>
      </c>
      <c r="C35" s="19" t="n">
        <v>2032</v>
      </c>
      <c r="D35" s="19" t="n">
        <v>1.379</v>
      </c>
      <c r="E35" s="19" t="inlineStr">
        <is>
          <t>NMIM v0.2 via MacroFiscalModels</t>
        </is>
      </c>
    </row>
    <row r="36">
      <c r="A36" s="19" t="inlineStr">
        <is>
          <t>AGO</t>
        </is>
      </c>
      <c r="B36" s="19" t="inlineStr">
        <is>
          <t>pub_spend</t>
        </is>
      </c>
      <c r="C36" s="19" t="n">
        <v>2033</v>
      </c>
      <c r="D36" s="19" t="n">
        <v>1.348</v>
      </c>
      <c r="E36" s="19" t="inlineStr">
        <is>
          <t>NMIM v0.2 via MacroFiscalModels</t>
        </is>
      </c>
    </row>
    <row r="37">
      <c r="A37" s="19" t="inlineStr">
        <is>
          <t>AGO</t>
        </is>
      </c>
      <c r="B37" s="19" t="inlineStr">
        <is>
          <t>pub_spend</t>
        </is>
      </c>
      <c r="C37" s="19" t="n">
        <v>2034</v>
      </c>
      <c r="D37" s="19" t="n">
        <v>1.316</v>
      </c>
      <c r="E37" s="19" t="inlineStr">
        <is>
          <t>NMIM v0.2 via MacroFiscalModels</t>
        </is>
      </c>
    </row>
    <row r="38">
      <c r="A38" s="19" t="inlineStr">
        <is>
          <t>AGO</t>
        </is>
      </c>
      <c r="B38" s="19" t="inlineStr">
        <is>
          <t>pub_spend</t>
        </is>
      </c>
      <c r="C38" s="19" t="n">
        <v>2035</v>
      </c>
      <c r="D38" s="19" t="n">
        <v>1.283</v>
      </c>
      <c r="E38" s="19" t="inlineStr">
        <is>
          <t>NMIM v0.2 via MacroFiscalModels</t>
        </is>
      </c>
    </row>
    <row r="39">
      <c r="A39" s="19" t="inlineStr">
        <is>
          <t>AGO</t>
        </is>
      </c>
      <c r="B39" s="19" t="inlineStr">
        <is>
          <t>pub_spend</t>
        </is>
      </c>
      <c r="C39" s="19" t="n">
        <v>2036</v>
      </c>
      <c r="D39" s="19" t="n">
        <v>1.249</v>
      </c>
      <c r="E39" s="19" t="inlineStr">
        <is>
          <t>NMIM v0.2 via MacroFiscalModels</t>
        </is>
      </c>
    </row>
    <row r="40">
      <c r="A40" s="19" t="inlineStr">
        <is>
          <t>AGO</t>
        </is>
      </c>
      <c r="B40" s="19" t="inlineStr">
        <is>
          <t>pub_spend</t>
        </is>
      </c>
      <c r="C40" s="19" t="n">
        <v>2037</v>
      </c>
      <c r="D40" s="19" t="n">
        <v>1.215</v>
      </c>
      <c r="E40" s="19" t="inlineStr">
        <is>
          <t>NMIM v0.2 via MacroFiscalModels</t>
        </is>
      </c>
    </row>
    <row r="41">
      <c r="A41" s="19" t="inlineStr">
        <is>
          <t>AGO</t>
        </is>
      </c>
      <c r="B41" s="19" t="inlineStr">
        <is>
          <t>pub_spend</t>
        </is>
      </c>
      <c r="C41" s="19" t="n">
        <v>2038</v>
      </c>
      <c r="D41" s="19" t="n">
        <v>1.18</v>
      </c>
      <c r="E41" s="19" t="inlineStr">
        <is>
          <t>NMIM v0.2 via MacroFiscalModels</t>
        </is>
      </c>
    </row>
    <row r="42">
      <c r="A42" s="19" t="inlineStr">
        <is>
          <t>AGO</t>
        </is>
      </c>
      <c r="B42" s="19" t="inlineStr">
        <is>
          <t>pub_spend</t>
        </is>
      </c>
      <c r="C42" s="19" t="n">
        <v>2039</v>
      </c>
      <c r="D42" s="19" t="n">
        <v>1.145</v>
      </c>
      <c r="E42" s="19" t="inlineStr">
        <is>
          <t>NMIM v0.2 via MacroFiscalModels</t>
        </is>
      </c>
    </row>
    <row r="43">
      <c r="A43" s="19" t="inlineStr">
        <is>
          <t>AGO</t>
        </is>
      </c>
      <c r="B43" s="19" t="inlineStr">
        <is>
          <t>pub_spend</t>
        </is>
      </c>
      <c r="C43" s="19" t="n">
        <v>2040</v>
      </c>
      <c r="D43" s="19" t="n">
        <v>1.109</v>
      </c>
      <c r="E43" s="19" t="inlineStr">
        <is>
          <t>NMIM v0.2 via MacroFiscalModels</t>
        </is>
      </c>
    </row>
    <row r="44">
      <c r="A44" s="19" t="inlineStr">
        <is>
          <t>AGO</t>
        </is>
      </c>
      <c r="B44" s="19" t="inlineStr">
        <is>
          <t>pub_spend</t>
        </is>
      </c>
      <c r="C44" s="19" t="n">
        <v>2041</v>
      </c>
      <c r="D44" s="19" t="n">
        <v>1.075</v>
      </c>
      <c r="E44" s="19" t="inlineStr">
        <is>
          <t>NMIM v0.2 via MacroFiscalModels</t>
        </is>
      </c>
    </row>
    <row r="45">
      <c r="A45" s="19" t="inlineStr">
        <is>
          <t>AGO</t>
        </is>
      </c>
      <c r="B45" s="19" t="inlineStr">
        <is>
          <t>pub_spend</t>
        </is>
      </c>
      <c r="C45" s="19" t="n">
        <v>2042</v>
      </c>
      <c r="D45" s="19" t="n">
        <v>1.041</v>
      </c>
      <c r="E45" s="19" t="inlineStr">
        <is>
          <t>NMIM v0.2 via MacroFiscalModels</t>
        </is>
      </c>
    </row>
    <row r="46">
      <c r="A46" s="19" t="inlineStr">
        <is>
          <t>AGO</t>
        </is>
      </c>
      <c r="B46" s="19" t="inlineStr">
        <is>
          <t>pub_spend</t>
        </is>
      </c>
      <c r="C46" s="19" t="n">
        <v>2043</v>
      </c>
      <c r="D46" s="19" t="n">
        <v>1.009</v>
      </c>
      <c r="E46" s="19" t="inlineStr">
        <is>
          <t>NMIM v0.2 via MacroFiscalModels</t>
        </is>
      </c>
    </row>
    <row r="47">
      <c r="A47" s="19" t="inlineStr">
        <is>
          <t>AGO</t>
        </is>
      </c>
      <c r="B47" s="19" t="inlineStr">
        <is>
          <t>pub_spend</t>
        </is>
      </c>
      <c r="C47" s="19" t="n">
        <v>2044</v>
      </c>
      <c r="D47" s="19" t="n">
        <v>0.9772</v>
      </c>
      <c r="E47" s="19" t="inlineStr">
        <is>
          <t>NMIM v0.2 via MacroFiscalModels</t>
        </is>
      </c>
    </row>
    <row r="48">
      <c r="A48" s="19" t="inlineStr">
        <is>
          <t>AGO</t>
        </is>
      </c>
      <c r="B48" s="19" t="inlineStr">
        <is>
          <t>pub_spend</t>
        </is>
      </c>
      <c r="C48" s="19" t="n">
        <v>2045</v>
      </c>
      <c r="D48" s="19" t="n">
        <v>0.9466</v>
      </c>
      <c r="E48" s="19" t="inlineStr">
        <is>
          <t>NMIM v0.2 via MacroFiscalModels</t>
        </is>
      </c>
    </row>
    <row r="49">
      <c r="A49" s="19" t="inlineStr">
        <is>
          <t>AGO</t>
        </is>
      </c>
      <c r="B49" s="19" t="inlineStr">
        <is>
          <t>pub_spend</t>
        </is>
      </c>
      <c r="C49" s="19" t="n">
        <v>2046</v>
      </c>
      <c r="D49" s="19" t="n">
        <v>0.9169</v>
      </c>
      <c r="E49" s="19" t="inlineStr">
        <is>
          <t>NMIM v0.2 via MacroFiscalModels</t>
        </is>
      </c>
    </row>
    <row r="50">
      <c r="A50" s="19" t="inlineStr">
        <is>
          <t>AGO</t>
        </is>
      </c>
      <c r="B50" s="19" t="inlineStr">
        <is>
          <t>pub_spend</t>
        </is>
      </c>
      <c r="C50" s="19" t="n">
        <v>2047</v>
      </c>
      <c r="D50" s="19" t="n">
        <v>0.888</v>
      </c>
      <c r="E50" s="19" t="inlineStr">
        <is>
          <t>NMIM v0.2 via MacroFiscalModels</t>
        </is>
      </c>
    </row>
    <row r="51">
      <c r="A51" s="19" t="inlineStr">
        <is>
          <t>AGO</t>
        </is>
      </c>
      <c r="B51" s="19" t="inlineStr">
        <is>
          <t>pub_spend</t>
        </is>
      </c>
      <c r="C51" s="19" t="n">
        <v>2048</v>
      </c>
      <c r="D51" s="19" t="n">
        <v>0.8601</v>
      </c>
      <c r="E51" s="19" t="inlineStr">
        <is>
          <t>NMIM v0.2 via MacroFiscalModels</t>
        </is>
      </c>
    </row>
    <row r="52">
      <c r="A52" s="19" t="inlineStr">
        <is>
          <t>AGO</t>
        </is>
      </c>
      <c r="B52" s="19" t="inlineStr">
        <is>
          <t>pub_spend</t>
        </is>
      </c>
      <c r="C52" s="19" t="n">
        <v>2049</v>
      </c>
      <c r="D52" s="19" t="n">
        <v>0.833</v>
      </c>
      <c r="E52" s="19" t="inlineStr">
        <is>
          <t>NMIM v0.2 via MacroFiscalModels</t>
        </is>
      </c>
    </row>
    <row r="53">
      <c r="A53" s="19" t="inlineStr">
        <is>
          <t>AGO</t>
        </is>
      </c>
      <c r="B53" s="19" t="inlineStr">
        <is>
          <t>pub_spend</t>
        </is>
      </c>
      <c r="C53" s="19" t="n">
        <v>2050</v>
      </c>
      <c r="D53" s="19" t="n">
        <v>0.8066</v>
      </c>
      <c r="E53" s="19" t="inlineStr">
        <is>
          <t>NMIM v0.2 via MacroFiscalModels</t>
        </is>
      </c>
    </row>
    <row r="54">
      <c r="A54" s="19" t="inlineStr">
        <is>
          <t>AGO</t>
        </is>
      </c>
      <c r="B54" s="19" t="inlineStr">
        <is>
          <t>rev</t>
        </is>
      </c>
      <c r="C54" s="19" t="n">
        <v>2025</v>
      </c>
      <c r="D54" s="19" t="n">
        <v>0.006714</v>
      </c>
      <c r="E54" s="19" t="inlineStr">
        <is>
          <t>PriceFeasibility v0.1 x NMIM power CO2</t>
        </is>
      </c>
    </row>
    <row r="55">
      <c r="A55" s="19" t="inlineStr">
        <is>
          <t>AGO</t>
        </is>
      </c>
      <c r="B55" s="19" t="inlineStr">
        <is>
          <t>rev</t>
        </is>
      </c>
      <c r="C55" s="19" t="n">
        <v>2026</v>
      </c>
      <c r="D55" s="19" t="n">
        <v>0.006574</v>
      </c>
      <c r="E55" s="19" t="inlineStr">
        <is>
          <t>PriceFeasibility v0.1 x NMIM power CO2</t>
        </is>
      </c>
    </row>
    <row r="56">
      <c r="A56" s="19" t="inlineStr">
        <is>
          <t>AGO</t>
        </is>
      </c>
      <c r="B56" s="19" t="inlineStr">
        <is>
          <t>rev</t>
        </is>
      </c>
      <c r="C56" s="19" t="n">
        <v>2027</v>
      </c>
      <c r="D56" s="19" t="n">
        <v>0.006416</v>
      </c>
      <c r="E56" s="19" t="inlineStr">
        <is>
          <t>PriceFeasibility v0.1 x NMIM power CO2</t>
        </is>
      </c>
    </row>
    <row r="57">
      <c r="A57" s="19" t="inlineStr">
        <is>
          <t>AGO</t>
        </is>
      </c>
      <c r="B57" s="19" t="inlineStr">
        <is>
          <t>rev</t>
        </is>
      </c>
      <c r="C57" s="19" t="n">
        <v>2028</v>
      </c>
      <c r="D57" s="19" t="n">
        <v>0.006238</v>
      </c>
      <c r="E57" s="19" t="inlineStr">
        <is>
          <t>PriceFeasibility v0.1 x NMIM power CO2</t>
        </is>
      </c>
    </row>
    <row r="58">
      <c r="A58" s="19" t="inlineStr">
        <is>
          <t>AGO</t>
        </is>
      </c>
      <c r="B58" s="19" t="inlineStr">
        <is>
          <t>rev</t>
        </is>
      </c>
      <c r="C58" s="19" t="n">
        <v>2029</v>
      </c>
      <c r="D58" s="19" t="n">
        <v>0.006039</v>
      </c>
      <c r="E58" s="19" t="inlineStr">
        <is>
          <t>PriceFeasibility v0.1 x NMIM power CO2</t>
        </is>
      </c>
    </row>
    <row r="59">
      <c r="A59" s="19" t="inlineStr">
        <is>
          <t>AGO</t>
        </is>
      </c>
      <c r="B59" s="19" t="inlineStr">
        <is>
          <t>rev</t>
        </is>
      </c>
      <c r="C59" s="19" t="n">
        <v>2030</v>
      </c>
      <c r="D59" s="19" t="n">
        <v>0.005818</v>
      </c>
      <c r="E59" s="19" t="inlineStr">
        <is>
          <t>PriceFeasibility v0.1 x NMIM power CO2</t>
        </is>
      </c>
    </row>
    <row r="60">
      <c r="A60" s="19" t="inlineStr">
        <is>
          <t>AGO</t>
        </is>
      </c>
      <c r="B60" s="19" t="inlineStr">
        <is>
          <t>rev</t>
        </is>
      </c>
      <c r="C60" s="19" t="n">
        <v>2031</v>
      </c>
      <c r="D60" s="19" t="n">
        <v>0.005573</v>
      </c>
      <c r="E60" s="19" t="inlineStr">
        <is>
          <t>PriceFeasibility v0.1 x NMIM power CO2</t>
        </is>
      </c>
    </row>
    <row r="61">
      <c r="A61" s="19" t="inlineStr">
        <is>
          <t>AGO</t>
        </is>
      </c>
      <c r="B61" s="19" t="inlineStr">
        <is>
          <t>rev</t>
        </is>
      </c>
      <c r="C61" s="19" t="n">
        <v>2032</v>
      </c>
      <c r="D61" s="19" t="n">
        <v>0.005306</v>
      </c>
      <c r="E61" s="19" t="inlineStr">
        <is>
          <t>PriceFeasibility v0.1 x NMIM power CO2</t>
        </is>
      </c>
    </row>
    <row r="62">
      <c r="A62" s="19" t="inlineStr">
        <is>
          <t>AGO</t>
        </is>
      </c>
      <c r="B62" s="19" t="inlineStr">
        <is>
          <t>rev</t>
        </is>
      </c>
      <c r="C62" s="19" t="n">
        <v>2033</v>
      </c>
      <c r="D62" s="19" t="n">
        <v>0.005015</v>
      </c>
      <c r="E62" s="19" t="inlineStr">
        <is>
          <t>PriceFeasibility v0.1 x NMIM power CO2</t>
        </is>
      </c>
    </row>
    <row r="63">
      <c r="A63" s="19" t="inlineStr">
        <is>
          <t>AGO</t>
        </is>
      </c>
      <c r="B63" s="19" t="inlineStr">
        <is>
          <t>rev</t>
        </is>
      </c>
      <c r="C63" s="19" t="n">
        <v>2034</v>
      </c>
      <c r="D63" s="19" t="n">
        <v>0.004702</v>
      </c>
      <c r="E63" s="19" t="inlineStr">
        <is>
          <t>PriceFeasibility v0.1 x NMIM power CO2</t>
        </is>
      </c>
    </row>
    <row r="64">
      <c r="A64" s="19" t="inlineStr">
        <is>
          <t>AGO</t>
        </is>
      </c>
      <c r="B64" s="19" t="inlineStr">
        <is>
          <t>rev</t>
        </is>
      </c>
      <c r="C64" s="19" t="n">
        <v>2035</v>
      </c>
      <c r="D64" s="19" t="n">
        <v>0.004366</v>
      </c>
      <c r="E64" s="19" t="inlineStr">
        <is>
          <t>PriceFeasibility v0.1 x NMIM power CO2</t>
        </is>
      </c>
    </row>
    <row r="65">
      <c r="A65" s="19" t="inlineStr">
        <is>
          <t>AGO</t>
        </is>
      </c>
      <c r="B65" s="19" t="inlineStr">
        <is>
          <t>rev</t>
        </is>
      </c>
      <c r="C65" s="19" t="n">
        <v>2036</v>
      </c>
      <c r="D65" s="19" t="n">
        <v>0.004009</v>
      </c>
      <c r="E65" s="19" t="inlineStr">
        <is>
          <t>PriceFeasibility v0.1 x NMIM power CO2</t>
        </is>
      </c>
    </row>
    <row r="66">
      <c r="A66" s="19" t="inlineStr">
        <is>
          <t>AGO</t>
        </is>
      </c>
      <c r="B66" s="19" t="inlineStr">
        <is>
          <t>rev</t>
        </is>
      </c>
      <c r="C66" s="19" t="n">
        <v>2037</v>
      </c>
      <c r="D66" s="19" t="n">
        <v>0.003631</v>
      </c>
      <c r="E66" s="19" t="inlineStr">
        <is>
          <t>PriceFeasibility v0.1 x NMIM power CO2</t>
        </is>
      </c>
    </row>
    <row r="67">
      <c r="A67" s="19" t="inlineStr">
        <is>
          <t>AGO</t>
        </is>
      </c>
      <c r="B67" s="19" t="inlineStr">
        <is>
          <t>rev</t>
        </is>
      </c>
      <c r="C67" s="19" t="n">
        <v>2038</v>
      </c>
      <c r="D67" s="19" t="n">
        <v>0.003234</v>
      </c>
      <c r="E67" s="19" t="inlineStr">
        <is>
          <t>PriceFeasibility v0.1 x NMIM power CO2</t>
        </is>
      </c>
    </row>
    <row r="68">
      <c r="A68" s="19" t="inlineStr">
        <is>
          <t>AGO</t>
        </is>
      </c>
      <c r="B68" s="19" t="inlineStr">
        <is>
          <t>rev</t>
        </is>
      </c>
      <c r="C68" s="19" t="n">
        <v>2039</v>
      </c>
      <c r="D68" s="19" t="n">
        <v>0.002817</v>
      </c>
      <c r="E68" s="19" t="inlineStr">
        <is>
          <t>PriceFeasibility v0.1 x NMIM power CO2</t>
        </is>
      </c>
    </row>
    <row r="69">
      <c r="A69" s="19" t="inlineStr">
        <is>
          <t>AGO</t>
        </is>
      </c>
      <c r="B69" s="19" t="inlineStr">
        <is>
          <t>rev</t>
        </is>
      </c>
      <c r="C69" s="19" t="n">
        <v>2040</v>
      </c>
      <c r="D69" s="19" t="n">
        <v>0.002384</v>
      </c>
      <c r="E69" s="19" t="inlineStr">
        <is>
          <t>PriceFeasibility v0.1 x NMIM power CO2</t>
        </is>
      </c>
    </row>
    <row r="70">
      <c r="A70" s="19" t="inlineStr">
        <is>
          <t>AGO</t>
        </is>
      </c>
      <c r="B70" s="19" t="inlineStr">
        <is>
          <t>rev</t>
        </is>
      </c>
      <c r="C70" s="19" t="n">
        <v>2041</v>
      </c>
      <c r="D70" s="19" t="n">
        <v>0.001932</v>
      </c>
      <c r="E70" s="19" t="inlineStr">
        <is>
          <t>PriceFeasibility v0.1 x NMIM power CO2</t>
        </is>
      </c>
    </row>
    <row r="71">
      <c r="A71" s="19" t="inlineStr">
        <is>
          <t>AGO</t>
        </is>
      </c>
      <c r="B71" s="19" t="inlineStr">
        <is>
          <t>rev</t>
        </is>
      </c>
      <c r="C71" s="19" t="n">
        <v>2042</v>
      </c>
      <c r="D71" s="19" t="n">
        <v>0.001466</v>
      </c>
      <c r="E71" s="19" t="inlineStr">
        <is>
          <t>PriceFeasibility v0.1 x NMIM power CO2</t>
        </is>
      </c>
    </row>
    <row r="72">
      <c r="A72" s="19" t="inlineStr">
        <is>
          <t>AGO</t>
        </is>
      </c>
      <c r="B72" s="19" t="inlineStr">
        <is>
          <t>rev</t>
        </is>
      </c>
      <c r="C72" s="19" t="n">
        <v>2043</v>
      </c>
      <c r="D72" s="19" t="n">
        <v>0.000987</v>
      </c>
      <c r="E72" s="19" t="inlineStr">
        <is>
          <t>PriceFeasibility v0.1 x NMIM power CO2</t>
        </is>
      </c>
    </row>
    <row r="73">
      <c r="A73" s="19" t="inlineStr">
        <is>
          <t>AGO</t>
        </is>
      </c>
      <c r="B73" s="19" t="inlineStr">
        <is>
          <t>rev</t>
        </is>
      </c>
      <c r="C73" s="19" t="n">
        <v>2044</v>
      </c>
      <c r="D73" s="19" t="n">
        <v>0.0004978</v>
      </c>
      <c r="E73" s="19" t="inlineStr">
        <is>
          <t>PriceFeasibility v0.1 x NMIM power CO2</t>
        </is>
      </c>
    </row>
    <row r="74">
      <c r="A74" s="19" t="inlineStr">
        <is>
          <t>AGO</t>
        </is>
      </c>
      <c r="B74" s="19" t="inlineStr">
        <is>
          <t>rev</t>
        </is>
      </c>
      <c r="C74" s="19" t="n">
        <v>2045</v>
      </c>
      <c r="D74" s="19" t="n">
        <v>0</v>
      </c>
      <c r="E74" s="19" t="inlineStr">
        <is>
          <t>PriceFeasibility v0.1 x NMIM power CO2</t>
        </is>
      </c>
    </row>
    <row r="75">
      <c r="A75" s="19" t="inlineStr">
        <is>
          <t>AGO</t>
        </is>
      </c>
      <c r="B75" s="19" t="inlineStr">
        <is>
          <t>rev</t>
        </is>
      </c>
      <c r="C75" s="19" t="n">
        <v>2046</v>
      </c>
      <c r="D75" s="19" t="n">
        <v>0</v>
      </c>
      <c r="E75" s="19" t="inlineStr">
        <is>
          <t>PriceFeasibility v0.1 x NMIM power CO2</t>
        </is>
      </c>
    </row>
    <row r="76">
      <c r="A76" s="19" t="inlineStr">
        <is>
          <t>AGO</t>
        </is>
      </c>
      <c r="B76" s="19" t="inlineStr">
        <is>
          <t>rev</t>
        </is>
      </c>
      <c r="C76" s="19" t="n">
        <v>2047</v>
      </c>
      <c r="D76" s="19" t="n">
        <v>0</v>
      </c>
      <c r="E76" s="19" t="inlineStr">
        <is>
          <t>PriceFeasibility v0.1 x NMIM power CO2</t>
        </is>
      </c>
    </row>
    <row r="77">
      <c r="A77" s="19" t="inlineStr">
        <is>
          <t>AGO</t>
        </is>
      </c>
      <c r="B77" s="19" t="inlineStr">
        <is>
          <t>rev</t>
        </is>
      </c>
      <c r="C77" s="19" t="n">
        <v>2048</v>
      </c>
      <c r="D77" s="19" t="n">
        <v>0</v>
      </c>
      <c r="E77" s="19" t="inlineStr">
        <is>
          <t>PriceFeasibility v0.1 x NMIM power CO2</t>
        </is>
      </c>
    </row>
    <row r="78">
      <c r="A78" s="19" t="inlineStr">
        <is>
          <t>AGO</t>
        </is>
      </c>
      <c r="B78" s="19" t="inlineStr">
        <is>
          <t>rev</t>
        </is>
      </c>
      <c r="C78" s="19" t="n">
        <v>2049</v>
      </c>
      <c r="D78" s="19" t="n">
        <v>0</v>
      </c>
      <c r="E78" s="19" t="inlineStr">
        <is>
          <t>PriceFeasibility v0.1 x NMIM power CO2</t>
        </is>
      </c>
    </row>
    <row r="79">
      <c r="A79" s="19" t="inlineStr">
        <is>
          <t>AGO</t>
        </is>
      </c>
      <c r="B79" s="19" t="inlineStr">
        <is>
          <t>rev</t>
        </is>
      </c>
      <c r="C79" s="19" t="n">
        <v>2050</v>
      </c>
      <c r="D79" s="19" t="n">
        <v>0</v>
      </c>
      <c r="E79" s="19" t="inlineStr">
        <is>
          <t>PriceFeasibility v0.1 x NMIM power CO2</t>
        </is>
      </c>
    </row>
    <row r="80">
      <c r="A80" s="19" t="inlineStr">
        <is>
          <t>COG</t>
        </is>
      </c>
      <c r="B80" s="19" t="inlineStr">
        <is>
          <t>pub_cap</t>
        </is>
      </c>
      <c r="C80" s="19" t="n">
        <v>2025</v>
      </c>
      <c r="D80" s="19" t="n">
        <v>0.05972</v>
      </c>
      <c r="E80" s="19" t="inlineStr">
        <is>
          <t>NMIM v0.2 via MacroFiscalModels</t>
        </is>
      </c>
    </row>
    <row r="81">
      <c r="A81" s="19" t="inlineStr">
        <is>
          <t>COG</t>
        </is>
      </c>
      <c r="B81" s="19" t="inlineStr">
        <is>
          <t>pub_cap</t>
        </is>
      </c>
      <c r="C81" s="19" t="n">
        <v>2026</v>
      </c>
      <c r="D81" s="19" t="n">
        <v>0.07568999999999999</v>
      </c>
      <c r="E81" s="19" t="inlineStr">
        <is>
          <t>NMIM v0.2 via MacroFiscalModels</t>
        </is>
      </c>
    </row>
    <row r="82">
      <c r="A82" s="19" t="inlineStr">
        <is>
          <t>COG</t>
        </is>
      </c>
      <c r="B82" s="19" t="inlineStr">
        <is>
          <t>pub_cap</t>
        </is>
      </c>
      <c r="C82" s="19" t="n">
        <v>2027</v>
      </c>
      <c r="D82" s="19" t="n">
        <v>0.08645</v>
      </c>
      <c r="E82" s="19" t="inlineStr">
        <is>
          <t>NMIM v0.2 via MacroFiscalModels</t>
        </is>
      </c>
    </row>
    <row r="83">
      <c r="A83" s="19" t="inlineStr">
        <is>
          <t>COG</t>
        </is>
      </c>
      <c r="B83" s="19" t="inlineStr">
        <is>
          <t>pub_cap</t>
        </is>
      </c>
      <c r="C83" s="19" t="n">
        <v>2028</v>
      </c>
      <c r="D83" s="19" t="n">
        <v>0.1034</v>
      </c>
      <c r="E83" s="19" t="inlineStr">
        <is>
          <t>NMIM v0.2 via MacroFiscalModels</t>
        </is>
      </c>
    </row>
    <row r="84">
      <c r="A84" s="19" t="inlineStr">
        <is>
          <t>COG</t>
        </is>
      </c>
      <c r="B84" s="19" t="inlineStr">
        <is>
          <t>pub_cap</t>
        </is>
      </c>
      <c r="C84" s="19" t="n">
        <v>2029</v>
      </c>
      <c r="D84" s="19" t="n">
        <v>0.1851</v>
      </c>
      <c r="E84" s="19" t="inlineStr">
        <is>
          <t>NMIM v0.2 via MacroFiscalModels</t>
        </is>
      </c>
    </row>
    <row r="85">
      <c r="A85" s="19" t="inlineStr">
        <is>
          <t>COG</t>
        </is>
      </c>
      <c r="B85" s="19" t="inlineStr">
        <is>
          <t>pub_cap</t>
        </is>
      </c>
      <c r="C85" s="19" t="n">
        <v>2030</v>
      </c>
      <c r="D85" s="19" t="n">
        <v>0.1866</v>
      </c>
      <c r="E85" s="19" t="inlineStr">
        <is>
          <t>NMIM v0.2 via MacroFiscalModels</t>
        </is>
      </c>
    </row>
    <row r="86">
      <c r="A86" s="19" t="inlineStr">
        <is>
          <t>COG</t>
        </is>
      </c>
      <c r="B86" s="19" t="inlineStr">
        <is>
          <t>pub_cap</t>
        </is>
      </c>
      <c r="C86" s="19" t="n">
        <v>2031</v>
      </c>
      <c r="D86" s="19" t="n">
        <v>0.1838</v>
      </c>
      <c r="E86" s="19" t="inlineStr">
        <is>
          <t>NMIM v0.2 via MacroFiscalModels</t>
        </is>
      </c>
    </row>
    <row r="87">
      <c r="A87" s="19" t="inlineStr">
        <is>
          <t>COG</t>
        </is>
      </c>
      <c r="B87" s="19" t="inlineStr">
        <is>
          <t>pub_cap</t>
        </is>
      </c>
      <c r="C87" s="19" t="n">
        <v>2032</v>
      </c>
      <c r="D87" s="19" t="n">
        <v>0.1788</v>
      </c>
      <c r="E87" s="19" t="inlineStr">
        <is>
          <t>NMIM v0.2 via MacroFiscalModels</t>
        </is>
      </c>
    </row>
    <row r="88">
      <c r="A88" s="19" t="inlineStr">
        <is>
          <t>COG</t>
        </is>
      </c>
      <c r="B88" s="19" t="inlineStr">
        <is>
          <t>pub_cap</t>
        </is>
      </c>
      <c r="C88" s="19" t="n">
        <v>2033</v>
      </c>
      <c r="D88" s="19" t="n">
        <v>0.1955</v>
      </c>
      <c r="E88" s="19" t="inlineStr">
        <is>
          <t>NMIM v0.2 via MacroFiscalModels</t>
        </is>
      </c>
    </row>
    <row r="89">
      <c r="A89" s="19" t="inlineStr">
        <is>
          <t>COG</t>
        </is>
      </c>
      <c r="B89" s="19" t="inlineStr">
        <is>
          <t>pub_cap</t>
        </is>
      </c>
      <c r="C89" s="19" t="n">
        <v>2034</v>
      </c>
      <c r="D89" s="19" t="n">
        <v>0.214</v>
      </c>
      <c r="E89" s="19" t="inlineStr">
        <is>
          <t>NMIM v0.2 via MacroFiscalModels</t>
        </is>
      </c>
    </row>
    <row r="90">
      <c r="A90" s="19" t="inlineStr">
        <is>
          <t>COG</t>
        </is>
      </c>
      <c r="B90" s="19" t="inlineStr">
        <is>
          <t>pub_cap</t>
        </is>
      </c>
      <c r="C90" s="19" t="n">
        <v>2035</v>
      </c>
      <c r="D90" s="19" t="n">
        <v>0.2326</v>
      </c>
      <c r="E90" s="19" t="inlineStr">
        <is>
          <t>NMIM v0.2 via MacroFiscalModels</t>
        </is>
      </c>
    </row>
    <row r="91">
      <c r="A91" s="19" t="inlineStr">
        <is>
          <t>COG</t>
        </is>
      </c>
      <c r="B91" s="19" t="inlineStr">
        <is>
          <t>pub_cap</t>
        </is>
      </c>
      <c r="C91" s="19" t="n">
        <v>2036</v>
      </c>
      <c r="D91" s="19" t="n">
        <v>0.2521</v>
      </c>
      <c r="E91" s="19" t="inlineStr">
        <is>
          <t>NMIM v0.2 via MacroFiscalModels</t>
        </is>
      </c>
    </row>
    <row r="92">
      <c r="A92" s="19" t="inlineStr">
        <is>
          <t>COG</t>
        </is>
      </c>
      <c r="B92" s="19" t="inlineStr">
        <is>
          <t>pub_cap</t>
        </is>
      </c>
      <c r="C92" s="19" t="n">
        <v>2037</v>
      </c>
      <c r="D92" s="19" t="n">
        <v>0.2714</v>
      </c>
      <c r="E92" s="19" t="inlineStr">
        <is>
          <t>NMIM v0.2 via MacroFiscalModels</t>
        </is>
      </c>
    </row>
    <row r="93">
      <c r="A93" s="19" t="inlineStr">
        <is>
          <t>COG</t>
        </is>
      </c>
      <c r="B93" s="19" t="inlineStr">
        <is>
          <t>pub_cap</t>
        </is>
      </c>
      <c r="C93" s="19" t="n">
        <v>2038</v>
      </c>
      <c r="D93" s="19" t="n">
        <v>0.2905</v>
      </c>
      <c r="E93" s="19" t="inlineStr">
        <is>
          <t>NMIM v0.2 via MacroFiscalModels</t>
        </is>
      </c>
    </row>
    <row r="94">
      <c r="A94" s="19" t="inlineStr">
        <is>
          <t>COG</t>
        </is>
      </c>
      <c r="B94" s="19" t="inlineStr">
        <is>
          <t>pub_cap</t>
        </is>
      </c>
      <c r="C94" s="19" t="n">
        <v>2039</v>
      </c>
      <c r="D94" s="19" t="n">
        <v>0.3093</v>
      </c>
      <c r="E94" s="19" t="inlineStr">
        <is>
          <t>NMIM v0.2 via MacroFiscalModels</t>
        </is>
      </c>
    </row>
    <row r="95">
      <c r="A95" s="19" t="inlineStr">
        <is>
          <t>COG</t>
        </is>
      </c>
      <c r="B95" s="19" t="inlineStr">
        <is>
          <t>pub_cap</t>
        </is>
      </c>
      <c r="C95" s="19" t="n">
        <v>2040</v>
      </c>
      <c r="D95" s="19" t="n">
        <v>0.3276</v>
      </c>
      <c r="E95" s="19" t="inlineStr">
        <is>
          <t>NMIM v0.2 via MacroFiscalModels</t>
        </is>
      </c>
    </row>
    <row r="96">
      <c r="A96" s="19" t="inlineStr">
        <is>
          <t>COG</t>
        </is>
      </c>
      <c r="B96" s="19" t="inlineStr">
        <is>
          <t>pub_cap</t>
        </is>
      </c>
      <c r="C96" s="19" t="n">
        <v>2041</v>
      </c>
      <c r="D96" s="19" t="n">
        <v>0.3371</v>
      </c>
      <c r="E96" s="19" t="inlineStr">
        <is>
          <t>NMIM v0.2 via MacroFiscalModels</t>
        </is>
      </c>
    </row>
    <row r="97">
      <c r="A97" s="19" t="inlineStr">
        <is>
          <t>COG</t>
        </is>
      </c>
      <c r="B97" s="19" t="inlineStr">
        <is>
          <t>pub_cap</t>
        </is>
      </c>
      <c r="C97" s="19" t="n">
        <v>2042</v>
      </c>
      <c r="D97" s="19" t="n">
        <v>0.3456</v>
      </c>
      <c r="E97" s="19" t="inlineStr">
        <is>
          <t>NMIM v0.2 via MacroFiscalModels</t>
        </is>
      </c>
    </row>
    <row r="98">
      <c r="A98" s="19" t="inlineStr">
        <is>
          <t>COG</t>
        </is>
      </c>
      <c r="B98" s="19" t="inlineStr">
        <is>
          <t>pub_cap</t>
        </is>
      </c>
      <c r="C98" s="19" t="n">
        <v>2043</v>
      </c>
      <c r="D98" s="19" t="n">
        <v>0.3533</v>
      </c>
      <c r="E98" s="19" t="inlineStr">
        <is>
          <t>NMIM v0.2 via MacroFiscalModels</t>
        </is>
      </c>
    </row>
    <row r="99">
      <c r="A99" s="19" t="inlineStr">
        <is>
          <t>COG</t>
        </is>
      </c>
      <c r="B99" s="19" t="inlineStr">
        <is>
          <t>pub_cap</t>
        </is>
      </c>
      <c r="C99" s="19" t="n">
        <v>2044</v>
      </c>
      <c r="D99" s="19" t="n">
        <v>0.3601</v>
      </c>
      <c r="E99" s="19" t="inlineStr">
        <is>
          <t>NMIM v0.2 via MacroFiscalModels</t>
        </is>
      </c>
    </row>
    <row r="100">
      <c r="A100" s="19" t="inlineStr">
        <is>
          <t>COG</t>
        </is>
      </c>
      <c r="B100" s="19" t="inlineStr">
        <is>
          <t>pub_cap</t>
        </is>
      </c>
      <c r="C100" s="19" t="n">
        <v>2045</v>
      </c>
      <c r="D100" s="19" t="n">
        <v>0.36</v>
      </c>
      <c r="E100" s="19" t="inlineStr">
        <is>
          <t>NMIM v0.2 via MacroFiscalModels</t>
        </is>
      </c>
    </row>
    <row r="101">
      <c r="A101" s="19" t="inlineStr">
        <is>
          <t>COG</t>
        </is>
      </c>
      <c r="B101" s="19" t="inlineStr">
        <is>
          <t>pub_cap</t>
        </is>
      </c>
      <c r="C101" s="19" t="n">
        <v>2046</v>
      </c>
      <c r="D101" s="19" t="n">
        <v>0.2255</v>
      </c>
      <c r="E101" s="19" t="inlineStr">
        <is>
          <t>NMIM v0.2 via MacroFiscalModels</t>
        </is>
      </c>
    </row>
    <row r="102">
      <c r="A102" s="19" t="inlineStr">
        <is>
          <t>COG</t>
        </is>
      </c>
      <c r="B102" s="19" t="inlineStr">
        <is>
          <t>pub_cap</t>
        </is>
      </c>
      <c r="C102" s="19" t="n">
        <v>2047</v>
      </c>
      <c r="D102" s="19" t="n">
        <v>0.2163</v>
      </c>
      <c r="E102" s="19" t="inlineStr">
        <is>
          <t>NMIM v0.2 via MacroFiscalModels</t>
        </is>
      </c>
    </row>
    <row r="103">
      <c r="A103" s="19" t="inlineStr">
        <is>
          <t>COG</t>
        </is>
      </c>
      <c r="B103" s="19" t="inlineStr">
        <is>
          <t>pub_cap</t>
        </is>
      </c>
      <c r="C103" s="19" t="n">
        <v>2048</v>
      </c>
      <c r="D103" s="19" t="n">
        <v>0.2075</v>
      </c>
      <c r="E103" s="19" t="inlineStr">
        <is>
          <t>NMIM v0.2 via MacroFiscalModels</t>
        </is>
      </c>
    </row>
    <row r="104">
      <c r="A104" s="19" t="inlineStr">
        <is>
          <t>COG</t>
        </is>
      </c>
      <c r="B104" s="19" t="inlineStr">
        <is>
          <t>pub_cap</t>
        </is>
      </c>
      <c r="C104" s="19" t="n">
        <v>2049</v>
      </c>
      <c r="D104" s="19" t="n">
        <v>0.1992</v>
      </c>
      <c r="E104" s="19" t="inlineStr">
        <is>
          <t>NMIM v0.2 via MacroFiscalModels</t>
        </is>
      </c>
    </row>
    <row r="105">
      <c r="A105" s="19" t="inlineStr">
        <is>
          <t>COG</t>
        </is>
      </c>
      <c r="B105" s="19" t="inlineStr">
        <is>
          <t>pub_cap</t>
        </is>
      </c>
      <c r="C105" s="19" t="n">
        <v>2050</v>
      </c>
      <c r="D105" s="19" t="n">
        <v>0.1911</v>
      </c>
      <c r="E105" s="19" t="inlineStr">
        <is>
          <t>NMIM v0.2 via MacroFiscalModels</t>
        </is>
      </c>
    </row>
    <row r="106">
      <c r="A106" s="19" t="inlineStr">
        <is>
          <t>COG</t>
        </is>
      </c>
      <c r="B106" s="19" t="inlineStr">
        <is>
          <t>pub_spend</t>
        </is>
      </c>
      <c r="C106" s="19" t="n">
        <v>2025</v>
      </c>
      <c r="D106" s="19" t="n">
        <v>0.5778</v>
      </c>
      <c r="E106" s="19" t="inlineStr">
        <is>
          <t>NMIM v0.2 via MacroFiscalModels</t>
        </is>
      </c>
    </row>
    <row r="107">
      <c r="A107" s="19" t="inlineStr">
        <is>
          <t>COG</t>
        </is>
      </c>
      <c r="B107" s="19" t="inlineStr">
        <is>
          <t>pub_spend</t>
        </is>
      </c>
      <c r="C107" s="19" t="n">
        <v>2026</v>
      </c>
      <c r="D107" s="19" t="n">
        <v>1.124</v>
      </c>
      <c r="E107" s="19" t="inlineStr">
        <is>
          <t>NMIM v0.2 via MacroFiscalModels</t>
        </is>
      </c>
    </row>
    <row r="108">
      <c r="A108" s="19" t="inlineStr">
        <is>
          <t>COG</t>
        </is>
      </c>
      <c r="B108" s="19" t="inlineStr">
        <is>
          <t>pub_spend</t>
        </is>
      </c>
      <c r="C108" s="19" t="n">
        <v>2027</v>
      </c>
      <c r="D108" s="19" t="n">
        <v>1.638</v>
      </c>
      <c r="E108" s="19" t="inlineStr">
        <is>
          <t>NMIM v0.2 via MacroFiscalModels</t>
        </is>
      </c>
    </row>
    <row r="109">
      <c r="A109" s="19" t="inlineStr">
        <is>
          <t>COG</t>
        </is>
      </c>
      <c r="B109" s="19" t="inlineStr">
        <is>
          <t>pub_spend</t>
        </is>
      </c>
      <c r="C109" s="19" t="n">
        <v>2028</v>
      </c>
      <c r="D109" s="19" t="n">
        <v>2.12</v>
      </c>
      <c r="E109" s="19" t="inlineStr">
        <is>
          <t>NMIM v0.2 via MacroFiscalModels</t>
        </is>
      </c>
    </row>
    <row r="110">
      <c r="A110" s="19" t="inlineStr">
        <is>
          <t>COG</t>
        </is>
      </c>
      <c r="B110" s="19" t="inlineStr">
        <is>
          <t>pub_spend</t>
        </is>
      </c>
      <c r="C110" s="19" t="n">
        <v>2029</v>
      </c>
      <c r="D110" s="19" t="n">
        <v>2.57</v>
      </c>
      <c r="E110" s="19" t="inlineStr">
        <is>
          <t>NMIM v0.2 via MacroFiscalModels</t>
        </is>
      </c>
    </row>
    <row r="111">
      <c r="A111" s="19" t="inlineStr">
        <is>
          <t>COG</t>
        </is>
      </c>
      <c r="B111" s="19" t="inlineStr">
        <is>
          <t>pub_spend</t>
        </is>
      </c>
      <c r="C111" s="19" t="n">
        <v>2030</v>
      </c>
      <c r="D111" s="19" t="n">
        <v>2.99</v>
      </c>
      <c r="E111" s="19" t="inlineStr">
        <is>
          <t>NMIM v0.2 via MacroFiscalModels</t>
        </is>
      </c>
    </row>
    <row r="112">
      <c r="A112" s="19" t="inlineStr">
        <is>
          <t>COG</t>
        </is>
      </c>
      <c r="B112" s="19" t="inlineStr">
        <is>
          <t>pub_spend</t>
        </is>
      </c>
      <c r="C112" s="19" t="n">
        <v>2031</v>
      </c>
      <c r="D112" s="19" t="n">
        <v>2.953</v>
      </c>
      <c r="E112" s="19" t="inlineStr">
        <is>
          <t>NMIM v0.2 via MacroFiscalModels</t>
        </is>
      </c>
    </row>
    <row r="113">
      <c r="A113" s="19" t="inlineStr">
        <is>
          <t>COG</t>
        </is>
      </c>
      <c r="B113" s="19" t="inlineStr">
        <is>
          <t>pub_spend</t>
        </is>
      </c>
      <c r="C113" s="19" t="n">
        <v>2032</v>
      </c>
      <c r="D113" s="19" t="n">
        <v>2.914</v>
      </c>
      <c r="E113" s="19" t="inlineStr">
        <is>
          <t>NMIM v0.2 via MacroFiscalModels</t>
        </is>
      </c>
    </row>
    <row r="114">
      <c r="A114" s="19" t="inlineStr">
        <is>
          <t>COG</t>
        </is>
      </c>
      <c r="B114" s="19" t="inlineStr">
        <is>
          <t>pub_spend</t>
        </is>
      </c>
      <c r="C114" s="19" t="n">
        <v>2033</v>
      </c>
      <c r="D114" s="19" t="n">
        <v>2.872</v>
      </c>
      <c r="E114" s="19" t="inlineStr">
        <is>
          <t>NMIM v0.2 via MacroFiscalModels</t>
        </is>
      </c>
    </row>
    <row r="115">
      <c r="A115" s="19" t="inlineStr">
        <is>
          <t>COG</t>
        </is>
      </c>
      <c r="B115" s="19" t="inlineStr">
        <is>
          <t>pub_spend</t>
        </is>
      </c>
      <c r="C115" s="19" t="n">
        <v>2034</v>
      </c>
      <c r="D115" s="19" t="n">
        <v>2.827</v>
      </c>
      <c r="E115" s="19" t="inlineStr">
        <is>
          <t>NMIM v0.2 via MacroFiscalModels</t>
        </is>
      </c>
    </row>
    <row r="116">
      <c r="A116" s="19" t="inlineStr">
        <is>
          <t>COG</t>
        </is>
      </c>
      <c r="B116" s="19" t="inlineStr">
        <is>
          <t>pub_spend</t>
        </is>
      </c>
      <c r="C116" s="19" t="n">
        <v>2035</v>
      </c>
      <c r="D116" s="19" t="n">
        <v>2.779</v>
      </c>
      <c r="E116" s="19" t="inlineStr">
        <is>
          <t>NMIM v0.2 via MacroFiscalModels</t>
        </is>
      </c>
    </row>
    <row r="117">
      <c r="A117" s="19" t="inlineStr">
        <is>
          <t>COG</t>
        </is>
      </c>
      <c r="B117" s="19" t="inlineStr">
        <is>
          <t>pub_spend</t>
        </is>
      </c>
      <c r="C117" s="19" t="n">
        <v>2036</v>
      </c>
      <c r="D117" s="19" t="n">
        <v>2.73</v>
      </c>
      <c r="E117" s="19" t="inlineStr">
        <is>
          <t>NMIM v0.2 via MacroFiscalModels</t>
        </is>
      </c>
    </row>
    <row r="118">
      <c r="A118" s="19" t="inlineStr">
        <is>
          <t>COG</t>
        </is>
      </c>
      <c r="B118" s="19" t="inlineStr">
        <is>
          <t>pub_spend</t>
        </is>
      </c>
      <c r="C118" s="19" t="n">
        <v>2037</v>
      </c>
      <c r="D118" s="19" t="n">
        <v>2.678</v>
      </c>
      <c r="E118" s="19" t="inlineStr">
        <is>
          <t>NMIM v0.2 via MacroFiscalModels</t>
        </is>
      </c>
    </row>
    <row r="119">
      <c r="A119" s="19" t="inlineStr">
        <is>
          <t>COG</t>
        </is>
      </c>
      <c r="B119" s="19" t="inlineStr">
        <is>
          <t>pub_spend</t>
        </is>
      </c>
      <c r="C119" s="19" t="n">
        <v>2038</v>
      </c>
      <c r="D119" s="19" t="n">
        <v>2.624</v>
      </c>
      <c r="E119" s="19" t="inlineStr">
        <is>
          <t>NMIM v0.2 via MacroFiscalModels</t>
        </is>
      </c>
    </row>
    <row r="120">
      <c r="A120" s="19" t="inlineStr">
        <is>
          <t>COG</t>
        </is>
      </c>
      <c r="B120" s="19" t="inlineStr">
        <is>
          <t>pub_spend</t>
        </is>
      </c>
      <c r="C120" s="19" t="n">
        <v>2039</v>
      </c>
      <c r="D120" s="19" t="n">
        <v>2.569</v>
      </c>
      <c r="E120" s="19" t="inlineStr">
        <is>
          <t>NMIM v0.2 via MacroFiscalModels</t>
        </is>
      </c>
    </row>
    <row r="121">
      <c r="A121" s="19" t="inlineStr">
        <is>
          <t>COG</t>
        </is>
      </c>
      <c r="B121" s="19" t="inlineStr">
        <is>
          <t>pub_spend</t>
        </is>
      </c>
      <c r="C121" s="19" t="n">
        <v>2040</v>
      </c>
      <c r="D121" s="19" t="n">
        <v>2.512</v>
      </c>
      <c r="E121" s="19" t="inlineStr">
        <is>
          <t>NMIM v0.2 via MacroFiscalModels</t>
        </is>
      </c>
    </row>
    <row r="122">
      <c r="A122" s="19" t="inlineStr">
        <is>
          <t>COG</t>
        </is>
      </c>
      <c r="B122" s="19" t="inlineStr">
        <is>
          <t>pub_spend</t>
        </is>
      </c>
      <c r="C122" s="19" t="n">
        <v>2041</v>
      </c>
      <c r="D122" s="19" t="n">
        <v>2.455</v>
      </c>
      <c r="E122" s="19" t="inlineStr">
        <is>
          <t>NMIM v0.2 via MacroFiscalModels</t>
        </is>
      </c>
    </row>
    <row r="123">
      <c r="A123" s="19" t="inlineStr">
        <is>
          <t>COG</t>
        </is>
      </c>
      <c r="B123" s="19" t="inlineStr">
        <is>
          <t>pub_spend</t>
        </is>
      </c>
      <c r="C123" s="19" t="n">
        <v>2042</v>
      </c>
      <c r="D123" s="19" t="n">
        <v>2.4</v>
      </c>
      <c r="E123" s="19" t="inlineStr">
        <is>
          <t>NMIM v0.2 via MacroFiscalModels</t>
        </is>
      </c>
    </row>
    <row r="124">
      <c r="A124" s="19" t="inlineStr">
        <is>
          <t>COG</t>
        </is>
      </c>
      <c r="B124" s="19" t="inlineStr">
        <is>
          <t>pub_spend</t>
        </is>
      </c>
      <c r="C124" s="19" t="n">
        <v>2043</v>
      </c>
      <c r="D124" s="19" t="n">
        <v>2.344</v>
      </c>
      <c r="E124" s="19" t="inlineStr">
        <is>
          <t>NMIM v0.2 via MacroFiscalModels</t>
        </is>
      </c>
    </row>
    <row r="125">
      <c r="A125" s="19" t="inlineStr">
        <is>
          <t>COG</t>
        </is>
      </c>
      <c r="B125" s="19" t="inlineStr">
        <is>
          <t>pub_spend</t>
        </is>
      </c>
      <c r="C125" s="19" t="n">
        <v>2044</v>
      </c>
      <c r="D125" s="19" t="n">
        <v>2.29</v>
      </c>
      <c r="E125" s="19" t="inlineStr">
        <is>
          <t>NMIM v0.2 via MacroFiscalModels</t>
        </is>
      </c>
    </row>
    <row r="126">
      <c r="A126" s="19" t="inlineStr">
        <is>
          <t>COG</t>
        </is>
      </c>
      <c r="B126" s="19" t="inlineStr">
        <is>
          <t>pub_spend</t>
        </is>
      </c>
      <c r="C126" s="19" t="n">
        <v>2045</v>
      </c>
      <c r="D126" s="19" t="n">
        <v>2.236</v>
      </c>
      <c r="E126" s="19" t="inlineStr">
        <is>
          <t>NMIM v0.2 via MacroFiscalModels</t>
        </is>
      </c>
    </row>
    <row r="127">
      <c r="A127" s="19" t="inlineStr">
        <is>
          <t>COG</t>
        </is>
      </c>
      <c r="B127" s="19" t="inlineStr">
        <is>
          <t>pub_spend</t>
        </is>
      </c>
      <c r="C127" s="19" t="n">
        <v>2046</v>
      </c>
      <c r="D127" s="19" t="n">
        <v>2.183</v>
      </c>
      <c r="E127" s="19" t="inlineStr">
        <is>
          <t>NMIM v0.2 via MacroFiscalModels</t>
        </is>
      </c>
    </row>
    <row r="128">
      <c r="A128" s="19" t="inlineStr">
        <is>
          <t>COG</t>
        </is>
      </c>
      <c r="B128" s="19" t="inlineStr">
        <is>
          <t>pub_spend</t>
        </is>
      </c>
      <c r="C128" s="19" t="n">
        <v>2047</v>
      </c>
      <c r="D128" s="19" t="n">
        <v>2.131</v>
      </c>
      <c r="E128" s="19" t="inlineStr">
        <is>
          <t>NMIM v0.2 via MacroFiscalModels</t>
        </is>
      </c>
    </row>
    <row r="129">
      <c r="A129" s="19" t="inlineStr">
        <is>
          <t>COG</t>
        </is>
      </c>
      <c r="B129" s="19" t="inlineStr">
        <is>
          <t>pub_spend</t>
        </is>
      </c>
      <c r="C129" s="19" t="n">
        <v>2048</v>
      </c>
      <c r="D129" s="19" t="n">
        <v>2.08</v>
      </c>
      <c r="E129" s="19" t="inlineStr">
        <is>
          <t>NMIM v0.2 via MacroFiscalModels</t>
        </is>
      </c>
    </row>
    <row r="130">
      <c r="A130" s="19" t="inlineStr">
        <is>
          <t>COG</t>
        </is>
      </c>
      <c r="B130" s="19" t="inlineStr">
        <is>
          <t>pub_spend</t>
        </is>
      </c>
      <c r="C130" s="19" t="n">
        <v>2049</v>
      </c>
      <c r="D130" s="19" t="n">
        <v>2.029</v>
      </c>
      <c r="E130" s="19" t="inlineStr">
        <is>
          <t>NMIM v0.2 via MacroFiscalModels</t>
        </is>
      </c>
    </row>
    <row r="131">
      <c r="A131" s="19" t="inlineStr">
        <is>
          <t>COG</t>
        </is>
      </c>
      <c r="B131" s="19" t="inlineStr">
        <is>
          <t>pub_spend</t>
        </is>
      </c>
      <c r="C131" s="19" t="n">
        <v>2050</v>
      </c>
      <c r="D131" s="19" t="n">
        <v>1.979</v>
      </c>
      <c r="E131" s="19" t="inlineStr">
        <is>
          <t>NMIM v0.2 via MacroFiscalModels</t>
        </is>
      </c>
    </row>
    <row r="132">
      <c r="A132" s="19" t="inlineStr">
        <is>
          <t>COG</t>
        </is>
      </c>
      <c r="B132" s="19" t="inlineStr">
        <is>
          <t>rev</t>
        </is>
      </c>
      <c r="C132" s="19" t="n">
        <v>2025</v>
      </c>
      <c r="D132" s="19" t="n">
        <v>0.1982</v>
      </c>
      <c r="E132" s="19" t="inlineStr">
        <is>
          <t>PriceFeasibility v0.1 x NMIM power CO2</t>
        </is>
      </c>
    </row>
    <row r="133">
      <c r="A133" s="19" t="inlineStr">
        <is>
          <t>COG</t>
        </is>
      </c>
      <c r="B133" s="19" t="inlineStr">
        <is>
          <t>rev</t>
        </is>
      </c>
      <c r="C133" s="19" t="n">
        <v>2026</v>
      </c>
      <c r="D133" s="19" t="n">
        <v>0.2028</v>
      </c>
      <c r="E133" s="19" t="inlineStr">
        <is>
          <t>PriceFeasibility v0.1 x NMIM power CO2</t>
        </is>
      </c>
    </row>
    <row r="134">
      <c r="A134" s="19" t="inlineStr">
        <is>
          <t>COG</t>
        </is>
      </c>
      <c r="B134" s="19" t="inlineStr">
        <is>
          <t>rev</t>
        </is>
      </c>
      <c r="C134" s="19" t="n">
        <v>2027</v>
      </c>
      <c r="D134" s="19" t="n">
        <v>0.208</v>
      </c>
      <c r="E134" s="19" t="inlineStr">
        <is>
          <t>PriceFeasibility v0.1 x NMIM power CO2</t>
        </is>
      </c>
    </row>
    <row r="135">
      <c r="A135" s="19" t="inlineStr">
        <is>
          <t>COG</t>
        </is>
      </c>
      <c r="B135" s="19" t="inlineStr">
        <is>
          <t>rev</t>
        </is>
      </c>
      <c r="C135" s="19" t="n">
        <v>2028</v>
      </c>
      <c r="D135" s="19" t="n">
        <v>0.2118</v>
      </c>
      <c r="E135" s="19" t="inlineStr">
        <is>
          <t>PriceFeasibility v0.1 x NMIM power CO2</t>
        </is>
      </c>
    </row>
    <row r="136">
      <c r="A136" s="19" t="inlineStr">
        <is>
          <t>COG</t>
        </is>
      </c>
      <c r="B136" s="19" t="inlineStr">
        <is>
          <t>rev</t>
        </is>
      </c>
      <c r="C136" s="19" t="n">
        <v>2029</v>
      </c>
      <c r="D136" s="19" t="n">
        <v>0.2009</v>
      </c>
      <c r="E136" s="19" t="inlineStr">
        <is>
          <t>PriceFeasibility v0.1 x NMIM power CO2</t>
        </is>
      </c>
    </row>
    <row r="137">
      <c r="A137" s="19" t="inlineStr">
        <is>
          <t>COG</t>
        </is>
      </c>
      <c r="B137" s="19" t="inlineStr">
        <is>
          <t>rev</t>
        </is>
      </c>
      <c r="C137" s="19" t="n">
        <v>2030</v>
      </c>
      <c r="D137" s="19" t="n">
        <v>0.1899</v>
      </c>
      <c r="E137" s="19" t="inlineStr">
        <is>
          <t>PriceFeasibility v0.1 x NMIM power CO2</t>
        </is>
      </c>
    </row>
    <row r="138">
      <c r="A138" s="19" t="inlineStr">
        <is>
          <t>COG</t>
        </is>
      </c>
      <c r="B138" s="19" t="inlineStr">
        <is>
          <t>rev</t>
        </is>
      </c>
      <c r="C138" s="19" t="n">
        <v>2031</v>
      </c>
      <c r="D138" s="19" t="n">
        <v>0.1789</v>
      </c>
      <c r="E138" s="19" t="inlineStr">
        <is>
          <t>PriceFeasibility v0.1 x NMIM power CO2</t>
        </is>
      </c>
    </row>
    <row r="139">
      <c r="A139" s="19" t="inlineStr">
        <is>
          <t>COG</t>
        </is>
      </c>
      <c r="B139" s="19" t="inlineStr">
        <is>
          <t>rev</t>
        </is>
      </c>
      <c r="C139" s="19" t="n">
        <v>2032</v>
      </c>
      <c r="D139" s="19" t="n">
        <v>0.1677</v>
      </c>
      <c r="E139" s="19" t="inlineStr">
        <is>
          <t>PriceFeasibility v0.1 x NMIM power CO2</t>
        </is>
      </c>
    </row>
    <row r="140">
      <c r="A140" s="19" t="inlineStr">
        <is>
          <t>COG</t>
        </is>
      </c>
      <c r="B140" s="19" t="inlineStr">
        <is>
          <t>rev</t>
        </is>
      </c>
      <c r="C140" s="19" t="n">
        <v>2033</v>
      </c>
      <c r="D140" s="19" t="n">
        <v>0.1563</v>
      </c>
      <c r="E140" s="19" t="inlineStr">
        <is>
          <t>PriceFeasibility v0.1 x NMIM power CO2</t>
        </is>
      </c>
    </row>
    <row r="141">
      <c r="A141" s="19" t="inlineStr">
        <is>
          <t>COG</t>
        </is>
      </c>
      <c r="B141" s="19" t="inlineStr">
        <is>
          <t>rev</t>
        </is>
      </c>
      <c r="C141" s="19" t="n">
        <v>2034</v>
      </c>
      <c r="D141" s="19" t="n">
        <v>0.1447</v>
      </c>
      <c r="E141" s="19" t="inlineStr">
        <is>
          <t>PriceFeasibility v0.1 x NMIM power CO2</t>
        </is>
      </c>
    </row>
    <row r="142">
      <c r="A142" s="19" t="inlineStr">
        <is>
          <t>COG</t>
        </is>
      </c>
      <c r="B142" s="19" t="inlineStr">
        <is>
          <t>rev</t>
        </is>
      </c>
      <c r="C142" s="19" t="n">
        <v>2035</v>
      </c>
      <c r="D142" s="19" t="n">
        <v>0.1328</v>
      </c>
      <c r="E142" s="19" t="inlineStr">
        <is>
          <t>PriceFeasibility v0.1 x NMIM power CO2</t>
        </is>
      </c>
    </row>
    <row r="143">
      <c r="A143" s="19" t="inlineStr">
        <is>
          <t>COG</t>
        </is>
      </c>
      <c r="B143" s="19" t="inlineStr">
        <is>
          <t>rev</t>
        </is>
      </c>
      <c r="C143" s="19" t="n">
        <v>2036</v>
      </c>
      <c r="D143" s="19" t="n">
        <v>0.1207</v>
      </c>
      <c r="E143" s="19" t="inlineStr">
        <is>
          <t>PriceFeasibility v0.1 x NMIM power CO2</t>
        </is>
      </c>
    </row>
    <row r="144">
      <c r="A144" s="19" t="inlineStr">
        <is>
          <t>COG</t>
        </is>
      </c>
      <c r="B144" s="19" t="inlineStr">
        <is>
          <t>rev</t>
        </is>
      </c>
      <c r="C144" s="19" t="n">
        <v>2037</v>
      </c>
      <c r="D144" s="19" t="n">
        <v>0.1082</v>
      </c>
      <c r="E144" s="19" t="inlineStr">
        <is>
          <t>PriceFeasibility v0.1 x NMIM power CO2</t>
        </is>
      </c>
    </row>
    <row r="145">
      <c r="A145" s="19" t="inlineStr">
        <is>
          <t>COG</t>
        </is>
      </c>
      <c r="B145" s="19" t="inlineStr">
        <is>
          <t>rev</t>
        </is>
      </c>
      <c r="C145" s="19" t="n">
        <v>2038</v>
      </c>
      <c r="D145" s="19" t="n">
        <v>0.09555</v>
      </c>
      <c r="E145" s="19" t="inlineStr">
        <is>
          <t>PriceFeasibility v0.1 x NMIM power CO2</t>
        </is>
      </c>
    </row>
    <row r="146">
      <c r="A146" s="19" t="inlineStr">
        <is>
          <t>COG</t>
        </is>
      </c>
      <c r="B146" s="19" t="inlineStr">
        <is>
          <t>rev</t>
        </is>
      </c>
      <c r="C146" s="19" t="n">
        <v>2039</v>
      </c>
      <c r="D146" s="19" t="n">
        <v>0.08258</v>
      </c>
      <c r="E146" s="19" t="inlineStr">
        <is>
          <t>PriceFeasibility v0.1 x NMIM power CO2</t>
        </is>
      </c>
    </row>
    <row r="147">
      <c r="A147" s="19" t="inlineStr">
        <is>
          <t>COG</t>
        </is>
      </c>
      <c r="B147" s="19" t="inlineStr">
        <is>
          <t>rev</t>
        </is>
      </c>
      <c r="C147" s="19" t="n">
        <v>2040</v>
      </c>
      <c r="D147" s="19" t="n">
        <v>0.06934999999999999</v>
      </c>
      <c r="E147" s="19" t="inlineStr">
        <is>
          <t>PriceFeasibility v0.1 x NMIM power CO2</t>
        </is>
      </c>
    </row>
    <row r="148">
      <c r="A148" s="19" t="inlineStr">
        <is>
          <t>COG</t>
        </is>
      </c>
      <c r="B148" s="19" t="inlineStr">
        <is>
          <t>rev</t>
        </is>
      </c>
      <c r="C148" s="19" t="n">
        <v>2041</v>
      </c>
      <c r="D148" s="19" t="n">
        <v>0.05579</v>
      </c>
      <c r="E148" s="19" t="inlineStr">
        <is>
          <t>PriceFeasibility v0.1 x NMIM power CO2</t>
        </is>
      </c>
    </row>
    <row r="149">
      <c r="A149" s="19" t="inlineStr">
        <is>
          <t>COG</t>
        </is>
      </c>
      <c r="B149" s="19" t="inlineStr">
        <is>
          <t>rev</t>
        </is>
      </c>
      <c r="C149" s="19" t="n">
        <v>2042</v>
      </c>
      <c r="D149" s="19" t="n">
        <v>0.042</v>
      </c>
      <c r="E149" s="19" t="inlineStr">
        <is>
          <t>PriceFeasibility v0.1 x NMIM power CO2</t>
        </is>
      </c>
    </row>
    <row r="150">
      <c r="A150" s="19" t="inlineStr">
        <is>
          <t>COG</t>
        </is>
      </c>
      <c r="B150" s="19" t="inlineStr">
        <is>
          <t>rev</t>
        </is>
      </c>
      <c r="C150" s="19" t="n">
        <v>2043</v>
      </c>
      <c r="D150" s="19" t="n">
        <v>0.02806</v>
      </c>
      <c r="E150" s="19" t="inlineStr">
        <is>
          <t>PriceFeasibility v0.1 x NMIM power CO2</t>
        </is>
      </c>
    </row>
    <row r="151">
      <c r="A151" s="19" t="inlineStr">
        <is>
          <t>COG</t>
        </is>
      </c>
      <c r="B151" s="19" t="inlineStr">
        <is>
          <t>rev</t>
        </is>
      </c>
      <c r="C151" s="19" t="n">
        <v>2044</v>
      </c>
      <c r="D151" s="19" t="n">
        <v>0.01404</v>
      </c>
      <c r="E151" s="19" t="inlineStr">
        <is>
          <t>PriceFeasibility v0.1 x NMIM power CO2</t>
        </is>
      </c>
    </row>
    <row r="152">
      <c r="A152" s="19" t="inlineStr">
        <is>
          <t>COG</t>
        </is>
      </c>
      <c r="B152" s="19" t="inlineStr">
        <is>
          <t>rev</t>
        </is>
      </c>
      <c r="C152" s="19" t="n">
        <v>2045</v>
      </c>
      <c r="D152" s="19" t="n">
        <v>0</v>
      </c>
      <c r="E152" s="19" t="inlineStr">
        <is>
          <t>PriceFeasibility v0.1 x NMIM power CO2</t>
        </is>
      </c>
    </row>
    <row r="153">
      <c r="A153" s="19" t="inlineStr">
        <is>
          <t>COG</t>
        </is>
      </c>
      <c r="B153" s="19" t="inlineStr">
        <is>
          <t>rev</t>
        </is>
      </c>
      <c r="C153" s="19" t="n">
        <v>2046</v>
      </c>
      <c r="D153" s="19" t="n">
        <v>0</v>
      </c>
      <c r="E153" s="19" t="inlineStr">
        <is>
          <t>PriceFeasibility v0.1 x NMIM power CO2</t>
        </is>
      </c>
    </row>
    <row r="154">
      <c r="A154" s="19" t="inlineStr">
        <is>
          <t>COG</t>
        </is>
      </c>
      <c r="B154" s="19" t="inlineStr">
        <is>
          <t>rev</t>
        </is>
      </c>
      <c r="C154" s="19" t="n">
        <v>2047</v>
      </c>
      <c r="D154" s="19" t="n">
        <v>0</v>
      </c>
      <c r="E154" s="19" t="inlineStr">
        <is>
          <t>PriceFeasibility v0.1 x NMIM power CO2</t>
        </is>
      </c>
    </row>
    <row r="155">
      <c r="A155" s="19" t="inlineStr">
        <is>
          <t>COG</t>
        </is>
      </c>
      <c r="B155" s="19" t="inlineStr">
        <is>
          <t>rev</t>
        </is>
      </c>
      <c r="C155" s="19" t="n">
        <v>2048</v>
      </c>
      <c r="D155" s="19" t="n">
        <v>0</v>
      </c>
      <c r="E155" s="19" t="inlineStr">
        <is>
          <t>PriceFeasibility v0.1 x NMIM power CO2</t>
        </is>
      </c>
    </row>
    <row r="156">
      <c r="A156" s="19" t="inlineStr">
        <is>
          <t>COG</t>
        </is>
      </c>
      <c r="B156" s="19" t="inlineStr">
        <is>
          <t>rev</t>
        </is>
      </c>
      <c r="C156" s="19" t="n">
        <v>2049</v>
      </c>
      <c r="D156" s="19" t="n">
        <v>0</v>
      </c>
      <c r="E156" s="19" t="inlineStr">
        <is>
          <t>PriceFeasibility v0.1 x NMIM power CO2</t>
        </is>
      </c>
    </row>
    <row r="157">
      <c r="A157" s="19" t="inlineStr">
        <is>
          <t>COG</t>
        </is>
      </c>
      <c r="B157" s="19" t="inlineStr">
        <is>
          <t>rev</t>
        </is>
      </c>
      <c r="C157" s="19" t="n">
        <v>2050</v>
      </c>
      <c r="D157" s="19" t="n">
        <v>0</v>
      </c>
      <c r="E157" s="19" t="inlineStr">
        <is>
          <t>PriceFeasibility v0.1 x NMIM power CO2</t>
        </is>
      </c>
    </row>
    <row r="158">
      <c r="A158" s="19" t="inlineStr">
        <is>
          <t>ETH</t>
        </is>
      </c>
      <c r="B158" s="19" t="inlineStr">
        <is>
          <t>pub_cap</t>
        </is>
      </c>
      <c r="C158" s="19" t="n">
        <v>2025</v>
      </c>
      <c r="D158" s="19" t="n">
        <v>0.07316</v>
      </c>
      <c r="E158" s="19" t="inlineStr">
        <is>
          <t>NMIM v0.2 via MacroFiscalModels</t>
        </is>
      </c>
    </row>
    <row r="159">
      <c r="A159" s="19" t="inlineStr">
        <is>
          <t>ETH</t>
        </is>
      </c>
      <c r="B159" s="19" t="inlineStr">
        <is>
          <t>pub_cap</t>
        </is>
      </c>
      <c r="C159" s="19" t="n">
        <v>2026</v>
      </c>
      <c r="D159" s="19" t="n">
        <v>0.08882</v>
      </c>
      <c r="E159" s="19" t="inlineStr">
        <is>
          <t>NMIM v0.2 via MacroFiscalModels</t>
        </is>
      </c>
    </row>
    <row r="160">
      <c r="A160" s="19" t="inlineStr">
        <is>
          <t>ETH</t>
        </is>
      </c>
      <c r="B160" s="19" t="inlineStr">
        <is>
          <t>pub_cap</t>
        </is>
      </c>
      <c r="C160" s="19" t="n">
        <v>2027</v>
      </c>
      <c r="D160" s="19" t="n">
        <v>0.09737</v>
      </c>
      <c r="E160" s="19" t="inlineStr">
        <is>
          <t>NMIM v0.2 via MacroFiscalModels</t>
        </is>
      </c>
    </row>
    <row r="161">
      <c r="A161" s="19" t="inlineStr">
        <is>
          <t>ETH</t>
        </is>
      </c>
      <c r="B161" s="19" t="inlineStr">
        <is>
          <t>pub_cap</t>
        </is>
      </c>
      <c r="C161" s="19" t="n">
        <v>2028</v>
      </c>
      <c r="D161" s="19" t="n">
        <v>0.1001</v>
      </c>
      <c r="E161" s="19" t="inlineStr">
        <is>
          <t>NMIM v0.2 via MacroFiscalModels</t>
        </is>
      </c>
    </row>
    <row r="162">
      <c r="A162" s="19" t="inlineStr">
        <is>
          <t>ETH</t>
        </is>
      </c>
      <c r="B162" s="19" t="inlineStr">
        <is>
          <t>pub_cap</t>
        </is>
      </c>
      <c r="C162" s="19" t="n">
        <v>2029</v>
      </c>
      <c r="D162" s="19" t="n">
        <v>0.2742</v>
      </c>
      <c r="E162" s="19" t="inlineStr">
        <is>
          <t>NMIM v0.2 via MacroFiscalModels</t>
        </is>
      </c>
    </row>
    <row r="163">
      <c r="A163" s="19" t="inlineStr">
        <is>
          <t>ETH</t>
        </is>
      </c>
      <c r="B163" s="19" t="inlineStr">
        <is>
          <t>pub_cap</t>
        </is>
      </c>
      <c r="C163" s="19" t="n">
        <v>2030</v>
      </c>
      <c r="D163" s="19" t="n">
        <v>0.3689</v>
      </c>
      <c r="E163" s="19" t="inlineStr">
        <is>
          <t>NMIM v0.2 via MacroFiscalModels</t>
        </is>
      </c>
    </row>
    <row r="164">
      <c r="A164" s="19" t="inlineStr">
        <is>
          <t>ETH</t>
        </is>
      </c>
      <c r="B164" s="19" t="inlineStr">
        <is>
          <t>pub_cap</t>
        </is>
      </c>
      <c r="C164" s="19" t="n">
        <v>2031</v>
      </c>
      <c r="D164" s="19" t="n">
        <v>0.3707</v>
      </c>
      <c r="E164" s="19" t="inlineStr">
        <is>
          <t>NMIM v0.2 via MacroFiscalModels</t>
        </is>
      </c>
    </row>
    <row r="165">
      <c r="A165" s="19" t="inlineStr">
        <is>
          <t>ETH</t>
        </is>
      </c>
      <c r="B165" s="19" t="inlineStr">
        <is>
          <t>pub_cap</t>
        </is>
      </c>
      <c r="C165" s="19" t="n">
        <v>2032</v>
      </c>
      <c r="D165" s="19" t="n">
        <v>0.2998</v>
      </c>
      <c r="E165" s="19" t="inlineStr">
        <is>
          <t>NMIM v0.2 via MacroFiscalModels</t>
        </is>
      </c>
    </row>
    <row r="166">
      <c r="A166" s="19" t="inlineStr">
        <is>
          <t>ETH</t>
        </is>
      </c>
      <c r="B166" s="19" t="inlineStr">
        <is>
          <t>pub_cap</t>
        </is>
      </c>
      <c r="C166" s="19" t="n">
        <v>2033</v>
      </c>
      <c r="D166" s="19" t="n">
        <v>0.2762</v>
      </c>
      <c r="E166" s="19" t="inlineStr">
        <is>
          <t>NMIM v0.2 via MacroFiscalModels</t>
        </is>
      </c>
    </row>
    <row r="167">
      <c r="A167" s="19" t="inlineStr">
        <is>
          <t>ETH</t>
        </is>
      </c>
      <c r="B167" s="19" t="inlineStr">
        <is>
          <t>pub_cap</t>
        </is>
      </c>
      <c r="C167" s="19" t="n">
        <v>2034</v>
      </c>
      <c r="D167" s="19" t="n">
        <v>0.289</v>
      </c>
      <c r="E167" s="19" t="inlineStr">
        <is>
          <t>NMIM v0.2 via MacroFiscalModels</t>
        </is>
      </c>
    </row>
    <row r="168">
      <c r="A168" s="19" t="inlineStr">
        <is>
          <t>ETH</t>
        </is>
      </c>
      <c r="B168" s="19" t="inlineStr">
        <is>
          <t>pub_cap</t>
        </is>
      </c>
      <c r="C168" s="19" t="n">
        <v>2035</v>
      </c>
      <c r="D168" s="19" t="n">
        <v>0.2986</v>
      </c>
      <c r="E168" s="19" t="inlineStr">
        <is>
          <t>NMIM v0.2 via MacroFiscalModels</t>
        </is>
      </c>
    </row>
    <row r="169">
      <c r="A169" s="19" t="inlineStr">
        <is>
          <t>ETH</t>
        </is>
      </c>
      <c r="B169" s="19" t="inlineStr">
        <is>
          <t>pub_cap</t>
        </is>
      </c>
      <c r="C169" s="19" t="n">
        <v>2036</v>
      </c>
      <c r="D169" s="19" t="n">
        <v>0.3039</v>
      </c>
      <c r="E169" s="19" t="inlineStr">
        <is>
          <t>NMIM v0.2 via MacroFiscalModels</t>
        </is>
      </c>
    </row>
    <row r="170">
      <c r="A170" s="19" t="inlineStr">
        <is>
          <t>ETH</t>
        </is>
      </c>
      <c r="B170" s="19" t="inlineStr">
        <is>
          <t>pub_cap</t>
        </is>
      </c>
      <c r="C170" s="19" t="n">
        <v>2037</v>
      </c>
      <c r="D170" s="19" t="n">
        <v>0.3067</v>
      </c>
      <c r="E170" s="19" t="inlineStr">
        <is>
          <t>NMIM v0.2 via MacroFiscalModels</t>
        </is>
      </c>
    </row>
    <row r="171">
      <c r="A171" s="19" t="inlineStr">
        <is>
          <t>ETH</t>
        </is>
      </c>
      <c r="B171" s="19" t="inlineStr">
        <is>
          <t>pub_cap</t>
        </is>
      </c>
      <c r="C171" s="19" t="n">
        <v>2038</v>
      </c>
      <c r="D171" s="19" t="n">
        <v>0.3078</v>
      </c>
      <c r="E171" s="19" t="inlineStr">
        <is>
          <t>NMIM v0.2 via MacroFiscalModels</t>
        </is>
      </c>
    </row>
    <row r="172">
      <c r="A172" s="19" t="inlineStr">
        <is>
          <t>ETH</t>
        </is>
      </c>
      <c r="B172" s="19" t="inlineStr">
        <is>
          <t>pub_cap</t>
        </is>
      </c>
      <c r="C172" s="19" t="n">
        <v>2039</v>
      </c>
      <c r="D172" s="19" t="n">
        <v>0.3074</v>
      </c>
      <c r="E172" s="19" t="inlineStr">
        <is>
          <t>NMIM v0.2 via MacroFiscalModels</t>
        </is>
      </c>
    </row>
    <row r="173">
      <c r="A173" s="19" t="inlineStr">
        <is>
          <t>ETH</t>
        </is>
      </c>
      <c r="B173" s="19" t="inlineStr">
        <is>
          <t>pub_cap</t>
        </is>
      </c>
      <c r="C173" s="19" t="n">
        <v>2040</v>
      </c>
      <c r="D173" s="19" t="n">
        <v>0.3057</v>
      </c>
      <c r="E173" s="19" t="inlineStr">
        <is>
          <t>NMIM v0.2 via MacroFiscalModels</t>
        </is>
      </c>
    </row>
    <row r="174">
      <c r="A174" s="19" t="inlineStr">
        <is>
          <t>ETH</t>
        </is>
      </c>
      <c r="B174" s="19" t="inlineStr">
        <is>
          <t>pub_cap</t>
        </is>
      </c>
      <c r="C174" s="19" t="n">
        <v>2041</v>
      </c>
      <c r="D174" s="19" t="n">
        <v>0.3026</v>
      </c>
      <c r="E174" s="19" t="inlineStr">
        <is>
          <t>NMIM v0.2 via MacroFiscalModels</t>
        </is>
      </c>
    </row>
    <row r="175">
      <c r="A175" s="19" t="inlineStr">
        <is>
          <t>ETH</t>
        </is>
      </c>
      <c r="B175" s="19" t="inlineStr">
        <is>
          <t>pub_cap</t>
        </is>
      </c>
      <c r="C175" s="19" t="n">
        <v>2042</v>
      </c>
      <c r="D175" s="19" t="n">
        <v>0.2992</v>
      </c>
      <c r="E175" s="19" t="inlineStr">
        <is>
          <t>NMIM v0.2 via MacroFiscalModels</t>
        </is>
      </c>
    </row>
    <row r="176">
      <c r="A176" s="19" t="inlineStr">
        <is>
          <t>ETH</t>
        </is>
      </c>
      <c r="B176" s="19" t="inlineStr">
        <is>
          <t>pub_cap</t>
        </is>
      </c>
      <c r="C176" s="19" t="n">
        <v>2043</v>
      </c>
      <c r="D176" s="19" t="n">
        <v>0.2955</v>
      </c>
      <c r="E176" s="19" t="inlineStr">
        <is>
          <t>NMIM v0.2 via MacroFiscalModels</t>
        </is>
      </c>
    </row>
    <row r="177">
      <c r="A177" s="19" t="inlineStr">
        <is>
          <t>ETH</t>
        </is>
      </c>
      <c r="B177" s="19" t="inlineStr">
        <is>
          <t>pub_cap</t>
        </is>
      </c>
      <c r="C177" s="19" t="n">
        <v>2044</v>
      </c>
      <c r="D177" s="19" t="n">
        <v>0.2917</v>
      </c>
      <c r="E177" s="19" t="inlineStr">
        <is>
          <t>NMIM v0.2 via MacroFiscalModels</t>
        </is>
      </c>
    </row>
    <row r="178">
      <c r="A178" s="19" t="inlineStr">
        <is>
          <t>ETH</t>
        </is>
      </c>
      <c r="B178" s="19" t="inlineStr">
        <is>
          <t>pub_cap</t>
        </is>
      </c>
      <c r="C178" s="19" t="n">
        <v>2045</v>
      </c>
      <c r="D178" s="19" t="n">
        <v>0.2877</v>
      </c>
      <c r="E178" s="19" t="inlineStr">
        <is>
          <t>NMIM v0.2 via MacroFiscalModels</t>
        </is>
      </c>
    </row>
    <row r="179">
      <c r="A179" s="19" t="inlineStr">
        <is>
          <t>ETH</t>
        </is>
      </c>
      <c r="B179" s="19" t="inlineStr">
        <is>
          <t>pub_cap</t>
        </is>
      </c>
      <c r="C179" s="19" t="n">
        <v>2046</v>
      </c>
      <c r="D179" s="19" t="n">
        <v>0.2835</v>
      </c>
      <c r="E179" s="19" t="inlineStr">
        <is>
          <t>NMIM v0.2 via MacroFiscalModels</t>
        </is>
      </c>
    </row>
    <row r="180">
      <c r="A180" s="19" t="inlineStr">
        <is>
          <t>ETH</t>
        </is>
      </c>
      <c r="B180" s="19" t="inlineStr">
        <is>
          <t>pub_cap</t>
        </is>
      </c>
      <c r="C180" s="19" t="n">
        <v>2047</v>
      </c>
      <c r="D180" s="19" t="n">
        <v>0.2793</v>
      </c>
      <c r="E180" s="19" t="inlineStr">
        <is>
          <t>NMIM v0.2 via MacroFiscalModels</t>
        </is>
      </c>
    </row>
    <row r="181">
      <c r="A181" s="19" t="inlineStr">
        <is>
          <t>ETH</t>
        </is>
      </c>
      <c r="B181" s="19" t="inlineStr">
        <is>
          <t>pub_cap</t>
        </is>
      </c>
      <c r="C181" s="19" t="n">
        <v>2048</v>
      </c>
      <c r="D181" s="19" t="n">
        <v>0.2751</v>
      </c>
      <c r="E181" s="19" t="inlineStr">
        <is>
          <t>NMIM v0.2 via MacroFiscalModels</t>
        </is>
      </c>
    </row>
    <row r="182">
      <c r="A182" s="19" t="inlineStr">
        <is>
          <t>ETH</t>
        </is>
      </c>
      <c r="B182" s="19" t="inlineStr">
        <is>
          <t>pub_cap</t>
        </is>
      </c>
      <c r="C182" s="19" t="n">
        <v>2049</v>
      </c>
      <c r="D182" s="19" t="n">
        <v>0.2707</v>
      </c>
      <c r="E182" s="19" t="inlineStr">
        <is>
          <t>NMIM v0.2 via MacroFiscalModels</t>
        </is>
      </c>
    </row>
    <row r="183">
      <c r="A183" s="19" t="inlineStr">
        <is>
          <t>ETH</t>
        </is>
      </c>
      <c r="B183" s="19" t="inlineStr">
        <is>
          <t>pub_cap</t>
        </is>
      </c>
      <c r="C183" s="19" t="n">
        <v>2050</v>
      </c>
      <c r="D183" s="19" t="n">
        <v>0.2664</v>
      </c>
      <c r="E183" s="19" t="inlineStr">
        <is>
          <t>NMIM v0.2 via MacroFiscalModels</t>
        </is>
      </c>
    </row>
    <row r="184">
      <c r="A184" s="19" t="inlineStr">
        <is>
          <t>ETH</t>
        </is>
      </c>
      <c r="B184" s="19" t="inlineStr">
        <is>
          <t>pub_spend</t>
        </is>
      </c>
      <c r="C184" s="19" t="n">
        <v>2025</v>
      </c>
      <c r="D184" s="19" t="n">
        <v>0.2801</v>
      </c>
      <c r="E184" s="19" t="inlineStr">
        <is>
          <t>NMIM v0.2 via MacroFiscalModels</t>
        </is>
      </c>
    </row>
    <row r="185">
      <c r="A185" s="19" t="inlineStr">
        <is>
          <t>ETH</t>
        </is>
      </c>
      <c r="B185" s="19" t="inlineStr">
        <is>
          <t>pub_spend</t>
        </is>
      </c>
      <c r="C185" s="19" t="n">
        <v>2026</v>
      </c>
      <c r="D185" s="19" t="n">
        <v>0.5131</v>
      </c>
      <c r="E185" s="19" t="inlineStr">
        <is>
          <t>NMIM v0.2 via MacroFiscalModels</t>
        </is>
      </c>
    </row>
    <row r="186">
      <c r="A186" s="19" t="inlineStr">
        <is>
          <t>ETH</t>
        </is>
      </c>
      <c r="B186" s="19" t="inlineStr">
        <is>
          <t>pub_spend</t>
        </is>
      </c>
      <c r="C186" s="19" t="n">
        <v>2027</v>
      </c>
      <c r="D186" s="19" t="n">
        <v>0.7069</v>
      </c>
      <c r="E186" s="19" t="inlineStr">
        <is>
          <t>NMIM v0.2 via MacroFiscalModels</t>
        </is>
      </c>
    </row>
    <row r="187">
      <c r="A187" s="19" t="inlineStr">
        <is>
          <t>ETH</t>
        </is>
      </c>
      <c r="B187" s="19" t="inlineStr">
        <is>
          <t>pub_spend</t>
        </is>
      </c>
      <c r="C187" s="19" t="n">
        <v>2028</v>
      </c>
      <c r="D187" s="19" t="n">
        <v>0.8685</v>
      </c>
      <c r="E187" s="19" t="inlineStr">
        <is>
          <t>NMIM v0.2 via MacroFiscalModels</t>
        </is>
      </c>
    </row>
    <row r="188">
      <c r="A188" s="19" t="inlineStr">
        <is>
          <t>ETH</t>
        </is>
      </c>
      <c r="B188" s="19" t="inlineStr">
        <is>
          <t>pub_spend</t>
        </is>
      </c>
      <c r="C188" s="19" t="n">
        <v>2029</v>
      </c>
      <c r="D188" s="19" t="n">
        <v>1.003</v>
      </c>
      <c r="E188" s="19" t="inlineStr">
        <is>
          <t>NMIM v0.2 via MacroFiscalModels</t>
        </is>
      </c>
    </row>
    <row r="189">
      <c r="A189" s="19" t="inlineStr">
        <is>
          <t>ETH</t>
        </is>
      </c>
      <c r="B189" s="19" t="inlineStr">
        <is>
          <t>pub_spend</t>
        </is>
      </c>
      <c r="C189" s="19" t="n">
        <v>2030</v>
      </c>
      <c r="D189" s="19" t="n">
        <v>1.116</v>
      </c>
      <c r="E189" s="19" t="inlineStr">
        <is>
          <t>NMIM v0.2 via MacroFiscalModels</t>
        </is>
      </c>
    </row>
    <row r="190">
      <c r="A190" s="19" t="inlineStr">
        <is>
          <t>ETH</t>
        </is>
      </c>
      <c r="B190" s="19" t="inlineStr">
        <is>
          <t>pub_spend</t>
        </is>
      </c>
      <c r="C190" s="19" t="n">
        <v>2031</v>
      </c>
      <c r="D190" s="19" t="n">
        <v>1.065</v>
      </c>
      <c r="E190" s="19" t="inlineStr">
        <is>
          <t>NMIM v0.2 via MacroFiscalModels</t>
        </is>
      </c>
    </row>
    <row r="191">
      <c r="A191" s="19" t="inlineStr">
        <is>
          <t>ETH</t>
        </is>
      </c>
      <c r="B191" s="19" t="inlineStr">
        <is>
          <t>pub_spend</t>
        </is>
      </c>
      <c r="C191" s="19" t="n">
        <v>2032</v>
      </c>
      <c r="D191" s="19" t="n">
        <v>1.019</v>
      </c>
      <c r="E191" s="19" t="inlineStr">
        <is>
          <t>NMIM v0.2 via MacroFiscalModels</t>
        </is>
      </c>
    </row>
    <row r="192">
      <c r="A192" s="19" t="inlineStr">
        <is>
          <t>ETH</t>
        </is>
      </c>
      <c r="B192" s="19" t="inlineStr">
        <is>
          <t>pub_spend</t>
        </is>
      </c>
      <c r="C192" s="19" t="n">
        <v>2033</v>
      </c>
      <c r="D192" s="19" t="n">
        <v>0.9766</v>
      </c>
      <c r="E192" s="19" t="inlineStr">
        <is>
          <t>NMIM v0.2 via MacroFiscalModels</t>
        </is>
      </c>
    </row>
    <row r="193">
      <c r="A193" s="19" t="inlineStr">
        <is>
          <t>ETH</t>
        </is>
      </c>
      <c r="B193" s="19" t="inlineStr">
        <is>
          <t>pub_spend</t>
        </is>
      </c>
      <c r="C193" s="19" t="n">
        <v>2034</v>
      </c>
      <c r="D193" s="19" t="n">
        <v>0.9388</v>
      </c>
      <c r="E193" s="19" t="inlineStr">
        <is>
          <t>NMIM v0.2 via MacroFiscalModels</t>
        </is>
      </c>
    </row>
    <row r="194">
      <c r="A194" s="19" t="inlineStr">
        <is>
          <t>ETH</t>
        </is>
      </c>
      <c r="B194" s="19" t="inlineStr">
        <is>
          <t>pub_spend</t>
        </is>
      </c>
      <c r="C194" s="19" t="n">
        <v>2035</v>
      </c>
      <c r="D194" s="19" t="n">
        <v>0.9049</v>
      </c>
      <c r="E194" s="19" t="inlineStr">
        <is>
          <t>NMIM v0.2 via MacroFiscalModels</t>
        </is>
      </c>
    </row>
    <row r="195">
      <c r="A195" s="19" t="inlineStr">
        <is>
          <t>ETH</t>
        </is>
      </c>
      <c r="B195" s="19" t="inlineStr">
        <is>
          <t>pub_spend</t>
        </is>
      </c>
      <c r="C195" s="19" t="n">
        <v>2036</v>
      </c>
      <c r="D195" s="19" t="n">
        <v>0.8745000000000001</v>
      </c>
      <c r="E195" s="19" t="inlineStr">
        <is>
          <t>NMIM v0.2 via MacroFiscalModels</t>
        </is>
      </c>
    </row>
    <row r="196">
      <c r="A196" s="19" t="inlineStr">
        <is>
          <t>ETH</t>
        </is>
      </c>
      <c r="B196" s="19" t="inlineStr">
        <is>
          <t>pub_spend</t>
        </is>
      </c>
      <c r="C196" s="19" t="n">
        <v>2037</v>
      </c>
      <c r="D196" s="19" t="n">
        <v>0.8474</v>
      </c>
      <c r="E196" s="19" t="inlineStr">
        <is>
          <t>NMIM v0.2 via MacroFiscalModels</t>
        </is>
      </c>
    </row>
    <row r="197">
      <c r="A197" s="19" t="inlineStr">
        <is>
          <t>ETH</t>
        </is>
      </c>
      <c r="B197" s="19" t="inlineStr">
        <is>
          <t>pub_spend</t>
        </is>
      </c>
      <c r="C197" s="19" t="n">
        <v>2038</v>
      </c>
      <c r="D197" s="19" t="n">
        <v>0.8233</v>
      </c>
      <c r="E197" s="19" t="inlineStr">
        <is>
          <t>NMIM v0.2 via MacroFiscalModels</t>
        </is>
      </c>
    </row>
    <row r="198">
      <c r="A198" s="19" t="inlineStr">
        <is>
          <t>ETH</t>
        </is>
      </c>
      <c r="B198" s="19" t="inlineStr">
        <is>
          <t>pub_spend</t>
        </is>
      </c>
      <c r="C198" s="19" t="n">
        <v>2039</v>
      </c>
      <c r="D198" s="19" t="n">
        <v>0.8021</v>
      </c>
      <c r="E198" s="19" t="inlineStr">
        <is>
          <t>NMIM v0.2 via MacroFiscalModels</t>
        </is>
      </c>
    </row>
    <row r="199">
      <c r="A199" s="19" t="inlineStr">
        <is>
          <t>ETH</t>
        </is>
      </c>
      <c r="B199" s="19" t="inlineStr">
        <is>
          <t>pub_spend</t>
        </is>
      </c>
      <c r="C199" s="19" t="n">
        <v>2040</v>
      </c>
      <c r="D199" s="19" t="n">
        <v>0.7837</v>
      </c>
      <c r="E199" s="19" t="inlineStr">
        <is>
          <t>NMIM v0.2 via MacroFiscalModels</t>
        </is>
      </c>
    </row>
    <row r="200">
      <c r="A200" s="19" t="inlineStr">
        <is>
          <t>ETH</t>
        </is>
      </c>
      <c r="B200" s="19" t="inlineStr">
        <is>
          <t>pub_spend</t>
        </is>
      </c>
      <c r="C200" s="19" t="n">
        <v>2041</v>
      </c>
      <c r="D200" s="19" t="n">
        <v>0.7653</v>
      </c>
      <c r="E200" s="19" t="inlineStr">
        <is>
          <t>NMIM v0.2 via MacroFiscalModels</t>
        </is>
      </c>
    </row>
    <row r="201">
      <c r="A201" s="19" t="inlineStr">
        <is>
          <t>ETH</t>
        </is>
      </c>
      <c r="B201" s="19" t="inlineStr">
        <is>
          <t>pub_spend</t>
        </is>
      </c>
      <c r="C201" s="19" t="n">
        <v>2042</v>
      </c>
      <c r="D201" s="19" t="n">
        <v>0.7471</v>
      </c>
      <c r="E201" s="19" t="inlineStr">
        <is>
          <t>NMIM v0.2 via MacroFiscalModels</t>
        </is>
      </c>
    </row>
    <row r="202">
      <c r="A202" s="19" t="inlineStr">
        <is>
          <t>ETH</t>
        </is>
      </c>
      <c r="B202" s="19" t="inlineStr">
        <is>
          <t>pub_spend</t>
        </is>
      </c>
      <c r="C202" s="19" t="n">
        <v>2043</v>
      </c>
      <c r="D202" s="19" t="n">
        <v>0.729</v>
      </c>
      <c r="E202" s="19" t="inlineStr">
        <is>
          <t>NMIM v0.2 via MacroFiscalModels</t>
        </is>
      </c>
    </row>
    <row r="203">
      <c r="A203" s="19" t="inlineStr">
        <is>
          <t>ETH</t>
        </is>
      </c>
      <c r="B203" s="19" t="inlineStr">
        <is>
          <t>pub_spend</t>
        </is>
      </c>
      <c r="C203" s="19" t="n">
        <v>2044</v>
      </c>
      <c r="D203" s="19" t="n">
        <v>0.7111</v>
      </c>
      <c r="E203" s="19" t="inlineStr">
        <is>
          <t>NMIM v0.2 via MacroFiscalModels</t>
        </is>
      </c>
    </row>
    <row r="204">
      <c r="A204" s="19" t="inlineStr">
        <is>
          <t>ETH</t>
        </is>
      </c>
      <c r="B204" s="19" t="inlineStr">
        <is>
          <t>pub_spend</t>
        </is>
      </c>
      <c r="C204" s="19" t="n">
        <v>2045</v>
      </c>
      <c r="D204" s="19" t="n">
        <v>0.6934</v>
      </c>
      <c r="E204" s="19" t="inlineStr">
        <is>
          <t>NMIM v0.2 via MacroFiscalModels</t>
        </is>
      </c>
    </row>
    <row r="205">
      <c r="A205" s="19" t="inlineStr">
        <is>
          <t>ETH</t>
        </is>
      </c>
      <c r="B205" s="19" t="inlineStr">
        <is>
          <t>pub_spend</t>
        </is>
      </c>
      <c r="C205" s="19" t="n">
        <v>2046</v>
      </c>
      <c r="D205" s="19" t="n">
        <v>0.6758</v>
      </c>
      <c r="E205" s="19" t="inlineStr">
        <is>
          <t>NMIM v0.2 via MacroFiscalModels</t>
        </is>
      </c>
    </row>
    <row r="206">
      <c r="A206" s="19" t="inlineStr">
        <is>
          <t>ETH</t>
        </is>
      </c>
      <c r="B206" s="19" t="inlineStr">
        <is>
          <t>pub_spend</t>
        </is>
      </c>
      <c r="C206" s="19" t="n">
        <v>2047</v>
      </c>
      <c r="D206" s="19" t="n">
        <v>0.6586</v>
      </c>
      <c r="E206" s="19" t="inlineStr">
        <is>
          <t>NMIM v0.2 via MacroFiscalModels</t>
        </is>
      </c>
    </row>
    <row r="207">
      <c r="A207" s="19" t="inlineStr">
        <is>
          <t>ETH</t>
        </is>
      </c>
      <c r="B207" s="19" t="inlineStr">
        <is>
          <t>pub_spend</t>
        </is>
      </c>
      <c r="C207" s="19" t="n">
        <v>2048</v>
      </c>
      <c r="D207" s="19" t="n">
        <v>0.6415</v>
      </c>
      <c r="E207" s="19" t="inlineStr">
        <is>
          <t>NMIM v0.2 via MacroFiscalModels</t>
        </is>
      </c>
    </row>
    <row r="208">
      <c r="A208" s="19" t="inlineStr">
        <is>
          <t>ETH</t>
        </is>
      </c>
      <c r="B208" s="19" t="inlineStr">
        <is>
          <t>pub_spend</t>
        </is>
      </c>
      <c r="C208" s="19" t="n">
        <v>2049</v>
      </c>
      <c r="D208" s="19" t="n">
        <v>0.6247</v>
      </c>
      <c r="E208" s="19" t="inlineStr">
        <is>
          <t>NMIM v0.2 via MacroFiscalModels</t>
        </is>
      </c>
    </row>
    <row r="209">
      <c r="A209" s="19" t="inlineStr">
        <is>
          <t>ETH</t>
        </is>
      </c>
      <c r="B209" s="19" t="inlineStr">
        <is>
          <t>pub_spend</t>
        </is>
      </c>
      <c r="C209" s="19" t="n">
        <v>2050</v>
      </c>
      <c r="D209" s="19" t="n">
        <v>0.6082</v>
      </c>
      <c r="E209" s="19" t="inlineStr">
        <is>
          <t>NMIM v0.2 via MacroFiscalModels</t>
        </is>
      </c>
    </row>
    <row r="210">
      <c r="A210" s="19" t="inlineStr">
        <is>
          <t>ETH</t>
        </is>
      </c>
      <c r="B210" s="19" t="inlineStr">
        <is>
          <t>rev</t>
        </is>
      </c>
      <c r="C210" s="19" t="n">
        <v>2025</v>
      </c>
      <c r="D210" s="19" t="n">
        <v>0</v>
      </c>
      <c r="E210" s="19" t="inlineStr">
        <is>
          <t>PriceFeasibility v0.1 x NMIM power CO2</t>
        </is>
      </c>
    </row>
    <row r="211">
      <c r="A211" s="19" t="inlineStr">
        <is>
          <t>ETH</t>
        </is>
      </c>
      <c r="B211" s="19" t="inlineStr">
        <is>
          <t>rev</t>
        </is>
      </c>
      <c r="C211" s="19" t="n">
        <v>2026</v>
      </c>
      <c r="D211" s="19" t="n">
        <v>0</v>
      </c>
      <c r="E211" s="19" t="inlineStr">
        <is>
          <t>PriceFeasibility v0.1 x NMIM power CO2</t>
        </is>
      </c>
    </row>
    <row r="212">
      <c r="A212" s="19" t="inlineStr">
        <is>
          <t>ETH</t>
        </is>
      </c>
      <c r="B212" s="19" t="inlineStr">
        <is>
          <t>rev</t>
        </is>
      </c>
      <c r="C212" s="19" t="n">
        <v>2027</v>
      </c>
      <c r="D212" s="19" t="n">
        <v>0</v>
      </c>
      <c r="E212" s="19" t="inlineStr">
        <is>
          <t>PriceFeasibility v0.1 x NMIM power CO2</t>
        </is>
      </c>
    </row>
    <row r="213">
      <c r="A213" s="19" t="inlineStr">
        <is>
          <t>ETH</t>
        </is>
      </c>
      <c r="B213" s="19" t="inlineStr">
        <is>
          <t>rev</t>
        </is>
      </c>
      <c r="C213" s="19" t="n">
        <v>2028</v>
      </c>
      <c r="D213" s="19" t="n">
        <v>0</v>
      </c>
      <c r="E213" s="19" t="inlineStr">
        <is>
          <t>PriceFeasibility v0.1 x NMIM power CO2</t>
        </is>
      </c>
    </row>
    <row r="214">
      <c r="A214" s="19" t="inlineStr">
        <is>
          <t>ETH</t>
        </is>
      </c>
      <c r="B214" s="19" t="inlineStr">
        <is>
          <t>rev</t>
        </is>
      </c>
      <c r="C214" s="19" t="n">
        <v>2029</v>
      </c>
      <c r="D214" s="19" t="n">
        <v>0</v>
      </c>
      <c r="E214" s="19" t="inlineStr">
        <is>
          <t>PriceFeasibility v0.1 x NMIM power CO2</t>
        </is>
      </c>
    </row>
    <row r="215">
      <c r="A215" s="19" t="inlineStr">
        <is>
          <t>ETH</t>
        </is>
      </c>
      <c r="B215" s="19" t="inlineStr">
        <is>
          <t>rev</t>
        </is>
      </c>
      <c r="C215" s="19" t="n">
        <v>2030</v>
      </c>
      <c r="D215" s="19" t="n">
        <v>0</v>
      </c>
      <c r="E215" s="19" t="inlineStr">
        <is>
          <t>PriceFeasibility v0.1 x NMIM power CO2</t>
        </is>
      </c>
    </row>
    <row r="216">
      <c r="A216" s="19" t="inlineStr">
        <is>
          <t>ETH</t>
        </is>
      </c>
      <c r="B216" s="19" t="inlineStr">
        <is>
          <t>rev</t>
        </is>
      </c>
      <c r="C216" s="19" t="n">
        <v>2031</v>
      </c>
      <c r="D216" s="19" t="n">
        <v>0</v>
      </c>
      <c r="E216" s="19" t="inlineStr">
        <is>
          <t>PriceFeasibility v0.1 x NMIM power CO2</t>
        </is>
      </c>
    </row>
    <row r="217">
      <c r="A217" s="19" t="inlineStr">
        <is>
          <t>ETH</t>
        </is>
      </c>
      <c r="B217" s="19" t="inlineStr">
        <is>
          <t>rev</t>
        </is>
      </c>
      <c r="C217" s="19" t="n">
        <v>2032</v>
      </c>
      <c r="D217" s="19" t="n">
        <v>0</v>
      </c>
      <c r="E217" s="19" t="inlineStr">
        <is>
          <t>PriceFeasibility v0.1 x NMIM power CO2</t>
        </is>
      </c>
    </row>
    <row r="218">
      <c r="A218" s="19" t="inlineStr">
        <is>
          <t>ETH</t>
        </is>
      </c>
      <c r="B218" s="19" t="inlineStr">
        <is>
          <t>rev</t>
        </is>
      </c>
      <c r="C218" s="19" t="n">
        <v>2033</v>
      </c>
      <c r="D218" s="19" t="n">
        <v>0</v>
      </c>
      <c r="E218" s="19" t="inlineStr">
        <is>
          <t>PriceFeasibility v0.1 x NMIM power CO2</t>
        </is>
      </c>
    </row>
    <row r="219">
      <c r="A219" s="19" t="inlineStr">
        <is>
          <t>ETH</t>
        </is>
      </c>
      <c r="B219" s="19" t="inlineStr">
        <is>
          <t>rev</t>
        </is>
      </c>
      <c r="C219" s="19" t="n">
        <v>2034</v>
      </c>
      <c r="D219" s="19" t="n">
        <v>0</v>
      </c>
      <c r="E219" s="19" t="inlineStr">
        <is>
          <t>PriceFeasibility v0.1 x NMIM power CO2</t>
        </is>
      </c>
    </row>
    <row r="220">
      <c r="A220" s="19" t="inlineStr">
        <is>
          <t>ETH</t>
        </is>
      </c>
      <c r="B220" s="19" t="inlineStr">
        <is>
          <t>rev</t>
        </is>
      </c>
      <c r="C220" s="19" t="n">
        <v>2035</v>
      </c>
      <c r="D220" s="19" t="n">
        <v>0</v>
      </c>
      <c r="E220" s="19" t="inlineStr">
        <is>
          <t>PriceFeasibility v0.1 x NMIM power CO2</t>
        </is>
      </c>
    </row>
    <row r="221">
      <c r="A221" s="19" t="inlineStr">
        <is>
          <t>ETH</t>
        </is>
      </c>
      <c r="B221" s="19" t="inlineStr">
        <is>
          <t>rev</t>
        </is>
      </c>
      <c r="C221" s="19" t="n">
        <v>2036</v>
      </c>
      <c r="D221" s="19" t="n">
        <v>0</v>
      </c>
      <c r="E221" s="19" t="inlineStr">
        <is>
          <t>PriceFeasibility v0.1 x NMIM power CO2</t>
        </is>
      </c>
    </row>
    <row r="222">
      <c r="A222" s="19" t="inlineStr">
        <is>
          <t>ETH</t>
        </is>
      </c>
      <c r="B222" s="19" t="inlineStr">
        <is>
          <t>rev</t>
        </is>
      </c>
      <c r="C222" s="19" t="n">
        <v>2037</v>
      </c>
      <c r="D222" s="19" t="n">
        <v>0</v>
      </c>
      <c r="E222" s="19" t="inlineStr">
        <is>
          <t>PriceFeasibility v0.1 x NMIM power CO2</t>
        </is>
      </c>
    </row>
    <row r="223">
      <c r="A223" s="19" t="inlineStr">
        <is>
          <t>ETH</t>
        </is>
      </c>
      <c r="B223" s="19" t="inlineStr">
        <is>
          <t>rev</t>
        </is>
      </c>
      <c r="C223" s="19" t="n">
        <v>2038</v>
      </c>
      <c r="D223" s="19" t="n">
        <v>0</v>
      </c>
      <c r="E223" s="19" t="inlineStr">
        <is>
          <t>PriceFeasibility v0.1 x NMIM power CO2</t>
        </is>
      </c>
    </row>
    <row r="224">
      <c r="A224" s="19" t="inlineStr">
        <is>
          <t>ETH</t>
        </is>
      </c>
      <c r="B224" s="19" t="inlineStr">
        <is>
          <t>rev</t>
        </is>
      </c>
      <c r="C224" s="19" t="n">
        <v>2039</v>
      </c>
      <c r="D224" s="19" t="n">
        <v>0</v>
      </c>
      <c r="E224" s="19" t="inlineStr">
        <is>
          <t>PriceFeasibility v0.1 x NMIM power CO2</t>
        </is>
      </c>
    </row>
    <row r="225">
      <c r="A225" s="19" t="inlineStr">
        <is>
          <t>ETH</t>
        </is>
      </c>
      <c r="B225" s="19" t="inlineStr">
        <is>
          <t>rev</t>
        </is>
      </c>
      <c r="C225" s="19" t="n">
        <v>2040</v>
      </c>
      <c r="D225" s="19" t="n">
        <v>0</v>
      </c>
      <c r="E225" s="19" t="inlineStr">
        <is>
          <t>PriceFeasibility v0.1 x NMIM power CO2</t>
        </is>
      </c>
    </row>
    <row r="226">
      <c r="A226" s="19" t="inlineStr">
        <is>
          <t>ETH</t>
        </is>
      </c>
      <c r="B226" s="19" t="inlineStr">
        <is>
          <t>rev</t>
        </is>
      </c>
      <c r="C226" s="19" t="n">
        <v>2041</v>
      </c>
      <c r="D226" s="19" t="n">
        <v>0</v>
      </c>
      <c r="E226" s="19" t="inlineStr">
        <is>
          <t>PriceFeasibility v0.1 x NMIM power CO2</t>
        </is>
      </c>
    </row>
    <row r="227">
      <c r="A227" s="19" t="inlineStr">
        <is>
          <t>ETH</t>
        </is>
      </c>
      <c r="B227" s="19" t="inlineStr">
        <is>
          <t>rev</t>
        </is>
      </c>
      <c r="C227" s="19" t="n">
        <v>2042</v>
      </c>
      <c r="D227" s="19" t="n">
        <v>0</v>
      </c>
      <c r="E227" s="19" t="inlineStr">
        <is>
          <t>PriceFeasibility v0.1 x NMIM power CO2</t>
        </is>
      </c>
    </row>
    <row r="228">
      <c r="A228" s="19" t="inlineStr">
        <is>
          <t>ETH</t>
        </is>
      </c>
      <c r="B228" s="19" t="inlineStr">
        <is>
          <t>rev</t>
        </is>
      </c>
      <c r="C228" s="19" t="n">
        <v>2043</v>
      </c>
      <c r="D228" s="19" t="n">
        <v>0</v>
      </c>
      <c r="E228" s="19" t="inlineStr">
        <is>
          <t>PriceFeasibility v0.1 x NMIM power CO2</t>
        </is>
      </c>
    </row>
    <row r="229">
      <c r="A229" s="19" t="inlineStr">
        <is>
          <t>ETH</t>
        </is>
      </c>
      <c r="B229" s="19" t="inlineStr">
        <is>
          <t>rev</t>
        </is>
      </c>
      <c r="C229" s="19" t="n">
        <v>2044</v>
      </c>
      <c r="D229" s="19" t="n">
        <v>0</v>
      </c>
      <c r="E229" s="19" t="inlineStr">
        <is>
          <t>PriceFeasibility v0.1 x NMIM power CO2</t>
        </is>
      </c>
    </row>
    <row r="230">
      <c r="A230" s="19" t="inlineStr">
        <is>
          <t>ETH</t>
        </is>
      </c>
      <c r="B230" s="19" t="inlineStr">
        <is>
          <t>rev</t>
        </is>
      </c>
      <c r="C230" s="19" t="n">
        <v>2045</v>
      </c>
      <c r="D230" s="19" t="n">
        <v>0</v>
      </c>
      <c r="E230" s="19" t="inlineStr">
        <is>
          <t>PriceFeasibility v0.1 x NMIM power CO2</t>
        </is>
      </c>
    </row>
    <row r="231">
      <c r="A231" s="19" t="inlineStr">
        <is>
          <t>ETH</t>
        </is>
      </c>
      <c r="B231" s="19" t="inlineStr">
        <is>
          <t>rev</t>
        </is>
      </c>
      <c r="C231" s="19" t="n">
        <v>2046</v>
      </c>
      <c r="D231" s="19" t="n">
        <v>0</v>
      </c>
      <c r="E231" s="19" t="inlineStr">
        <is>
          <t>PriceFeasibility v0.1 x NMIM power CO2</t>
        </is>
      </c>
    </row>
    <row r="232">
      <c r="A232" s="19" t="inlineStr">
        <is>
          <t>ETH</t>
        </is>
      </c>
      <c r="B232" s="19" t="inlineStr">
        <is>
          <t>rev</t>
        </is>
      </c>
      <c r="C232" s="19" t="n">
        <v>2047</v>
      </c>
      <c r="D232" s="19" t="n">
        <v>0</v>
      </c>
      <c r="E232" s="19" t="inlineStr">
        <is>
          <t>PriceFeasibility v0.1 x NMIM power CO2</t>
        </is>
      </c>
    </row>
    <row r="233">
      <c r="A233" s="19" t="inlineStr">
        <is>
          <t>ETH</t>
        </is>
      </c>
      <c r="B233" s="19" t="inlineStr">
        <is>
          <t>rev</t>
        </is>
      </c>
      <c r="C233" s="19" t="n">
        <v>2048</v>
      </c>
      <c r="D233" s="19" t="n">
        <v>0</v>
      </c>
      <c r="E233" s="19" t="inlineStr">
        <is>
          <t>PriceFeasibility v0.1 x NMIM power CO2</t>
        </is>
      </c>
    </row>
    <row r="234">
      <c r="A234" s="19" t="inlineStr">
        <is>
          <t>ETH</t>
        </is>
      </c>
      <c r="B234" s="19" t="inlineStr">
        <is>
          <t>rev</t>
        </is>
      </c>
      <c r="C234" s="19" t="n">
        <v>2049</v>
      </c>
      <c r="D234" s="19" t="n">
        <v>0</v>
      </c>
      <c r="E234" s="19" t="inlineStr">
        <is>
          <t>PriceFeasibility v0.1 x NMIM power CO2</t>
        </is>
      </c>
    </row>
    <row r="235">
      <c r="A235" s="19" t="inlineStr">
        <is>
          <t>ETH</t>
        </is>
      </c>
      <c r="B235" s="19" t="inlineStr">
        <is>
          <t>rev</t>
        </is>
      </c>
      <c r="C235" s="19" t="n">
        <v>2050</v>
      </c>
      <c r="D235" s="19" t="n">
        <v>0</v>
      </c>
      <c r="E235" s="19" t="inlineStr">
        <is>
          <t>PriceFeasibility v0.1 x NMIM power CO2</t>
        </is>
      </c>
    </row>
    <row r="236">
      <c r="A236" s="19" t="inlineStr">
        <is>
          <t>GHA</t>
        </is>
      </c>
      <c r="B236" s="19" t="inlineStr">
        <is>
          <t>pub_cap</t>
        </is>
      </c>
      <c r="C236" s="19" t="n">
        <v>2025</v>
      </c>
      <c r="D236" s="19" t="n">
        <v>0.1072</v>
      </c>
      <c r="E236" s="19" t="inlineStr">
        <is>
          <t>NMIM v0.2 via MacroFiscalModels</t>
        </is>
      </c>
    </row>
    <row r="237">
      <c r="A237" s="19" t="inlineStr">
        <is>
          <t>GHA</t>
        </is>
      </c>
      <c r="B237" s="19" t="inlineStr">
        <is>
          <t>pub_cap</t>
        </is>
      </c>
      <c r="C237" s="19" t="n">
        <v>2026</v>
      </c>
      <c r="D237" s="19" t="n">
        <v>0.1655</v>
      </c>
      <c r="E237" s="19" t="inlineStr">
        <is>
          <t>NMIM v0.2 via MacroFiscalModels</t>
        </is>
      </c>
    </row>
    <row r="238">
      <c r="A238" s="19" t="inlineStr">
        <is>
          <t>GHA</t>
        </is>
      </c>
      <c r="B238" s="19" t="inlineStr">
        <is>
          <t>pub_cap</t>
        </is>
      </c>
      <c r="C238" s="19" t="n">
        <v>2027</v>
      </c>
      <c r="D238" s="19" t="n">
        <v>0.2279</v>
      </c>
      <c r="E238" s="19" t="inlineStr">
        <is>
          <t>NMIM v0.2 via MacroFiscalModels</t>
        </is>
      </c>
    </row>
    <row r="239">
      <c r="A239" s="19" t="inlineStr">
        <is>
          <t>GHA</t>
        </is>
      </c>
      <c r="B239" s="19" t="inlineStr">
        <is>
          <t>pub_cap</t>
        </is>
      </c>
      <c r="C239" s="19" t="n">
        <v>2028</v>
      </c>
      <c r="D239" s="19" t="n">
        <v>0.2394</v>
      </c>
      <c r="E239" s="19" t="inlineStr">
        <is>
          <t>NMIM v0.2 via MacroFiscalModels</t>
        </is>
      </c>
    </row>
    <row r="240">
      <c r="A240" s="19" t="inlineStr">
        <is>
          <t>GHA</t>
        </is>
      </c>
      <c r="B240" s="19" t="inlineStr">
        <is>
          <t>pub_cap</t>
        </is>
      </c>
      <c r="C240" s="19" t="n">
        <v>2029</v>
      </c>
      <c r="D240" s="19" t="n">
        <v>0.2302</v>
      </c>
      <c r="E240" s="19" t="inlineStr">
        <is>
          <t>NMIM v0.2 via MacroFiscalModels</t>
        </is>
      </c>
    </row>
    <row r="241">
      <c r="A241" s="19" t="inlineStr">
        <is>
          <t>GHA</t>
        </is>
      </c>
      <c r="B241" s="19" t="inlineStr">
        <is>
          <t>pub_cap</t>
        </is>
      </c>
      <c r="C241" s="19" t="n">
        <v>2030</v>
      </c>
      <c r="D241" s="19" t="n">
        <v>0.2264</v>
      </c>
      <c r="E241" s="19" t="inlineStr">
        <is>
          <t>NMIM v0.2 via MacroFiscalModels</t>
        </is>
      </c>
    </row>
    <row r="242">
      <c r="A242" s="19" t="inlineStr">
        <is>
          <t>GHA</t>
        </is>
      </c>
      <c r="B242" s="19" t="inlineStr">
        <is>
          <t>pub_cap</t>
        </is>
      </c>
      <c r="C242" s="19" t="n">
        <v>2031</v>
      </c>
      <c r="D242" s="19" t="n">
        <v>0.2285</v>
      </c>
      <c r="E242" s="19" t="inlineStr">
        <is>
          <t>NMIM v0.2 via MacroFiscalModels</t>
        </is>
      </c>
    </row>
    <row r="243">
      <c r="A243" s="19" t="inlineStr">
        <is>
          <t>GHA</t>
        </is>
      </c>
      <c r="B243" s="19" t="inlineStr">
        <is>
          <t>pub_cap</t>
        </is>
      </c>
      <c r="C243" s="19" t="n">
        <v>2032</v>
      </c>
      <c r="D243" s="19" t="n">
        <v>0.2254</v>
      </c>
      <c r="E243" s="19" t="inlineStr">
        <is>
          <t>NMIM v0.2 via MacroFiscalModels</t>
        </is>
      </c>
    </row>
    <row r="244">
      <c r="A244" s="19" t="inlineStr">
        <is>
          <t>GHA</t>
        </is>
      </c>
      <c r="B244" s="19" t="inlineStr">
        <is>
          <t>pub_cap</t>
        </is>
      </c>
      <c r="C244" s="19" t="n">
        <v>2033</v>
      </c>
      <c r="D244" s="19" t="n">
        <v>0.2416</v>
      </c>
      <c r="E244" s="19" t="inlineStr">
        <is>
          <t>NMIM v0.2 via MacroFiscalModels</t>
        </is>
      </c>
    </row>
    <row r="245">
      <c r="A245" s="19" t="inlineStr">
        <is>
          <t>GHA</t>
        </is>
      </c>
      <c r="B245" s="19" t="inlineStr">
        <is>
          <t>pub_cap</t>
        </is>
      </c>
      <c r="C245" s="19" t="n">
        <v>2034</v>
      </c>
      <c r="D245" s="19" t="n">
        <v>0.2573</v>
      </c>
      <c r="E245" s="19" t="inlineStr">
        <is>
          <t>NMIM v0.2 via MacroFiscalModels</t>
        </is>
      </c>
    </row>
    <row r="246">
      <c r="A246" s="19" t="inlineStr">
        <is>
          <t>GHA</t>
        </is>
      </c>
      <c r="B246" s="19" t="inlineStr">
        <is>
          <t>pub_cap</t>
        </is>
      </c>
      <c r="C246" s="19" t="n">
        <v>2035</v>
      </c>
      <c r="D246" s="19" t="n">
        <v>0.2741</v>
      </c>
      <c r="E246" s="19" t="inlineStr">
        <is>
          <t>NMIM v0.2 via MacroFiscalModels</t>
        </is>
      </c>
    </row>
    <row r="247">
      <c r="A247" s="19" t="inlineStr">
        <is>
          <t>GHA</t>
        </is>
      </c>
      <c r="B247" s="19" t="inlineStr">
        <is>
          <t>pub_cap</t>
        </is>
      </c>
      <c r="C247" s="19" t="n">
        <v>2036</v>
      </c>
      <c r="D247" s="19" t="n">
        <v>0.2942</v>
      </c>
      <c r="E247" s="19" t="inlineStr">
        <is>
          <t>NMIM v0.2 via MacroFiscalModels</t>
        </is>
      </c>
    </row>
    <row r="248">
      <c r="A248" s="19" t="inlineStr">
        <is>
          <t>GHA</t>
        </is>
      </c>
      <c r="B248" s="19" t="inlineStr">
        <is>
          <t>pub_cap</t>
        </is>
      </c>
      <c r="C248" s="19" t="n">
        <v>2037</v>
      </c>
      <c r="D248" s="19" t="n">
        <v>0.3136</v>
      </c>
      <c r="E248" s="19" t="inlineStr">
        <is>
          <t>NMIM v0.2 via MacroFiscalModels</t>
        </is>
      </c>
    </row>
    <row r="249">
      <c r="A249" s="19" t="inlineStr">
        <is>
          <t>GHA</t>
        </is>
      </c>
      <c r="B249" s="19" t="inlineStr">
        <is>
          <t>pub_cap</t>
        </is>
      </c>
      <c r="C249" s="19" t="n">
        <v>2038</v>
      </c>
      <c r="D249" s="19" t="n">
        <v>0.3323</v>
      </c>
      <c r="E249" s="19" t="inlineStr">
        <is>
          <t>NMIM v0.2 via MacroFiscalModels</t>
        </is>
      </c>
    </row>
    <row r="250">
      <c r="A250" s="19" t="inlineStr">
        <is>
          <t>GHA</t>
        </is>
      </c>
      <c r="B250" s="19" t="inlineStr">
        <is>
          <t>pub_cap</t>
        </is>
      </c>
      <c r="C250" s="19" t="n">
        <v>2039</v>
      </c>
      <c r="D250" s="19" t="n">
        <v>0.35</v>
      </c>
      <c r="E250" s="19" t="inlineStr">
        <is>
          <t>NMIM v0.2 via MacroFiscalModels</t>
        </is>
      </c>
    </row>
    <row r="251">
      <c r="A251" s="19" t="inlineStr">
        <is>
          <t>GHA</t>
        </is>
      </c>
      <c r="B251" s="19" t="inlineStr">
        <is>
          <t>pub_cap</t>
        </is>
      </c>
      <c r="C251" s="19" t="n">
        <v>2040</v>
      </c>
      <c r="D251" s="19" t="n">
        <v>0.367</v>
      </c>
      <c r="E251" s="19" t="inlineStr">
        <is>
          <t>NMIM v0.2 via MacroFiscalModels</t>
        </is>
      </c>
    </row>
    <row r="252">
      <c r="A252" s="19" t="inlineStr">
        <is>
          <t>GHA</t>
        </is>
      </c>
      <c r="B252" s="19" t="inlineStr">
        <is>
          <t>pub_cap</t>
        </is>
      </c>
      <c r="C252" s="19" t="n">
        <v>2041</v>
      </c>
      <c r="D252" s="19" t="n">
        <v>0.3754</v>
      </c>
      <c r="E252" s="19" t="inlineStr">
        <is>
          <t>NMIM v0.2 via MacroFiscalModels</t>
        </is>
      </c>
    </row>
    <row r="253">
      <c r="A253" s="19" t="inlineStr">
        <is>
          <t>GHA</t>
        </is>
      </c>
      <c r="B253" s="19" t="inlineStr">
        <is>
          <t>pub_cap</t>
        </is>
      </c>
      <c r="C253" s="19" t="n">
        <v>2042</v>
      </c>
      <c r="D253" s="19" t="n">
        <v>0.3828</v>
      </c>
      <c r="E253" s="19" t="inlineStr">
        <is>
          <t>NMIM v0.2 via MacroFiscalModels</t>
        </is>
      </c>
    </row>
    <row r="254">
      <c r="A254" s="19" t="inlineStr">
        <is>
          <t>GHA</t>
        </is>
      </c>
      <c r="B254" s="19" t="inlineStr">
        <is>
          <t>pub_cap</t>
        </is>
      </c>
      <c r="C254" s="19" t="n">
        <v>2043</v>
      </c>
      <c r="D254" s="19" t="n">
        <v>0.3892</v>
      </c>
      <c r="E254" s="19" t="inlineStr">
        <is>
          <t>NMIM v0.2 via MacroFiscalModels</t>
        </is>
      </c>
    </row>
    <row r="255">
      <c r="A255" s="19" t="inlineStr">
        <is>
          <t>GHA</t>
        </is>
      </c>
      <c r="B255" s="19" t="inlineStr">
        <is>
          <t>pub_cap</t>
        </is>
      </c>
      <c r="C255" s="19" t="n">
        <v>2044</v>
      </c>
      <c r="D255" s="19" t="n">
        <v>0.3891</v>
      </c>
      <c r="E255" s="19" t="inlineStr">
        <is>
          <t>NMIM v0.2 via MacroFiscalModels</t>
        </is>
      </c>
    </row>
    <row r="256">
      <c r="A256" s="19" t="inlineStr">
        <is>
          <t>GHA</t>
        </is>
      </c>
      <c r="B256" s="19" t="inlineStr">
        <is>
          <t>pub_cap</t>
        </is>
      </c>
      <c r="C256" s="19" t="n">
        <v>2045</v>
      </c>
      <c r="D256" s="19" t="n">
        <v>0.3857</v>
      </c>
      <c r="E256" s="19" t="inlineStr">
        <is>
          <t>NMIM v0.2 via MacroFiscalModels</t>
        </is>
      </c>
    </row>
    <row r="257">
      <c r="A257" s="19" t="inlineStr">
        <is>
          <t>GHA</t>
        </is>
      </c>
      <c r="B257" s="19" t="inlineStr">
        <is>
          <t>pub_cap</t>
        </is>
      </c>
      <c r="C257" s="19" t="n">
        <v>2046</v>
      </c>
      <c r="D257" s="19" t="n">
        <v>0.2743</v>
      </c>
      <c r="E257" s="19" t="inlineStr">
        <is>
          <t>NMIM v0.2 via MacroFiscalModels</t>
        </is>
      </c>
    </row>
    <row r="258">
      <c r="A258" s="19" t="inlineStr">
        <is>
          <t>GHA</t>
        </is>
      </c>
      <c r="B258" s="19" t="inlineStr">
        <is>
          <t>pub_cap</t>
        </is>
      </c>
      <c r="C258" s="19" t="n">
        <v>2047</v>
      </c>
      <c r="D258" s="19" t="n">
        <v>0.265</v>
      </c>
      <c r="E258" s="19" t="inlineStr">
        <is>
          <t>NMIM v0.2 via MacroFiscalModels</t>
        </is>
      </c>
    </row>
    <row r="259">
      <c r="A259" s="19" t="inlineStr">
        <is>
          <t>GHA</t>
        </is>
      </c>
      <c r="B259" s="19" t="inlineStr">
        <is>
          <t>pub_cap</t>
        </is>
      </c>
      <c r="C259" s="19" t="n">
        <v>2048</v>
      </c>
      <c r="D259" s="19" t="n">
        <v>0.2561</v>
      </c>
      <c r="E259" s="19" t="inlineStr">
        <is>
          <t>NMIM v0.2 via MacroFiscalModels</t>
        </is>
      </c>
    </row>
    <row r="260">
      <c r="A260" s="19" t="inlineStr">
        <is>
          <t>GHA</t>
        </is>
      </c>
      <c r="B260" s="19" t="inlineStr">
        <is>
          <t>pub_cap</t>
        </is>
      </c>
      <c r="C260" s="19" t="n">
        <v>2049</v>
      </c>
      <c r="D260" s="19" t="n">
        <v>0.2476</v>
      </c>
      <c r="E260" s="19" t="inlineStr">
        <is>
          <t>NMIM v0.2 via MacroFiscalModels</t>
        </is>
      </c>
    </row>
    <row r="261">
      <c r="A261" s="19" t="inlineStr">
        <is>
          <t>GHA</t>
        </is>
      </c>
      <c r="B261" s="19" t="inlineStr">
        <is>
          <t>pub_cap</t>
        </is>
      </c>
      <c r="C261" s="19" t="n">
        <v>2050</v>
      </c>
      <c r="D261" s="19" t="n">
        <v>0.2395</v>
      </c>
      <c r="E261" s="19" t="inlineStr">
        <is>
          <t>NMIM v0.2 via MacroFiscalModels</t>
        </is>
      </c>
    </row>
    <row r="262">
      <c r="A262" s="19" t="inlineStr">
        <is>
          <t>GHA</t>
        </is>
      </c>
      <c r="B262" s="19" t="inlineStr">
        <is>
          <t>pub_spend</t>
        </is>
      </c>
      <c r="C262" s="19" t="n">
        <v>2025</v>
      </c>
      <c r="D262" s="19" t="n">
        <v>0.04017</v>
      </c>
      <c r="E262" s="19" t="inlineStr">
        <is>
          <t>NMIM v0.2 via MacroFiscalModels</t>
        </is>
      </c>
    </row>
    <row r="263">
      <c r="A263" s="19" t="inlineStr">
        <is>
          <t>GHA</t>
        </is>
      </c>
      <c r="B263" s="19" t="inlineStr">
        <is>
          <t>pub_spend</t>
        </is>
      </c>
      <c r="C263" s="19" t="n">
        <v>2026</v>
      </c>
      <c r="D263" s="19" t="n">
        <v>0.0767</v>
      </c>
      <c r="E263" s="19" t="inlineStr">
        <is>
          <t>NMIM v0.2 via MacroFiscalModels</t>
        </is>
      </c>
    </row>
    <row r="264">
      <c r="A264" s="19" t="inlineStr">
        <is>
          <t>GHA</t>
        </is>
      </c>
      <c r="B264" s="19" t="inlineStr">
        <is>
          <t>pub_spend</t>
        </is>
      </c>
      <c r="C264" s="19" t="n">
        <v>2027</v>
      </c>
      <c r="D264" s="19" t="n">
        <v>0.1099</v>
      </c>
      <c r="E264" s="19" t="inlineStr">
        <is>
          <t>NMIM v0.2 via MacroFiscalModels</t>
        </is>
      </c>
    </row>
    <row r="265">
      <c r="A265" s="19" t="inlineStr">
        <is>
          <t>GHA</t>
        </is>
      </c>
      <c r="B265" s="19" t="inlineStr">
        <is>
          <t>pub_spend</t>
        </is>
      </c>
      <c r="C265" s="19" t="n">
        <v>2028</v>
      </c>
      <c r="D265" s="19" t="n">
        <v>0.14</v>
      </c>
      <c r="E265" s="19" t="inlineStr">
        <is>
          <t>NMIM v0.2 via MacroFiscalModels</t>
        </is>
      </c>
    </row>
    <row r="266">
      <c r="A266" s="19" t="inlineStr">
        <is>
          <t>GHA</t>
        </is>
      </c>
      <c r="B266" s="19" t="inlineStr">
        <is>
          <t>pub_spend</t>
        </is>
      </c>
      <c r="C266" s="19" t="n">
        <v>2029</v>
      </c>
      <c r="D266" s="19" t="n">
        <v>0.1673</v>
      </c>
      <c r="E266" s="19" t="inlineStr">
        <is>
          <t>NMIM v0.2 via MacroFiscalModels</t>
        </is>
      </c>
    </row>
    <row r="267">
      <c r="A267" s="19" t="inlineStr">
        <is>
          <t>GHA</t>
        </is>
      </c>
      <c r="B267" s="19" t="inlineStr">
        <is>
          <t>pub_spend</t>
        </is>
      </c>
      <c r="C267" s="19" t="n">
        <v>2030</v>
      </c>
      <c r="D267" s="19" t="n">
        <v>0.1921</v>
      </c>
      <c r="E267" s="19" t="inlineStr">
        <is>
          <t>NMIM v0.2 via MacroFiscalModels</t>
        </is>
      </c>
    </row>
    <row r="268">
      <c r="A268" s="19" t="inlineStr">
        <is>
          <t>GHA</t>
        </is>
      </c>
      <c r="B268" s="19" t="inlineStr">
        <is>
          <t>pub_spend</t>
        </is>
      </c>
      <c r="C268" s="19" t="n">
        <v>2031</v>
      </c>
      <c r="D268" s="19" t="n">
        <v>0.1954</v>
      </c>
      <c r="E268" s="19" t="inlineStr">
        <is>
          <t>NMIM v0.2 via MacroFiscalModels</t>
        </is>
      </c>
    </row>
    <row r="269">
      <c r="A269" s="19" t="inlineStr">
        <is>
          <t>GHA</t>
        </is>
      </c>
      <c r="B269" s="19" t="inlineStr">
        <is>
          <t>pub_spend</t>
        </is>
      </c>
      <c r="C269" s="19" t="n">
        <v>2032</v>
      </c>
      <c r="D269" s="19" t="n">
        <v>0.1981</v>
      </c>
      <c r="E269" s="19" t="inlineStr">
        <is>
          <t>NMIM v0.2 via MacroFiscalModels</t>
        </is>
      </c>
    </row>
    <row r="270">
      <c r="A270" s="19" t="inlineStr">
        <is>
          <t>GHA</t>
        </is>
      </c>
      <c r="B270" s="19" t="inlineStr">
        <is>
          <t>pub_spend</t>
        </is>
      </c>
      <c r="C270" s="19" t="n">
        <v>2033</v>
      </c>
      <c r="D270" s="19" t="n">
        <v>0.2004</v>
      </c>
      <c r="E270" s="19" t="inlineStr">
        <is>
          <t>NMIM v0.2 via MacroFiscalModels</t>
        </is>
      </c>
    </row>
    <row r="271">
      <c r="A271" s="19" t="inlineStr">
        <is>
          <t>GHA</t>
        </is>
      </c>
      <c r="B271" s="19" t="inlineStr">
        <is>
          <t>pub_spend</t>
        </is>
      </c>
      <c r="C271" s="19" t="n">
        <v>2034</v>
      </c>
      <c r="D271" s="19" t="n">
        <v>0.2022</v>
      </c>
      <c r="E271" s="19" t="inlineStr">
        <is>
          <t>NMIM v0.2 via MacroFiscalModels</t>
        </is>
      </c>
    </row>
    <row r="272">
      <c r="A272" s="19" t="inlineStr">
        <is>
          <t>GHA</t>
        </is>
      </c>
      <c r="B272" s="19" t="inlineStr">
        <is>
          <t>pub_spend</t>
        </is>
      </c>
      <c r="C272" s="19" t="n">
        <v>2035</v>
      </c>
      <c r="D272" s="19" t="n">
        <v>0.2036</v>
      </c>
      <c r="E272" s="19" t="inlineStr">
        <is>
          <t>NMIM v0.2 via MacroFiscalModels</t>
        </is>
      </c>
    </row>
    <row r="273">
      <c r="A273" s="19" t="inlineStr">
        <is>
          <t>GHA</t>
        </is>
      </c>
      <c r="B273" s="19" t="inlineStr">
        <is>
          <t>pub_spend</t>
        </is>
      </c>
      <c r="C273" s="19" t="n">
        <v>2036</v>
      </c>
      <c r="D273" s="19" t="n">
        <v>0.2047</v>
      </c>
      <c r="E273" s="19" t="inlineStr">
        <is>
          <t>NMIM v0.2 via MacroFiscalModels</t>
        </is>
      </c>
    </row>
    <row r="274">
      <c r="A274" s="19" t="inlineStr">
        <is>
          <t>GHA</t>
        </is>
      </c>
      <c r="B274" s="19" t="inlineStr">
        <is>
          <t>pub_spend</t>
        </is>
      </c>
      <c r="C274" s="19" t="n">
        <v>2037</v>
      </c>
      <c r="D274" s="19" t="n">
        <v>0.2055</v>
      </c>
      <c r="E274" s="19" t="inlineStr">
        <is>
          <t>NMIM v0.2 via MacroFiscalModels</t>
        </is>
      </c>
    </row>
    <row r="275">
      <c r="A275" s="19" t="inlineStr">
        <is>
          <t>GHA</t>
        </is>
      </c>
      <c r="B275" s="19" t="inlineStr">
        <is>
          <t>pub_spend</t>
        </is>
      </c>
      <c r="C275" s="19" t="n">
        <v>2038</v>
      </c>
      <c r="D275" s="19" t="n">
        <v>0.206</v>
      </c>
      <c r="E275" s="19" t="inlineStr">
        <is>
          <t>NMIM v0.2 via MacroFiscalModels</t>
        </is>
      </c>
    </row>
    <row r="276">
      <c r="A276" s="19" t="inlineStr">
        <is>
          <t>GHA</t>
        </is>
      </c>
      <c r="B276" s="19" t="inlineStr">
        <is>
          <t>pub_spend</t>
        </is>
      </c>
      <c r="C276" s="19" t="n">
        <v>2039</v>
      </c>
      <c r="D276" s="19" t="n">
        <v>0.2062</v>
      </c>
      <c r="E276" s="19" t="inlineStr">
        <is>
          <t>NMIM v0.2 via MacroFiscalModels</t>
        </is>
      </c>
    </row>
    <row r="277">
      <c r="A277" s="19" t="inlineStr">
        <is>
          <t>GHA</t>
        </is>
      </c>
      <c r="B277" s="19" t="inlineStr">
        <is>
          <t>pub_spend</t>
        </is>
      </c>
      <c r="C277" s="19" t="n">
        <v>2040</v>
      </c>
      <c r="D277" s="19" t="n">
        <v>0.2062</v>
      </c>
      <c r="E277" s="19" t="inlineStr">
        <is>
          <t>NMIM v0.2 via MacroFiscalModels</t>
        </is>
      </c>
    </row>
    <row r="278">
      <c r="A278" s="19" t="inlineStr">
        <is>
          <t>GHA</t>
        </is>
      </c>
      <c r="B278" s="19" t="inlineStr">
        <is>
          <t>pub_spend</t>
        </is>
      </c>
      <c r="C278" s="19" t="n">
        <v>2041</v>
      </c>
      <c r="D278" s="19" t="n">
        <v>0.2059</v>
      </c>
      <c r="E278" s="19" t="inlineStr">
        <is>
          <t>NMIM v0.2 via MacroFiscalModels</t>
        </is>
      </c>
    </row>
    <row r="279">
      <c r="A279" s="19" t="inlineStr">
        <is>
          <t>GHA</t>
        </is>
      </c>
      <c r="B279" s="19" t="inlineStr">
        <is>
          <t>pub_spend</t>
        </is>
      </c>
      <c r="C279" s="19" t="n">
        <v>2042</v>
      </c>
      <c r="D279" s="19" t="n">
        <v>0.2053</v>
      </c>
      <c r="E279" s="19" t="inlineStr">
        <is>
          <t>NMIM v0.2 via MacroFiscalModels</t>
        </is>
      </c>
    </row>
    <row r="280">
      <c r="A280" s="19" t="inlineStr">
        <is>
          <t>GHA</t>
        </is>
      </c>
      <c r="B280" s="19" t="inlineStr">
        <is>
          <t>pub_spend</t>
        </is>
      </c>
      <c r="C280" s="19" t="n">
        <v>2043</v>
      </c>
      <c r="D280" s="19" t="n">
        <v>0.2045</v>
      </c>
      <c r="E280" s="19" t="inlineStr">
        <is>
          <t>NMIM v0.2 via MacroFiscalModels</t>
        </is>
      </c>
    </row>
    <row r="281">
      <c r="A281" s="19" t="inlineStr">
        <is>
          <t>GHA</t>
        </is>
      </c>
      <c r="B281" s="19" t="inlineStr">
        <is>
          <t>pub_spend</t>
        </is>
      </c>
      <c r="C281" s="19" t="n">
        <v>2044</v>
      </c>
      <c r="D281" s="19" t="n">
        <v>0.2034</v>
      </c>
      <c r="E281" s="19" t="inlineStr">
        <is>
          <t>NMIM v0.2 via MacroFiscalModels</t>
        </is>
      </c>
    </row>
    <row r="282">
      <c r="A282" s="19" t="inlineStr">
        <is>
          <t>GHA</t>
        </is>
      </c>
      <c r="B282" s="19" t="inlineStr">
        <is>
          <t>pub_spend</t>
        </is>
      </c>
      <c r="C282" s="19" t="n">
        <v>2045</v>
      </c>
      <c r="D282" s="19" t="n">
        <v>0.2021</v>
      </c>
      <c r="E282" s="19" t="inlineStr">
        <is>
          <t>NMIM v0.2 via MacroFiscalModels</t>
        </is>
      </c>
    </row>
    <row r="283">
      <c r="A283" s="19" t="inlineStr">
        <is>
          <t>GHA</t>
        </is>
      </c>
      <c r="B283" s="19" t="inlineStr">
        <is>
          <t>pub_spend</t>
        </is>
      </c>
      <c r="C283" s="19" t="n">
        <v>2046</v>
      </c>
      <c r="D283" s="19" t="n">
        <v>0.2006</v>
      </c>
      <c r="E283" s="19" t="inlineStr">
        <is>
          <t>NMIM v0.2 via MacroFiscalModels</t>
        </is>
      </c>
    </row>
    <row r="284">
      <c r="A284" s="19" t="inlineStr">
        <is>
          <t>GHA</t>
        </is>
      </c>
      <c r="B284" s="19" t="inlineStr">
        <is>
          <t>pub_spend</t>
        </is>
      </c>
      <c r="C284" s="19" t="n">
        <v>2047</v>
      </c>
      <c r="D284" s="19" t="n">
        <v>0.1989</v>
      </c>
      <c r="E284" s="19" t="inlineStr">
        <is>
          <t>NMIM v0.2 via MacroFiscalModels</t>
        </is>
      </c>
    </row>
    <row r="285">
      <c r="A285" s="19" t="inlineStr">
        <is>
          <t>GHA</t>
        </is>
      </c>
      <c r="B285" s="19" t="inlineStr">
        <is>
          <t>pub_spend</t>
        </is>
      </c>
      <c r="C285" s="19" t="n">
        <v>2048</v>
      </c>
      <c r="D285" s="19" t="n">
        <v>0.1971</v>
      </c>
      <c r="E285" s="19" t="inlineStr">
        <is>
          <t>NMIM v0.2 via MacroFiscalModels</t>
        </is>
      </c>
    </row>
    <row r="286">
      <c r="A286" s="19" t="inlineStr">
        <is>
          <t>GHA</t>
        </is>
      </c>
      <c r="B286" s="19" t="inlineStr">
        <is>
          <t>pub_spend</t>
        </is>
      </c>
      <c r="C286" s="19" t="n">
        <v>2049</v>
      </c>
      <c r="D286" s="19" t="n">
        <v>0.1951</v>
      </c>
      <c r="E286" s="19" t="inlineStr">
        <is>
          <t>NMIM v0.2 via MacroFiscalModels</t>
        </is>
      </c>
    </row>
    <row r="287">
      <c r="A287" s="19" t="inlineStr">
        <is>
          <t>GHA</t>
        </is>
      </c>
      <c r="B287" s="19" t="inlineStr">
        <is>
          <t>pub_spend</t>
        </is>
      </c>
      <c r="C287" s="19" t="n">
        <v>2050</v>
      </c>
      <c r="D287" s="19" t="n">
        <v>0.1929</v>
      </c>
      <c r="E287" s="19" t="inlineStr">
        <is>
          <t>NMIM v0.2 via MacroFiscalModels</t>
        </is>
      </c>
    </row>
    <row r="288">
      <c r="A288" s="19" t="inlineStr">
        <is>
          <t>GHA</t>
        </is>
      </c>
      <c r="B288" s="19" t="inlineStr">
        <is>
          <t>rev</t>
        </is>
      </c>
      <c r="C288" s="19" t="n">
        <v>2025</v>
      </c>
      <c r="D288" s="19" t="n">
        <v>0.1484</v>
      </c>
      <c r="E288" s="19" t="inlineStr">
        <is>
          <t>PriceFeasibility v0.1 x NMIM power CO2</t>
        </is>
      </c>
    </row>
    <row r="289">
      <c r="A289" s="19" t="inlineStr">
        <is>
          <t>GHA</t>
        </is>
      </c>
      <c r="B289" s="19" t="inlineStr">
        <is>
          <t>rev</t>
        </is>
      </c>
      <c r="C289" s="19" t="n">
        <v>2026</v>
      </c>
      <c r="D289" s="19" t="n">
        <v>0.1497</v>
      </c>
      <c r="E289" s="19" t="inlineStr">
        <is>
          <t>PriceFeasibility v0.1 x NMIM power CO2</t>
        </is>
      </c>
    </row>
    <row r="290">
      <c r="A290" s="19" t="inlineStr">
        <is>
          <t>GHA</t>
        </is>
      </c>
      <c r="B290" s="19" t="inlineStr">
        <is>
          <t>rev</t>
        </is>
      </c>
      <c r="C290" s="19" t="n">
        <v>2027</v>
      </c>
      <c r="D290" s="19" t="n">
        <v>0.1434</v>
      </c>
      <c r="E290" s="19" t="inlineStr">
        <is>
          <t>PriceFeasibility v0.1 x NMIM power CO2</t>
        </is>
      </c>
    </row>
    <row r="291">
      <c r="A291" s="19" t="inlineStr">
        <is>
          <t>GHA</t>
        </is>
      </c>
      <c r="B291" s="19" t="inlineStr">
        <is>
          <t>rev</t>
        </is>
      </c>
      <c r="C291" s="19" t="n">
        <v>2028</v>
      </c>
      <c r="D291" s="19" t="n">
        <v>0.1372</v>
      </c>
      <c r="E291" s="19" t="inlineStr">
        <is>
          <t>PriceFeasibility v0.1 x NMIM power CO2</t>
        </is>
      </c>
    </row>
    <row r="292">
      <c r="A292" s="19" t="inlineStr">
        <is>
          <t>GHA</t>
        </is>
      </c>
      <c r="B292" s="19" t="inlineStr">
        <is>
          <t>rev</t>
        </is>
      </c>
      <c r="C292" s="19" t="n">
        <v>2029</v>
      </c>
      <c r="D292" s="19" t="n">
        <v>0.131</v>
      </c>
      <c r="E292" s="19" t="inlineStr">
        <is>
          <t>PriceFeasibility v0.1 x NMIM power CO2</t>
        </is>
      </c>
    </row>
    <row r="293">
      <c r="A293" s="19" t="inlineStr">
        <is>
          <t>GHA</t>
        </is>
      </c>
      <c r="B293" s="19" t="inlineStr">
        <is>
          <t>rev</t>
        </is>
      </c>
      <c r="C293" s="19" t="n">
        <v>2030</v>
      </c>
      <c r="D293" s="19" t="n">
        <v>0.1247</v>
      </c>
      <c r="E293" s="19" t="inlineStr">
        <is>
          <t>PriceFeasibility v0.1 x NMIM power CO2</t>
        </is>
      </c>
    </row>
    <row r="294">
      <c r="A294" s="19" t="inlineStr">
        <is>
          <t>GHA</t>
        </is>
      </c>
      <c r="B294" s="19" t="inlineStr">
        <is>
          <t>rev</t>
        </is>
      </c>
      <c r="C294" s="19" t="n">
        <v>2031</v>
      </c>
      <c r="D294" s="19" t="n">
        <v>0.1182</v>
      </c>
      <c r="E294" s="19" t="inlineStr">
        <is>
          <t>PriceFeasibility v0.1 x NMIM power CO2</t>
        </is>
      </c>
    </row>
    <row r="295">
      <c r="A295" s="19" t="inlineStr">
        <is>
          <t>GHA</t>
        </is>
      </c>
      <c r="B295" s="19" t="inlineStr">
        <is>
          <t>rev</t>
        </is>
      </c>
      <c r="C295" s="19" t="n">
        <v>2032</v>
      </c>
      <c r="D295" s="19" t="n">
        <v>0.1115</v>
      </c>
      <c r="E295" s="19" t="inlineStr">
        <is>
          <t>PriceFeasibility v0.1 x NMIM power CO2</t>
        </is>
      </c>
    </row>
    <row r="296">
      <c r="A296" s="19" t="inlineStr">
        <is>
          <t>GHA</t>
        </is>
      </c>
      <c r="B296" s="19" t="inlineStr">
        <is>
          <t>rev</t>
        </is>
      </c>
      <c r="C296" s="19" t="n">
        <v>2033</v>
      </c>
      <c r="D296" s="19" t="n">
        <v>0.1046</v>
      </c>
      <c r="E296" s="19" t="inlineStr">
        <is>
          <t>PriceFeasibility v0.1 x NMIM power CO2</t>
        </is>
      </c>
    </row>
    <row r="297">
      <c r="A297" s="19" t="inlineStr">
        <is>
          <t>GHA</t>
        </is>
      </c>
      <c r="B297" s="19" t="inlineStr">
        <is>
          <t>rev</t>
        </is>
      </c>
      <c r="C297" s="19" t="n">
        <v>2034</v>
      </c>
      <c r="D297" s="19" t="n">
        <v>0.09739</v>
      </c>
      <c r="E297" s="19" t="inlineStr">
        <is>
          <t>PriceFeasibility v0.1 x NMIM power CO2</t>
        </is>
      </c>
    </row>
    <row r="298">
      <c r="A298" s="19" t="inlineStr">
        <is>
          <t>GHA</t>
        </is>
      </c>
      <c r="B298" s="19" t="inlineStr">
        <is>
          <t>rev</t>
        </is>
      </c>
      <c r="C298" s="19" t="n">
        <v>2035</v>
      </c>
      <c r="D298" s="19" t="n">
        <v>0.08995</v>
      </c>
      <c r="E298" s="19" t="inlineStr">
        <is>
          <t>PriceFeasibility v0.1 x NMIM power CO2</t>
        </is>
      </c>
    </row>
    <row r="299">
      <c r="A299" s="19" t="inlineStr">
        <is>
          <t>GHA</t>
        </is>
      </c>
      <c r="B299" s="19" t="inlineStr">
        <is>
          <t>rev</t>
        </is>
      </c>
      <c r="C299" s="19" t="n">
        <v>2036</v>
      </c>
      <c r="D299" s="19" t="n">
        <v>0.08222</v>
      </c>
      <c r="E299" s="19" t="inlineStr">
        <is>
          <t>PriceFeasibility v0.1 x NMIM power CO2</t>
        </is>
      </c>
    </row>
    <row r="300">
      <c r="A300" s="19" t="inlineStr">
        <is>
          <t>GHA</t>
        </is>
      </c>
      <c r="B300" s="19" t="inlineStr">
        <is>
          <t>rev</t>
        </is>
      </c>
      <c r="C300" s="19" t="n">
        <v>2037</v>
      </c>
      <c r="D300" s="19" t="n">
        <v>0.07421</v>
      </c>
      <c r="E300" s="19" t="inlineStr">
        <is>
          <t>PriceFeasibility v0.1 x NMIM power CO2</t>
        </is>
      </c>
    </row>
    <row r="301">
      <c r="A301" s="19" t="inlineStr">
        <is>
          <t>GHA</t>
        </is>
      </c>
      <c r="B301" s="19" t="inlineStr">
        <is>
          <t>rev</t>
        </is>
      </c>
      <c r="C301" s="19" t="n">
        <v>2038</v>
      </c>
      <c r="D301" s="19" t="n">
        <v>0.06591</v>
      </c>
      <c r="E301" s="19" t="inlineStr">
        <is>
          <t>PriceFeasibility v0.1 x NMIM power CO2</t>
        </is>
      </c>
    </row>
    <row r="302">
      <c r="A302" s="19" t="inlineStr">
        <is>
          <t>GHA</t>
        </is>
      </c>
      <c r="B302" s="19" t="inlineStr">
        <is>
          <t>rev</t>
        </is>
      </c>
      <c r="C302" s="19" t="n">
        <v>2039</v>
      </c>
      <c r="D302" s="19" t="n">
        <v>0.05731</v>
      </c>
      <c r="E302" s="19" t="inlineStr">
        <is>
          <t>PriceFeasibility v0.1 x NMIM power CO2</t>
        </is>
      </c>
    </row>
    <row r="303">
      <c r="A303" s="19" t="inlineStr">
        <is>
          <t>GHA</t>
        </is>
      </c>
      <c r="B303" s="19" t="inlineStr">
        <is>
          <t>rev</t>
        </is>
      </c>
      <c r="C303" s="19" t="n">
        <v>2040</v>
      </c>
      <c r="D303" s="19" t="n">
        <v>0.04843</v>
      </c>
      <c r="E303" s="19" t="inlineStr">
        <is>
          <t>PriceFeasibility v0.1 x NMIM power CO2</t>
        </is>
      </c>
    </row>
    <row r="304">
      <c r="A304" s="19" t="inlineStr">
        <is>
          <t>GHA</t>
        </is>
      </c>
      <c r="B304" s="19" t="inlineStr">
        <is>
          <t>rev</t>
        </is>
      </c>
      <c r="C304" s="19" t="n">
        <v>2041</v>
      </c>
      <c r="D304" s="19" t="n">
        <v>0.03919</v>
      </c>
      <c r="E304" s="19" t="inlineStr">
        <is>
          <t>PriceFeasibility v0.1 x NMIM power CO2</t>
        </is>
      </c>
    </row>
    <row r="305">
      <c r="A305" s="19" t="inlineStr">
        <is>
          <t>GHA</t>
        </is>
      </c>
      <c r="B305" s="19" t="inlineStr">
        <is>
          <t>rev</t>
        </is>
      </c>
      <c r="C305" s="19" t="n">
        <v>2042</v>
      </c>
      <c r="D305" s="19" t="n">
        <v>0.02966</v>
      </c>
      <c r="E305" s="19" t="inlineStr">
        <is>
          <t>PriceFeasibility v0.1 x NMIM power CO2</t>
        </is>
      </c>
    </row>
    <row r="306">
      <c r="A306" s="19" t="inlineStr">
        <is>
          <t>GHA</t>
        </is>
      </c>
      <c r="B306" s="19" t="inlineStr">
        <is>
          <t>rev</t>
        </is>
      </c>
      <c r="C306" s="19" t="n">
        <v>2043</v>
      </c>
      <c r="D306" s="19" t="n">
        <v>0.01992</v>
      </c>
      <c r="E306" s="19" t="inlineStr">
        <is>
          <t>PriceFeasibility v0.1 x NMIM power CO2</t>
        </is>
      </c>
    </row>
    <row r="307">
      <c r="A307" s="19" t="inlineStr">
        <is>
          <t>GHA</t>
        </is>
      </c>
      <c r="B307" s="19" t="inlineStr">
        <is>
          <t>rev</t>
        </is>
      </c>
      <c r="C307" s="19" t="n">
        <v>2044</v>
      </c>
      <c r="D307" s="19" t="n">
        <v>0.01001</v>
      </c>
      <c r="E307" s="19" t="inlineStr">
        <is>
          <t>PriceFeasibility v0.1 x NMIM power CO2</t>
        </is>
      </c>
    </row>
    <row r="308">
      <c r="A308" s="19" t="inlineStr">
        <is>
          <t>GHA</t>
        </is>
      </c>
      <c r="B308" s="19" t="inlineStr">
        <is>
          <t>rev</t>
        </is>
      </c>
      <c r="C308" s="19" t="n">
        <v>2045</v>
      </c>
      <c r="D308" s="19" t="n">
        <v>0</v>
      </c>
      <c r="E308" s="19" t="inlineStr">
        <is>
          <t>PriceFeasibility v0.1 x NMIM power CO2</t>
        </is>
      </c>
    </row>
    <row r="309">
      <c r="A309" s="19" t="inlineStr">
        <is>
          <t>GHA</t>
        </is>
      </c>
      <c r="B309" s="19" t="inlineStr">
        <is>
          <t>rev</t>
        </is>
      </c>
      <c r="C309" s="19" t="n">
        <v>2046</v>
      </c>
      <c r="D309" s="19" t="n">
        <v>0</v>
      </c>
      <c r="E309" s="19" t="inlineStr">
        <is>
          <t>PriceFeasibility v0.1 x NMIM power CO2</t>
        </is>
      </c>
    </row>
    <row r="310">
      <c r="A310" s="19" t="inlineStr">
        <is>
          <t>GHA</t>
        </is>
      </c>
      <c r="B310" s="19" t="inlineStr">
        <is>
          <t>rev</t>
        </is>
      </c>
      <c r="C310" s="19" t="n">
        <v>2047</v>
      </c>
      <c r="D310" s="19" t="n">
        <v>0</v>
      </c>
      <c r="E310" s="19" t="inlineStr">
        <is>
          <t>PriceFeasibility v0.1 x NMIM power CO2</t>
        </is>
      </c>
    </row>
    <row r="311">
      <c r="A311" s="19" t="inlineStr">
        <is>
          <t>GHA</t>
        </is>
      </c>
      <c r="B311" s="19" t="inlineStr">
        <is>
          <t>rev</t>
        </is>
      </c>
      <c r="C311" s="19" t="n">
        <v>2048</v>
      </c>
      <c r="D311" s="19" t="n">
        <v>0</v>
      </c>
      <c r="E311" s="19" t="inlineStr">
        <is>
          <t>PriceFeasibility v0.1 x NMIM power CO2</t>
        </is>
      </c>
    </row>
    <row r="312">
      <c r="A312" s="19" t="inlineStr">
        <is>
          <t>GHA</t>
        </is>
      </c>
      <c r="B312" s="19" t="inlineStr">
        <is>
          <t>rev</t>
        </is>
      </c>
      <c r="C312" s="19" t="n">
        <v>2049</v>
      </c>
      <c r="D312" s="19" t="n">
        <v>0</v>
      </c>
      <c r="E312" s="19" t="inlineStr">
        <is>
          <t>PriceFeasibility v0.1 x NMIM power CO2</t>
        </is>
      </c>
    </row>
    <row r="313">
      <c r="A313" s="19" t="inlineStr">
        <is>
          <t>GHA</t>
        </is>
      </c>
      <c r="B313" s="19" t="inlineStr">
        <is>
          <t>rev</t>
        </is>
      </c>
      <c r="C313" s="19" t="n">
        <v>2050</v>
      </c>
      <c r="D313" s="19" t="n">
        <v>0</v>
      </c>
      <c r="E313" s="19" t="inlineStr">
        <is>
          <t>PriceFeasibility v0.1 x NMIM power CO2</t>
        </is>
      </c>
    </row>
    <row r="314">
      <c r="A314" s="19" t="inlineStr">
        <is>
          <t>KEN</t>
        </is>
      </c>
      <c r="B314" s="19" t="inlineStr">
        <is>
          <t>pub_cap</t>
        </is>
      </c>
      <c r="C314" s="19" t="n">
        <v>2025</v>
      </c>
      <c r="D314" s="19" t="n">
        <v>0.08108</v>
      </c>
      <c r="E314" s="19" t="inlineStr">
        <is>
          <t>NMIM v0.2 via MacroFiscalModels</t>
        </is>
      </c>
    </row>
    <row r="315">
      <c r="A315" s="19" t="inlineStr">
        <is>
          <t>KEN</t>
        </is>
      </c>
      <c r="B315" s="19" t="inlineStr">
        <is>
          <t>pub_cap</t>
        </is>
      </c>
      <c r="C315" s="19" t="n">
        <v>2026</v>
      </c>
      <c r="D315" s="19" t="n">
        <v>0.09297999999999999</v>
      </c>
      <c r="E315" s="19" t="inlineStr">
        <is>
          <t>NMIM v0.2 via MacroFiscalModels</t>
        </is>
      </c>
    </row>
    <row r="316">
      <c r="A316" s="19" t="inlineStr">
        <is>
          <t>KEN</t>
        </is>
      </c>
      <c r="B316" s="19" t="inlineStr">
        <is>
          <t>pub_cap</t>
        </is>
      </c>
      <c r="C316" s="19" t="n">
        <v>2027</v>
      </c>
      <c r="D316" s="19" t="n">
        <v>0.1007</v>
      </c>
      <c r="E316" s="19" t="inlineStr">
        <is>
          <t>NMIM v0.2 via MacroFiscalModels</t>
        </is>
      </c>
    </row>
    <row r="317">
      <c r="A317" s="19" t="inlineStr">
        <is>
          <t>KEN</t>
        </is>
      </c>
      <c r="B317" s="19" t="inlineStr">
        <is>
          <t>pub_cap</t>
        </is>
      </c>
      <c r="C317" s="19" t="n">
        <v>2028</v>
      </c>
      <c r="D317" s="19" t="n">
        <v>0.1043</v>
      </c>
      <c r="E317" s="19" t="inlineStr">
        <is>
          <t>NMIM v0.2 via MacroFiscalModels</t>
        </is>
      </c>
    </row>
    <row r="318">
      <c r="A318" s="19" t="inlineStr">
        <is>
          <t>KEN</t>
        </is>
      </c>
      <c r="B318" s="19" t="inlineStr">
        <is>
          <t>pub_cap</t>
        </is>
      </c>
      <c r="C318" s="19" t="n">
        <v>2029</v>
      </c>
      <c r="D318" s="19" t="n">
        <v>0.1041</v>
      </c>
      <c r="E318" s="19" t="inlineStr">
        <is>
          <t>NMIM v0.2 via MacroFiscalModels</t>
        </is>
      </c>
    </row>
    <row r="319">
      <c r="A319" s="19" t="inlineStr">
        <is>
          <t>KEN</t>
        </is>
      </c>
      <c r="B319" s="19" t="inlineStr">
        <is>
          <t>pub_cap</t>
        </is>
      </c>
      <c r="C319" s="19" t="n">
        <v>2030</v>
      </c>
      <c r="D319" s="19" t="n">
        <v>0.1002</v>
      </c>
      <c r="E319" s="19" t="inlineStr">
        <is>
          <t>NMIM v0.2 via MacroFiscalModels</t>
        </is>
      </c>
    </row>
    <row r="320">
      <c r="A320" s="19" t="inlineStr">
        <is>
          <t>KEN</t>
        </is>
      </c>
      <c r="B320" s="19" t="inlineStr">
        <is>
          <t>pub_cap</t>
        </is>
      </c>
      <c r="C320" s="19" t="n">
        <v>2031</v>
      </c>
      <c r="D320" s="19" t="n">
        <v>0.09304</v>
      </c>
      <c r="E320" s="19" t="inlineStr">
        <is>
          <t>NMIM v0.2 via MacroFiscalModels</t>
        </is>
      </c>
    </row>
    <row r="321">
      <c r="A321" s="19" t="inlineStr">
        <is>
          <t>KEN</t>
        </is>
      </c>
      <c r="B321" s="19" t="inlineStr">
        <is>
          <t>pub_cap</t>
        </is>
      </c>
      <c r="C321" s="19" t="n">
        <v>2032</v>
      </c>
      <c r="D321" s="19" t="n">
        <v>0.08273999999999999</v>
      </c>
      <c r="E321" s="19" t="inlineStr">
        <is>
          <t>NMIM v0.2 via MacroFiscalModels</t>
        </is>
      </c>
    </row>
    <row r="322">
      <c r="A322" s="19" t="inlineStr">
        <is>
          <t>KEN</t>
        </is>
      </c>
      <c r="B322" s="19" t="inlineStr">
        <is>
          <t>pub_cap</t>
        </is>
      </c>
      <c r="C322" s="19" t="n">
        <v>2033</v>
      </c>
      <c r="D322" s="19" t="n">
        <v>0.08442</v>
      </c>
      <c r="E322" s="19" t="inlineStr">
        <is>
          <t>NMIM v0.2 via MacroFiscalModels</t>
        </is>
      </c>
    </row>
    <row r="323">
      <c r="A323" s="19" t="inlineStr">
        <is>
          <t>KEN</t>
        </is>
      </c>
      <c r="B323" s="19" t="inlineStr">
        <is>
          <t>pub_cap</t>
        </is>
      </c>
      <c r="C323" s="19" t="n">
        <v>2034</v>
      </c>
      <c r="D323" s="19" t="n">
        <v>0.08592</v>
      </c>
      <c r="E323" s="19" t="inlineStr">
        <is>
          <t>NMIM v0.2 via MacroFiscalModels</t>
        </is>
      </c>
    </row>
    <row r="324">
      <c r="A324" s="19" t="inlineStr">
        <is>
          <t>KEN</t>
        </is>
      </c>
      <c r="B324" s="19" t="inlineStr">
        <is>
          <t>pub_cap</t>
        </is>
      </c>
      <c r="C324" s="19" t="n">
        <v>2035</v>
      </c>
      <c r="D324" s="19" t="n">
        <v>0.08727</v>
      </c>
      <c r="E324" s="19" t="inlineStr">
        <is>
          <t>NMIM v0.2 via MacroFiscalModels</t>
        </is>
      </c>
    </row>
    <row r="325">
      <c r="A325" s="19" t="inlineStr">
        <is>
          <t>KEN</t>
        </is>
      </c>
      <c r="B325" s="19" t="inlineStr">
        <is>
          <t>pub_cap</t>
        </is>
      </c>
      <c r="C325" s="19" t="n">
        <v>2036</v>
      </c>
      <c r="D325" s="19" t="n">
        <v>0.08883000000000001</v>
      </c>
      <c r="E325" s="19" t="inlineStr">
        <is>
          <t>NMIM v0.2 via MacroFiscalModels</t>
        </is>
      </c>
    </row>
    <row r="326">
      <c r="A326" s="19" t="inlineStr">
        <is>
          <t>KEN</t>
        </is>
      </c>
      <c r="B326" s="19" t="inlineStr">
        <is>
          <t>pub_cap</t>
        </is>
      </c>
      <c r="C326" s="19" t="n">
        <v>2037</v>
      </c>
      <c r="D326" s="19" t="n">
        <v>0.09018</v>
      </c>
      <c r="E326" s="19" t="inlineStr">
        <is>
          <t>NMIM v0.2 via MacroFiscalModels</t>
        </is>
      </c>
    </row>
    <row r="327">
      <c r="A327" s="19" t="inlineStr">
        <is>
          <t>KEN</t>
        </is>
      </c>
      <c r="B327" s="19" t="inlineStr">
        <is>
          <t>pub_cap</t>
        </is>
      </c>
      <c r="C327" s="19" t="n">
        <v>2038</v>
      </c>
      <c r="D327" s="19" t="n">
        <v>0.09021</v>
      </c>
      <c r="E327" s="19" t="inlineStr">
        <is>
          <t>NMIM v0.2 via MacroFiscalModels</t>
        </is>
      </c>
    </row>
    <row r="328">
      <c r="A328" s="19" t="inlineStr">
        <is>
          <t>KEN</t>
        </is>
      </c>
      <c r="B328" s="19" t="inlineStr">
        <is>
          <t>pub_cap</t>
        </is>
      </c>
      <c r="C328" s="19" t="n">
        <v>2039</v>
      </c>
      <c r="D328" s="19" t="n">
        <v>0.09099</v>
      </c>
      <c r="E328" s="19" t="inlineStr">
        <is>
          <t>NMIM v0.2 via MacroFiscalModels</t>
        </is>
      </c>
    </row>
    <row r="329">
      <c r="A329" s="19" t="inlineStr">
        <is>
          <t>KEN</t>
        </is>
      </c>
      <c r="B329" s="19" t="inlineStr">
        <is>
          <t>pub_cap</t>
        </is>
      </c>
      <c r="C329" s="19" t="n">
        <v>2040</v>
      </c>
      <c r="D329" s="19" t="n">
        <v>0.09164</v>
      </c>
      <c r="E329" s="19" t="inlineStr">
        <is>
          <t>NMIM v0.2 via MacroFiscalModels</t>
        </is>
      </c>
    </row>
    <row r="330">
      <c r="A330" s="19" t="inlineStr">
        <is>
          <t>KEN</t>
        </is>
      </c>
      <c r="B330" s="19" t="inlineStr">
        <is>
          <t>pub_cap</t>
        </is>
      </c>
      <c r="C330" s="19" t="n">
        <v>2041</v>
      </c>
      <c r="D330" s="19" t="n">
        <v>0.09046</v>
      </c>
      <c r="E330" s="19" t="inlineStr">
        <is>
          <t>NMIM v0.2 via MacroFiscalModels</t>
        </is>
      </c>
    </row>
    <row r="331">
      <c r="A331" s="19" t="inlineStr">
        <is>
          <t>KEN</t>
        </is>
      </c>
      <c r="B331" s="19" t="inlineStr">
        <is>
          <t>pub_cap</t>
        </is>
      </c>
      <c r="C331" s="19" t="n">
        <v>2042</v>
      </c>
      <c r="D331" s="19" t="n">
        <v>0.08928999999999999</v>
      </c>
      <c r="E331" s="19" t="inlineStr">
        <is>
          <t>NMIM v0.2 via MacroFiscalModels</t>
        </is>
      </c>
    </row>
    <row r="332">
      <c r="A332" s="19" t="inlineStr">
        <is>
          <t>KEN</t>
        </is>
      </c>
      <c r="B332" s="19" t="inlineStr">
        <is>
          <t>pub_cap</t>
        </is>
      </c>
      <c r="C332" s="19" t="n">
        <v>2043</v>
      </c>
      <c r="D332" s="19" t="n">
        <v>0.08813</v>
      </c>
      <c r="E332" s="19" t="inlineStr">
        <is>
          <t>NMIM v0.2 via MacroFiscalModels</t>
        </is>
      </c>
    </row>
    <row r="333">
      <c r="A333" s="19" t="inlineStr">
        <is>
          <t>KEN</t>
        </is>
      </c>
      <c r="B333" s="19" t="inlineStr">
        <is>
          <t>pub_cap</t>
        </is>
      </c>
      <c r="C333" s="19" t="n">
        <v>2044</v>
      </c>
      <c r="D333" s="19" t="n">
        <v>0.08698</v>
      </c>
      <c r="E333" s="19" t="inlineStr">
        <is>
          <t>NMIM v0.2 via MacroFiscalModels</t>
        </is>
      </c>
    </row>
    <row r="334">
      <c r="A334" s="19" t="inlineStr">
        <is>
          <t>KEN</t>
        </is>
      </c>
      <c r="B334" s="19" t="inlineStr">
        <is>
          <t>pub_cap</t>
        </is>
      </c>
      <c r="C334" s="19" t="n">
        <v>2045</v>
      </c>
      <c r="D334" s="19" t="n">
        <v>0.08581</v>
      </c>
      <c r="E334" s="19" t="inlineStr">
        <is>
          <t>NMIM v0.2 via MacroFiscalModels</t>
        </is>
      </c>
    </row>
    <row r="335">
      <c r="A335" s="19" t="inlineStr">
        <is>
          <t>KEN</t>
        </is>
      </c>
      <c r="B335" s="19" t="inlineStr">
        <is>
          <t>pub_cap</t>
        </is>
      </c>
      <c r="C335" s="19" t="n">
        <v>2046</v>
      </c>
      <c r="D335" s="19" t="n">
        <v>0.08454</v>
      </c>
      <c r="E335" s="19" t="inlineStr">
        <is>
          <t>NMIM v0.2 via MacroFiscalModels</t>
        </is>
      </c>
    </row>
    <row r="336">
      <c r="A336" s="19" t="inlineStr">
        <is>
          <t>KEN</t>
        </is>
      </c>
      <c r="B336" s="19" t="inlineStr">
        <is>
          <t>pub_cap</t>
        </is>
      </c>
      <c r="C336" s="19" t="n">
        <v>2047</v>
      </c>
      <c r="D336" s="19" t="n">
        <v>0.0833</v>
      </c>
      <c r="E336" s="19" t="inlineStr">
        <is>
          <t>NMIM v0.2 via MacroFiscalModels</t>
        </is>
      </c>
    </row>
    <row r="337">
      <c r="A337" s="19" t="inlineStr">
        <is>
          <t>KEN</t>
        </is>
      </c>
      <c r="B337" s="19" t="inlineStr">
        <is>
          <t>pub_cap</t>
        </is>
      </c>
      <c r="C337" s="19" t="n">
        <v>2048</v>
      </c>
      <c r="D337" s="19" t="n">
        <v>0.08209</v>
      </c>
      <c r="E337" s="19" t="inlineStr">
        <is>
          <t>NMIM v0.2 via MacroFiscalModels</t>
        </is>
      </c>
    </row>
    <row r="338">
      <c r="A338" s="19" t="inlineStr">
        <is>
          <t>KEN</t>
        </is>
      </c>
      <c r="B338" s="19" t="inlineStr">
        <is>
          <t>pub_cap</t>
        </is>
      </c>
      <c r="C338" s="19" t="n">
        <v>2049</v>
      </c>
      <c r="D338" s="19" t="n">
        <v>0.08091</v>
      </c>
      <c r="E338" s="19" t="inlineStr">
        <is>
          <t>NMIM v0.2 via MacroFiscalModels</t>
        </is>
      </c>
    </row>
    <row r="339">
      <c r="A339" s="19" t="inlineStr">
        <is>
          <t>KEN</t>
        </is>
      </c>
      <c r="B339" s="19" t="inlineStr">
        <is>
          <t>pub_cap</t>
        </is>
      </c>
      <c r="C339" s="19" t="n">
        <v>2050</v>
      </c>
      <c r="D339" s="19" t="n">
        <v>0.07976</v>
      </c>
      <c r="E339" s="19" t="inlineStr">
        <is>
          <t>NMIM v0.2 via MacroFiscalModels</t>
        </is>
      </c>
    </row>
    <row r="340">
      <c r="A340" s="19" t="inlineStr">
        <is>
          <t>KEN</t>
        </is>
      </c>
      <c r="B340" s="19" t="inlineStr">
        <is>
          <t>pub_spend</t>
        </is>
      </c>
      <c r="C340" s="19" t="n">
        <v>2025</v>
      </c>
      <c r="D340" s="19" t="n">
        <v>0.08008999999999999</v>
      </c>
      <c r="E340" s="19" t="inlineStr">
        <is>
          <t>NMIM v0.2 via MacroFiscalModels</t>
        </is>
      </c>
    </row>
    <row r="341">
      <c r="A341" s="19" t="inlineStr">
        <is>
          <t>KEN</t>
        </is>
      </c>
      <c r="B341" s="19" t="inlineStr">
        <is>
          <t>pub_spend</t>
        </is>
      </c>
      <c r="C341" s="19" t="n">
        <v>2026</v>
      </c>
      <c r="D341" s="19" t="n">
        <v>0.1533</v>
      </c>
      <c r="E341" s="19" t="inlineStr">
        <is>
          <t>NMIM v0.2 via MacroFiscalModels</t>
        </is>
      </c>
    </row>
    <row r="342">
      <c r="A342" s="19" t="inlineStr">
        <is>
          <t>KEN</t>
        </is>
      </c>
      <c r="B342" s="19" t="inlineStr">
        <is>
          <t>pub_spend</t>
        </is>
      </c>
      <c r="C342" s="19" t="n">
        <v>2027</v>
      </c>
      <c r="D342" s="19" t="n">
        <v>0.2202</v>
      </c>
      <c r="E342" s="19" t="inlineStr">
        <is>
          <t>NMIM v0.2 via MacroFiscalModels</t>
        </is>
      </c>
    </row>
    <row r="343">
      <c r="A343" s="19" t="inlineStr">
        <is>
          <t>KEN</t>
        </is>
      </c>
      <c r="B343" s="19" t="inlineStr">
        <is>
          <t>pub_spend</t>
        </is>
      </c>
      <c r="C343" s="19" t="n">
        <v>2028</v>
      </c>
      <c r="D343" s="19" t="n">
        <v>0.2812</v>
      </c>
      <c r="E343" s="19" t="inlineStr">
        <is>
          <t>NMIM v0.2 via MacroFiscalModels</t>
        </is>
      </c>
    </row>
    <row r="344">
      <c r="A344" s="19" t="inlineStr">
        <is>
          <t>KEN</t>
        </is>
      </c>
      <c r="B344" s="19" t="inlineStr">
        <is>
          <t>pub_spend</t>
        </is>
      </c>
      <c r="C344" s="19" t="n">
        <v>2029</v>
      </c>
      <c r="D344" s="19" t="n">
        <v>0.3368</v>
      </c>
      <c r="E344" s="19" t="inlineStr">
        <is>
          <t>NMIM v0.2 via MacroFiscalModels</t>
        </is>
      </c>
    </row>
    <row r="345">
      <c r="A345" s="19" t="inlineStr">
        <is>
          <t>KEN</t>
        </is>
      </c>
      <c r="B345" s="19" t="inlineStr">
        <is>
          <t>pub_spend</t>
        </is>
      </c>
      <c r="C345" s="19" t="n">
        <v>2030</v>
      </c>
      <c r="D345" s="19" t="n">
        <v>0.3874</v>
      </c>
      <c r="E345" s="19" t="inlineStr">
        <is>
          <t>NMIM v0.2 via MacroFiscalModels</t>
        </is>
      </c>
    </row>
    <row r="346">
      <c r="A346" s="19" t="inlineStr">
        <is>
          <t>KEN</t>
        </is>
      </c>
      <c r="B346" s="19" t="inlineStr">
        <is>
          <t>pub_spend</t>
        </is>
      </c>
      <c r="C346" s="19" t="n">
        <v>2031</v>
      </c>
      <c r="D346" s="19" t="n">
        <v>0.3908</v>
      </c>
      <c r="E346" s="19" t="inlineStr">
        <is>
          <t>NMIM v0.2 via MacroFiscalModels</t>
        </is>
      </c>
    </row>
    <row r="347">
      <c r="A347" s="19" t="inlineStr">
        <is>
          <t>KEN</t>
        </is>
      </c>
      <c r="B347" s="19" t="inlineStr">
        <is>
          <t>pub_spend</t>
        </is>
      </c>
      <c r="C347" s="19" t="n">
        <v>2032</v>
      </c>
      <c r="D347" s="19" t="n">
        <v>0.3935</v>
      </c>
      <c r="E347" s="19" t="inlineStr">
        <is>
          <t>NMIM v0.2 via MacroFiscalModels</t>
        </is>
      </c>
    </row>
    <row r="348">
      <c r="A348" s="19" t="inlineStr">
        <is>
          <t>KEN</t>
        </is>
      </c>
      <c r="B348" s="19" t="inlineStr">
        <is>
          <t>pub_spend</t>
        </is>
      </c>
      <c r="C348" s="19" t="n">
        <v>2033</v>
      </c>
      <c r="D348" s="19" t="n">
        <v>0.3954</v>
      </c>
      <c r="E348" s="19" t="inlineStr">
        <is>
          <t>NMIM v0.2 via MacroFiscalModels</t>
        </is>
      </c>
    </row>
    <row r="349">
      <c r="A349" s="19" t="inlineStr">
        <is>
          <t>KEN</t>
        </is>
      </c>
      <c r="B349" s="19" t="inlineStr">
        <is>
          <t>pub_spend</t>
        </is>
      </c>
      <c r="C349" s="19" t="n">
        <v>2034</v>
      </c>
      <c r="D349" s="19" t="n">
        <v>0.3966</v>
      </c>
      <c r="E349" s="19" t="inlineStr">
        <is>
          <t>NMIM v0.2 via MacroFiscalModels</t>
        </is>
      </c>
    </row>
    <row r="350">
      <c r="A350" s="19" t="inlineStr">
        <is>
          <t>KEN</t>
        </is>
      </c>
      <c r="B350" s="19" t="inlineStr">
        <is>
          <t>pub_spend</t>
        </is>
      </c>
      <c r="C350" s="19" t="n">
        <v>2035</v>
      </c>
      <c r="D350" s="19" t="n">
        <v>0.3972</v>
      </c>
      <c r="E350" s="19" t="inlineStr">
        <is>
          <t>NMIM v0.2 via MacroFiscalModels</t>
        </is>
      </c>
    </row>
    <row r="351">
      <c r="A351" s="19" t="inlineStr">
        <is>
          <t>KEN</t>
        </is>
      </c>
      <c r="B351" s="19" t="inlineStr">
        <is>
          <t>pub_spend</t>
        </is>
      </c>
      <c r="C351" s="19" t="n">
        <v>2036</v>
      </c>
      <c r="D351" s="19" t="n">
        <v>0.3972</v>
      </c>
      <c r="E351" s="19" t="inlineStr">
        <is>
          <t>NMIM v0.2 via MacroFiscalModels</t>
        </is>
      </c>
    </row>
    <row r="352">
      <c r="A352" s="19" t="inlineStr">
        <is>
          <t>KEN</t>
        </is>
      </c>
      <c r="B352" s="19" t="inlineStr">
        <is>
          <t>pub_spend</t>
        </is>
      </c>
      <c r="C352" s="19" t="n">
        <v>2037</v>
      </c>
      <c r="D352" s="19" t="n">
        <v>0.3968</v>
      </c>
      <c r="E352" s="19" t="inlineStr">
        <is>
          <t>NMIM v0.2 via MacroFiscalModels</t>
        </is>
      </c>
    </row>
    <row r="353">
      <c r="A353" s="19" t="inlineStr">
        <is>
          <t>KEN</t>
        </is>
      </c>
      <c r="B353" s="19" t="inlineStr">
        <is>
          <t>pub_spend</t>
        </is>
      </c>
      <c r="C353" s="19" t="n">
        <v>2038</v>
      </c>
      <c r="D353" s="19" t="n">
        <v>0.3959</v>
      </c>
      <c r="E353" s="19" t="inlineStr">
        <is>
          <t>NMIM v0.2 via MacroFiscalModels</t>
        </is>
      </c>
    </row>
    <row r="354">
      <c r="A354" s="19" t="inlineStr">
        <is>
          <t>KEN</t>
        </is>
      </c>
      <c r="B354" s="19" t="inlineStr">
        <is>
          <t>pub_spend</t>
        </is>
      </c>
      <c r="C354" s="19" t="n">
        <v>2039</v>
      </c>
      <c r="D354" s="19" t="n">
        <v>0.3946</v>
      </c>
      <c r="E354" s="19" t="inlineStr">
        <is>
          <t>NMIM v0.2 via MacroFiscalModels</t>
        </is>
      </c>
    </row>
    <row r="355">
      <c r="A355" s="19" t="inlineStr">
        <is>
          <t>KEN</t>
        </is>
      </c>
      <c r="B355" s="19" t="inlineStr">
        <is>
          <t>pub_spend</t>
        </is>
      </c>
      <c r="C355" s="19" t="n">
        <v>2040</v>
      </c>
      <c r="D355" s="19" t="n">
        <v>0.3929</v>
      </c>
      <c r="E355" s="19" t="inlineStr">
        <is>
          <t>NMIM v0.2 via MacroFiscalModels</t>
        </is>
      </c>
    </row>
    <row r="356">
      <c r="A356" s="19" t="inlineStr">
        <is>
          <t>KEN</t>
        </is>
      </c>
      <c r="B356" s="19" t="inlineStr">
        <is>
          <t>pub_spend</t>
        </is>
      </c>
      <c r="C356" s="19" t="n">
        <v>2041</v>
      </c>
      <c r="D356" s="19" t="n">
        <v>0.3908</v>
      </c>
      <c r="E356" s="19" t="inlineStr">
        <is>
          <t>NMIM v0.2 via MacroFiscalModels</t>
        </is>
      </c>
    </row>
    <row r="357">
      <c r="A357" s="19" t="inlineStr">
        <is>
          <t>KEN</t>
        </is>
      </c>
      <c r="B357" s="19" t="inlineStr">
        <is>
          <t>pub_spend</t>
        </is>
      </c>
      <c r="C357" s="19" t="n">
        <v>2042</v>
      </c>
      <c r="D357" s="19" t="n">
        <v>0.3882</v>
      </c>
      <c r="E357" s="19" t="inlineStr">
        <is>
          <t>NMIM v0.2 via MacroFiscalModels</t>
        </is>
      </c>
    </row>
    <row r="358">
      <c r="A358" s="19" t="inlineStr">
        <is>
          <t>KEN</t>
        </is>
      </c>
      <c r="B358" s="19" t="inlineStr">
        <is>
          <t>pub_spend</t>
        </is>
      </c>
      <c r="C358" s="19" t="n">
        <v>2043</v>
      </c>
      <c r="D358" s="19" t="n">
        <v>0.3853</v>
      </c>
      <c r="E358" s="19" t="inlineStr">
        <is>
          <t>NMIM v0.2 via MacroFiscalModels</t>
        </is>
      </c>
    </row>
    <row r="359">
      <c r="A359" s="19" t="inlineStr">
        <is>
          <t>KEN</t>
        </is>
      </c>
      <c r="B359" s="19" t="inlineStr">
        <is>
          <t>pub_spend</t>
        </is>
      </c>
      <c r="C359" s="19" t="n">
        <v>2044</v>
      </c>
      <c r="D359" s="19" t="n">
        <v>0.382</v>
      </c>
      <c r="E359" s="19" t="inlineStr">
        <is>
          <t>NMIM v0.2 via MacroFiscalModels</t>
        </is>
      </c>
    </row>
    <row r="360">
      <c r="A360" s="19" t="inlineStr">
        <is>
          <t>KEN</t>
        </is>
      </c>
      <c r="B360" s="19" t="inlineStr">
        <is>
          <t>pub_spend</t>
        </is>
      </c>
      <c r="C360" s="19" t="n">
        <v>2045</v>
      </c>
      <c r="D360" s="19" t="n">
        <v>0.3784</v>
      </c>
      <c r="E360" s="19" t="inlineStr">
        <is>
          <t>NMIM v0.2 via MacroFiscalModels</t>
        </is>
      </c>
    </row>
    <row r="361">
      <c r="A361" s="19" t="inlineStr">
        <is>
          <t>KEN</t>
        </is>
      </c>
      <c r="B361" s="19" t="inlineStr">
        <is>
          <t>pub_spend</t>
        </is>
      </c>
      <c r="C361" s="19" t="n">
        <v>2046</v>
      </c>
      <c r="D361" s="19" t="n">
        <v>0.3746</v>
      </c>
      <c r="E361" s="19" t="inlineStr">
        <is>
          <t>NMIM v0.2 via MacroFiscalModels</t>
        </is>
      </c>
    </row>
    <row r="362">
      <c r="A362" s="19" t="inlineStr">
        <is>
          <t>KEN</t>
        </is>
      </c>
      <c r="B362" s="19" t="inlineStr">
        <is>
          <t>pub_spend</t>
        </is>
      </c>
      <c r="C362" s="19" t="n">
        <v>2047</v>
      </c>
      <c r="D362" s="19" t="n">
        <v>0.3704</v>
      </c>
      <c r="E362" s="19" t="inlineStr">
        <is>
          <t>NMIM v0.2 via MacroFiscalModels</t>
        </is>
      </c>
    </row>
    <row r="363">
      <c r="A363" s="19" t="inlineStr">
        <is>
          <t>KEN</t>
        </is>
      </c>
      <c r="B363" s="19" t="inlineStr">
        <is>
          <t>pub_spend</t>
        </is>
      </c>
      <c r="C363" s="19" t="n">
        <v>2048</v>
      </c>
      <c r="D363" s="19" t="n">
        <v>0.366</v>
      </c>
      <c r="E363" s="19" t="inlineStr">
        <is>
          <t>NMIM v0.2 via MacroFiscalModels</t>
        </is>
      </c>
    </row>
    <row r="364">
      <c r="A364" s="19" t="inlineStr">
        <is>
          <t>KEN</t>
        </is>
      </c>
      <c r="B364" s="19" t="inlineStr">
        <is>
          <t>pub_spend</t>
        </is>
      </c>
      <c r="C364" s="19" t="n">
        <v>2049</v>
      </c>
      <c r="D364" s="19" t="n">
        <v>0.3614</v>
      </c>
      <c r="E364" s="19" t="inlineStr">
        <is>
          <t>NMIM v0.2 via MacroFiscalModels</t>
        </is>
      </c>
    </row>
    <row r="365">
      <c r="A365" s="19" t="inlineStr">
        <is>
          <t>KEN</t>
        </is>
      </c>
      <c r="B365" s="19" t="inlineStr">
        <is>
          <t>pub_spend</t>
        </is>
      </c>
      <c r="C365" s="19" t="n">
        <v>2050</v>
      </c>
      <c r="D365" s="19" t="n">
        <v>0.3567</v>
      </c>
      <c r="E365" s="19" t="inlineStr">
        <is>
          <t>NMIM v0.2 via MacroFiscalModels</t>
        </is>
      </c>
    </row>
    <row r="366">
      <c r="A366" s="19" t="inlineStr">
        <is>
          <t>KEN</t>
        </is>
      </c>
      <c r="B366" s="19" t="inlineStr">
        <is>
          <t>rev</t>
        </is>
      </c>
      <c r="C366" s="19" t="n">
        <v>2025</v>
      </c>
      <c r="D366" s="19" t="n">
        <v>0.07892</v>
      </c>
      <c r="E366" s="19" t="inlineStr">
        <is>
          <t>PriceFeasibility v0.1 x NMIM power CO2</t>
        </is>
      </c>
    </row>
    <row r="367">
      <c r="A367" s="19" t="inlineStr">
        <is>
          <t>KEN</t>
        </is>
      </c>
      <c r="B367" s="19" t="inlineStr">
        <is>
          <t>rev</t>
        </is>
      </c>
      <c r="C367" s="19" t="n">
        <v>2026</v>
      </c>
      <c r="D367" s="19" t="n">
        <v>0.07387000000000001</v>
      </c>
      <c r="E367" s="19" t="inlineStr">
        <is>
          <t>PriceFeasibility v0.1 x NMIM power CO2</t>
        </is>
      </c>
    </row>
    <row r="368">
      <c r="A368" s="19" t="inlineStr">
        <is>
          <t>KEN</t>
        </is>
      </c>
      <c r="B368" s="19" t="inlineStr">
        <is>
          <t>rev</t>
        </is>
      </c>
      <c r="C368" s="19" t="n">
        <v>2027</v>
      </c>
      <c r="D368" s="19" t="n">
        <v>0.06864000000000001</v>
      </c>
      <c r="E368" s="19" t="inlineStr">
        <is>
          <t>PriceFeasibility v0.1 x NMIM power CO2</t>
        </is>
      </c>
    </row>
    <row r="369">
      <c r="A369" s="19" t="inlineStr">
        <is>
          <t>KEN</t>
        </is>
      </c>
      <c r="B369" s="19" t="inlineStr">
        <is>
          <t>rev</t>
        </is>
      </c>
      <c r="C369" s="19" t="n">
        <v>2028</v>
      </c>
      <c r="D369" s="19" t="n">
        <v>0.06318</v>
      </c>
      <c r="E369" s="19" t="inlineStr">
        <is>
          <t>PriceFeasibility v0.1 x NMIM power CO2</t>
        </is>
      </c>
    </row>
    <row r="370">
      <c r="A370" s="19" t="inlineStr">
        <is>
          <t>KEN</t>
        </is>
      </c>
      <c r="B370" s="19" t="inlineStr">
        <is>
          <t>rev</t>
        </is>
      </c>
      <c r="C370" s="19" t="n">
        <v>2029</v>
      </c>
      <c r="D370" s="19" t="n">
        <v>0.05744</v>
      </c>
      <c r="E370" s="19" t="inlineStr">
        <is>
          <t>PriceFeasibility v0.1 x NMIM power CO2</t>
        </is>
      </c>
    </row>
    <row r="371">
      <c r="A371" s="19" t="inlineStr">
        <is>
          <t>KEN</t>
        </is>
      </c>
      <c r="B371" s="19" t="inlineStr">
        <is>
          <t>rev</t>
        </is>
      </c>
      <c r="C371" s="19" t="n">
        <v>2030</v>
      </c>
      <c r="D371" s="19" t="n">
        <v>0.0514</v>
      </c>
      <c r="E371" s="19" t="inlineStr">
        <is>
          <t>PriceFeasibility v0.1 x NMIM power CO2</t>
        </is>
      </c>
    </row>
    <row r="372">
      <c r="A372" s="19" t="inlineStr">
        <is>
          <t>KEN</t>
        </is>
      </c>
      <c r="B372" s="19" t="inlineStr">
        <is>
          <t>rev</t>
        </is>
      </c>
      <c r="C372" s="19" t="n">
        <v>2031</v>
      </c>
      <c r="D372" s="19" t="n">
        <v>0.04504</v>
      </c>
      <c r="E372" s="19" t="inlineStr">
        <is>
          <t>PriceFeasibility v0.1 x NMIM power CO2</t>
        </is>
      </c>
    </row>
    <row r="373">
      <c r="A373" s="19" t="inlineStr">
        <is>
          <t>KEN</t>
        </is>
      </c>
      <c r="B373" s="19" t="inlineStr">
        <is>
          <t>rev</t>
        </is>
      </c>
      <c r="C373" s="19" t="n">
        <v>2032</v>
      </c>
      <c r="D373" s="19" t="n">
        <v>0.03834</v>
      </c>
      <c r="E373" s="19" t="inlineStr">
        <is>
          <t>PriceFeasibility v0.1 x NMIM power CO2</t>
        </is>
      </c>
    </row>
    <row r="374">
      <c r="A374" s="19" t="inlineStr">
        <is>
          <t>KEN</t>
        </is>
      </c>
      <c r="B374" s="19" t="inlineStr">
        <is>
          <t>rev</t>
        </is>
      </c>
      <c r="C374" s="19" t="n">
        <v>2033</v>
      </c>
      <c r="D374" s="19" t="n">
        <v>0.0313</v>
      </c>
      <c r="E374" s="19" t="inlineStr">
        <is>
          <t>PriceFeasibility v0.1 x NMIM power CO2</t>
        </is>
      </c>
    </row>
    <row r="375">
      <c r="A375" s="19" t="inlineStr">
        <is>
          <t>KEN</t>
        </is>
      </c>
      <c r="B375" s="19" t="inlineStr">
        <is>
          <t>rev</t>
        </is>
      </c>
      <c r="C375" s="19" t="n">
        <v>2034</v>
      </c>
      <c r="D375" s="19" t="n">
        <v>0.02391</v>
      </c>
      <c r="E375" s="19" t="inlineStr">
        <is>
          <t>PriceFeasibility v0.1 x NMIM power CO2</t>
        </is>
      </c>
    </row>
    <row r="376">
      <c r="A376" s="19" t="inlineStr">
        <is>
          <t>KEN</t>
        </is>
      </c>
      <c r="B376" s="19" t="inlineStr">
        <is>
          <t>rev</t>
        </is>
      </c>
      <c r="C376" s="19" t="n">
        <v>2035</v>
      </c>
      <c r="D376" s="19" t="n">
        <v>0.01617</v>
      </c>
      <c r="E376" s="19" t="inlineStr">
        <is>
          <t>PriceFeasibility v0.1 x NMIM power CO2</t>
        </is>
      </c>
    </row>
    <row r="377">
      <c r="A377" s="19" t="inlineStr">
        <is>
          <t>KEN</t>
        </is>
      </c>
      <c r="B377" s="19" t="inlineStr">
        <is>
          <t>rev</t>
        </is>
      </c>
      <c r="C377" s="19" t="n">
        <v>2036</v>
      </c>
      <c r="D377" s="19" t="n">
        <v>0.008096000000000001</v>
      </c>
      <c r="E377" s="19" t="inlineStr">
        <is>
          <t>PriceFeasibility v0.1 x NMIM power CO2</t>
        </is>
      </c>
    </row>
    <row r="378">
      <c r="A378" s="19" t="inlineStr">
        <is>
          <t>KEN</t>
        </is>
      </c>
      <c r="B378" s="19" t="inlineStr">
        <is>
          <t>rev</t>
        </is>
      </c>
      <c r="C378" s="19" t="n">
        <v>2037</v>
      </c>
      <c r="D378" s="19" t="n">
        <v>0</v>
      </c>
      <c r="E378" s="19" t="inlineStr">
        <is>
          <t>PriceFeasibility v0.1 x NMIM power CO2</t>
        </is>
      </c>
    </row>
    <row r="379">
      <c r="A379" s="19" t="inlineStr">
        <is>
          <t>KEN</t>
        </is>
      </c>
      <c r="B379" s="19" t="inlineStr">
        <is>
          <t>rev</t>
        </is>
      </c>
      <c r="C379" s="19" t="n">
        <v>2038</v>
      </c>
      <c r="D379" s="19" t="n">
        <v>0</v>
      </c>
      <c r="E379" s="19" t="inlineStr">
        <is>
          <t>PriceFeasibility v0.1 x NMIM power CO2</t>
        </is>
      </c>
    </row>
    <row r="380">
      <c r="A380" s="19" t="inlineStr">
        <is>
          <t>KEN</t>
        </is>
      </c>
      <c r="B380" s="19" t="inlineStr">
        <is>
          <t>rev</t>
        </is>
      </c>
      <c r="C380" s="19" t="n">
        <v>2039</v>
      </c>
      <c r="D380" s="19" t="n">
        <v>0</v>
      </c>
      <c r="E380" s="19" t="inlineStr">
        <is>
          <t>PriceFeasibility v0.1 x NMIM power CO2</t>
        </is>
      </c>
    </row>
    <row r="381">
      <c r="A381" s="19" t="inlineStr">
        <is>
          <t>KEN</t>
        </is>
      </c>
      <c r="B381" s="19" t="inlineStr">
        <is>
          <t>rev</t>
        </is>
      </c>
      <c r="C381" s="19" t="n">
        <v>2040</v>
      </c>
      <c r="D381" s="19" t="n">
        <v>0</v>
      </c>
      <c r="E381" s="19" t="inlineStr">
        <is>
          <t>PriceFeasibility v0.1 x NMIM power CO2</t>
        </is>
      </c>
    </row>
    <row r="382">
      <c r="A382" s="19" t="inlineStr">
        <is>
          <t>KEN</t>
        </is>
      </c>
      <c r="B382" s="19" t="inlineStr">
        <is>
          <t>rev</t>
        </is>
      </c>
      <c r="C382" s="19" t="n">
        <v>2041</v>
      </c>
      <c r="D382" s="19" t="n">
        <v>0</v>
      </c>
      <c r="E382" s="19" t="inlineStr">
        <is>
          <t>PriceFeasibility v0.1 x NMIM power CO2</t>
        </is>
      </c>
    </row>
    <row r="383">
      <c r="A383" s="19" t="inlineStr">
        <is>
          <t>KEN</t>
        </is>
      </c>
      <c r="B383" s="19" t="inlineStr">
        <is>
          <t>rev</t>
        </is>
      </c>
      <c r="C383" s="19" t="n">
        <v>2042</v>
      </c>
      <c r="D383" s="19" t="n">
        <v>0</v>
      </c>
      <c r="E383" s="19" t="inlineStr">
        <is>
          <t>PriceFeasibility v0.1 x NMIM power CO2</t>
        </is>
      </c>
    </row>
    <row r="384">
      <c r="A384" s="19" t="inlineStr">
        <is>
          <t>KEN</t>
        </is>
      </c>
      <c r="B384" s="19" t="inlineStr">
        <is>
          <t>rev</t>
        </is>
      </c>
      <c r="C384" s="19" t="n">
        <v>2043</v>
      </c>
      <c r="D384" s="19" t="n">
        <v>0</v>
      </c>
      <c r="E384" s="19" t="inlineStr">
        <is>
          <t>PriceFeasibility v0.1 x NMIM power CO2</t>
        </is>
      </c>
    </row>
    <row r="385">
      <c r="A385" s="19" t="inlineStr">
        <is>
          <t>KEN</t>
        </is>
      </c>
      <c r="B385" s="19" t="inlineStr">
        <is>
          <t>rev</t>
        </is>
      </c>
      <c r="C385" s="19" t="n">
        <v>2044</v>
      </c>
      <c r="D385" s="19" t="n">
        <v>0</v>
      </c>
      <c r="E385" s="19" t="inlineStr">
        <is>
          <t>PriceFeasibility v0.1 x NMIM power CO2</t>
        </is>
      </c>
    </row>
    <row r="386">
      <c r="A386" s="19" t="inlineStr">
        <is>
          <t>KEN</t>
        </is>
      </c>
      <c r="B386" s="19" t="inlineStr">
        <is>
          <t>rev</t>
        </is>
      </c>
      <c r="C386" s="19" t="n">
        <v>2045</v>
      </c>
      <c r="D386" s="19" t="n">
        <v>0</v>
      </c>
      <c r="E386" s="19" t="inlineStr">
        <is>
          <t>PriceFeasibility v0.1 x NMIM power CO2</t>
        </is>
      </c>
    </row>
    <row r="387">
      <c r="A387" s="19" t="inlineStr">
        <is>
          <t>KEN</t>
        </is>
      </c>
      <c r="B387" s="19" t="inlineStr">
        <is>
          <t>rev</t>
        </is>
      </c>
      <c r="C387" s="19" t="n">
        <v>2046</v>
      </c>
      <c r="D387" s="19" t="n">
        <v>0</v>
      </c>
      <c r="E387" s="19" t="inlineStr">
        <is>
          <t>PriceFeasibility v0.1 x NMIM power CO2</t>
        </is>
      </c>
    </row>
    <row r="388">
      <c r="A388" s="19" t="inlineStr">
        <is>
          <t>KEN</t>
        </is>
      </c>
      <c r="B388" s="19" t="inlineStr">
        <is>
          <t>rev</t>
        </is>
      </c>
      <c r="C388" s="19" t="n">
        <v>2047</v>
      </c>
      <c r="D388" s="19" t="n">
        <v>0</v>
      </c>
      <c r="E388" s="19" t="inlineStr">
        <is>
          <t>PriceFeasibility v0.1 x NMIM power CO2</t>
        </is>
      </c>
    </row>
    <row r="389">
      <c r="A389" s="19" t="inlineStr">
        <is>
          <t>KEN</t>
        </is>
      </c>
      <c r="B389" s="19" t="inlineStr">
        <is>
          <t>rev</t>
        </is>
      </c>
      <c r="C389" s="19" t="n">
        <v>2048</v>
      </c>
      <c r="D389" s="19" t="n">
        <v>0</v>
      </c>
      <c r="E389" s="19" t="inlineStr">
        <is>
          <t>PriceFeasibility v0.1 x NMIM power CO2</t>
        </is>
      </c>
    </row>
    <row r="390">
      <c r="A390" s="19" t="inlineStr">
        <is>
          <t>KEN</t>
        </is>
      </c>
      <c r="B390" s="19" t="inlineStr">
        <is>
          <t>rev</t>
        </is>
      </c>
      <c r="C390" s="19" t="n">
        <v>2049</v>
      </c>
      <c r="D390" s="19" t="n">
        <v>0</v>
      </c>
      <c r="E390" s="19" t="inlineStr">
        <is>
          <t>PriceFeasibility v0.1 x NMIM power CO2</t>
        </is>
      </c>
    </row>
    <row r="391">
      <c r="A391" s="19" t="inlineStr">
        <is>
          <t>KEN</t>
        </is>
      </c>
      <c r="B391" s="19" t="inlineStr">
        <is>
          <t>rev</t>
        </is>
      </c>
      <c r="C391" s="19" t="n">
        <v>2050</v>
      </c>
      <c r="D391" s="19" t="n">
        <v>0</v>
      </c>
      <c r="E391" s="19" t="inlineStr">
        <is>
          <t>PriceFeasibility v0.1 x NMIM power CO2</t>
        </is>
      </c>
    </row>
    <row r="392">
      <c r="A392" s="19" t="inlineStr">
        <is>
          <t>LBR</t>
        </is>
      </c>
      <c r="B392" s="19" t="inlineStr">
        <is>
          <t>pub_cap</t>
        </is>
      </c>
      <c r="C392" s="19" t="n">
        <v>2025</v>
      </c>
      <c r="D392" s="19" t="n">
        <v>0.1578</v>
      </c>
      <c r="E392" s="19" t="inlineStr">
        <is>
          <t>NMIM v0.2 via MacroFiscalModels</t>
        </is>
      </c>
    </row>
    <row r="393">
      <c r="A393" s="19" t="inlineStr">
        <is>
          <t>LBR</t>
        </is>
      </c>
      <c r="B393" s="19" t="inlineStr">
        <is>
          <t>pub_cap</t>
        </is>
      </c>
      <c r="C393" s="19" t="n">
        <v>2026</v>
      </c>
      <c r="D393" s="19" t="n">
        <v>0.1864</v>
      </c>
      <c r="E393" s="19" t="inlineStr">
        <is>
          <t>NMIM v0.2 via MacroFiscalModels</t>
        </is>
      </c>
    </row>
    <row r="394">
      <c r="A394" s="19" t="inlineStr">
        <is>
          <t>LBR</t>
        </is>
      </c>
      <c r="B394" s="19" t="inlineStr">
        <is>
          <t>pub_cap</t>
        </is>
      </c>
      <c r="C394" s="19" t="n">
        <v>2027</v>
      </c>
      <c r="D394" s="19" t="n">
        <v>0.2058</v>
      </c>
      <c r="E394" s="19" t="inlineStr">
        <is>
          <t>NMIM v0.2 via MacroFiscalModels</t>
        </is>
      </c>
    </row>
    <row r="395">
      <c r="A395" s="19" t="inlineStr">
        <is>
          <t>LBR</t>
        </is>
      </c>
      <c r="B395" s="19" t="inlineStr">
        <is>
          <t>pub_cap</t>
        </is>
      </c>
      <c r="C395" s="19" t="n">
        <v>2028</v>
      </c>
      <c r="D395" s="19" t="n">
        <v>0.2223</v>
      </c>
      <c r="E395" s="19" t="inlineStr">
        <is>
          <t>NMIM v0.2 via MacroFiscalModels</t>
        </is>
      </c>
    </row>
    <row r="396">
      <c r="A396" s="19" t="inlineStr">
        <is>
          <t>LBR</t>
        </is>
      </c>
      <c r="B396" s="19" t="inlineStr">
        <is>
          <t>pub_cap</t>
        </is>
      </c>
      <c r="C396" s="19" t="n">
        <v>2029</v>
      </c>
      <c r="D396" s="19" t="n">
        <v>0.2331</v>
      </c>
      <c r="E396" s="19" t="inlineStr">
        <is>
          <t>NMIM v0.2 via MacroFiscalModels</t>
        </is>
      </c>
    </row>
    <row r="397">
      <c r="A397" s="19" t="inlineStr">
        <is>
          <t>LBR</t>
        </is>
      </c>
      <c r="B397" s="19" t="inlineStr">
        <is>
          <t>pub_cap</t>
        </is>
      </c>
      <c r="C397" s="19" t="n">
        <v>2030</v>
      </c>
      <c r="D397" s="19" t="n">
        <v>0.2348</v>
      </c>
      <c r="E397" s="19" t="inlineStr">
        <is>
          <t>NMIM v0.2 via MacroFiscalModels</t>
        </is>
      </c>
    </row>
    <row r="398">
      <c r="A398" s="19" t="inlineStr">
        <is>
          <t>LBR</t>
        </is>
      </c>
      <c r="B398" s="19" t="inlineStr">
        <is>
          <t>pub_cap</t>
        </is>
      </c>
      <c r="C398" s="19" t="n">
        <v>2031</v>
      </c>
      <c r="D398" s="19" t="n">
        <v>0.2297</v>
      </c>
      <c r="E398" s="19" t="inlineStr">
        <is>
          <t>NMIM v0.2 via MacroFiscalModels</t>
        </is>
      </c>
    </row>
    <row r="399">
      <c r="A399" s="19" t="inlineStr">
        <is>
          <t>LBR</t>
        </is>
      </c>
      <c r="B399" s="19" t="inlineStr">
        <is>
          <t>pub_cap</t>
        </is>
      </c>
      <c r="C399" s="19" t="n">
        <v>2032</v>
      </c>
      <c r="D399" s="19" t="n">
        <v>0.2186</v>
      </c>
      <c r="E399" s="19" t="inlineStr">
        <is>
          <t>NMIM v0.2 via MacroFiscalModels</t>
        </is>
      </c>
    </row>
    <row r="400">
      <c r="A400" s="19" t="inlineStr">
        <is>
          <t>LBR</t>
        </is>
      </c>
      <c r="B400" s="19" t="inlineStr">
        <is>
          <t>pub_cap</t>
        </is>
      </c>
      <c r="C400" s="19" t="n">
        <v>2033</v>
      </c>
      <c r="D400" s="19" t="n">
        <v>0.2282</v>
      </c>
      <c r="E400" s="19" t="inlineStr">
        <is>
          <t>NMIM v0.2 via MacroFiscalModels</t>
        </is>
      </c>
    </row>
    <row r="401">
      <c r="A401" s="19" t="inlineStr">
        <is>
          <t>LBR</t>
        </is>
      </c>
      <c r="B401" s="19" t="inlineStr">
        <is>
          <t>pub_cap</t>
        </is>
      </c>
      <c r="C401" s="19" t="n">
        <v>2034</v>
      </c>
      <c r="D401" s="19" t="n">
        <v>0.2355</v>
      </c>
      <c r="E401" s="19" t="inlineStr">
        <is>
          <t>NMIM v0.2 via MacroFiscalModels</t>
        </is>
      </c>
    </row>
    <row r="402">
      <c r="A402" s="19" t="inlineStr">
        <is>
          <t>LBR</t>
        </is>
      </c>
      <c r="B402" s="19" t="inlineStr">
        <is>
          <t>pub_cap</t>
        </is>
      </c>
      <c r="C402" s="19" t="n">
        <v>2035</v>
      </c>
      <c r="D402" s="19" t="n">
        <v>0.2412</v>
      </c>
      <c r="E402" s="19" t="inlineStr">
        <is>
          <t>NMIM v0.2 via MacroFiscalModels</t>
        </is>
      </c>
    </row>
    <row r="403">
      <c r="A403" s="19" t="inlineStr">
        <is>
          <t>LBR</t>
        </is>
      </c>
      <c r="B403" s="19" t="inlineStr">
        <is>
          <t>pub_cap</t>
        </is>
      </c>
      <c r="C403" s="19" t="n">
        <v>2036</v>
      </c>
      <c r="D403" s="19" t="n">
        <v>0.2473</v>
      </c>
      <c r="E403" s="19" t="inlineStr">
        <is>
          <t>NMIM v0.2 via MacroFiscalModels</t>
        </is>
      </c>
    </row>
    <row r="404">
      <c r="A404" s="19" t="inlineStr">
        <is>
          <t>LBR</t>
        </is>
      </c>
      <c r="B404" s="19" t="inlineStr">
        <is>
          <t>pub_cap</t>
        </is>
      </c>
      <c r="C404" s="19" t="n">
        <v>2037</v>
      </c>
      <c r="D404" s="19" t="n">
        <v>0.2578</v>
      </c>
      <c r="E404" s="19" t="inlineStr">
        <is>
          <t>NMIM v0.2 via MacroFiscalModels</t>
        </is>
      </c>
    </row>
    <row r="405">
      <c r="A405" s="19" t="inlineStr">
        <is>
          <t>LBR</t>
        </is>
      </c>
      <c r="B405" s="19" t="inlineStr">
        <is>
          <t>pub_cap</t>
        </is>
      </c>
      <c r="C405" s="19" t="n">
        <v>2038</v>
      </c>
      <c r="D405" s="19" t="n">
        <v>0.2691</v>
      </c>
      <c r="E405" s="19" t="inlineStr">
        <is>
          <t>NMIM v0.2 via MacroFiscalModels</t>
        </is>
      </c>
    </row>
    <row r="406">
      <c r="A406" s="19" t="inlineStr">
        <is>
          <t>LBR</t>
        </is>
      </c>
      <c r="B406" s="19" t="inlineStr">
        <is>
          <t>pub_cap</t>
        </is>
      </c>
      <c r="C406" s="19" t="n">
        <v>2039</v>
      </c>
      <c r="D406" s="19" t="n">
        <v>0.2797</v>
      </c>
      <c r="E406" s="19" t="inlineStr">
        <is>
          <t>NMIM v0.2 via MacroFiscalModels</t>
        </is>
      </c>
    </row>
    <row r="407">
      <c r="A407" s="19" t="inlineStr">
        <is>
          <t>LBR</t>
        </is>
      </c>
      <c r="B407" s="19" t="inlineStr">
        <is>
          <t>pub_cap</t>
        </is>
      </c>
      <c r="C407" s="19" t="n">
        <v>2040</v>
      </c>
      <c r="D407" s="19" t="n">
        <v>0.2897</v>
      </c>
      <c r="E407" s="19" t="inlineStr">
        <is>
          <t>NMIM v0.2 via MacroFiscalModels</t>
        </is>
      </c>
    </row>
    <row r="408">
      <c r="A408" s="19" t="inlineStr">
        <is>
          <t>LBR</t>
        </is>
      </c>
      <c r="B408" s="19" t="inlineStr">
        <is>
          <t>pub_cap</t>
        </is>
      </c>
      <c r="C408" s="19" t="n">
        <v>2041</v>
      </c>
      <c r="D408" s="19" t="n">
        <v>0.2929</v>
      </c>
      <c r="E408" s="19" t="inlineStr">
        <is>
          <t>NMIM v0.2 via MacroFiscalModels</t>
        </is>
      </c>
    </row>
    <row r="409">
      <c r="A409" s="19" t="inlineStr">
        <is>
          <t>LBR</t>
        </is>
      </c>
      <c r="B409" s="19" t="inlineStr">
        <is>
          <t>pub_cap</t>
        </is>
      </c>
      <c r="C409" s="19" t="n">
        <v>2042</v>
      </c>
      <c r="D409" s="19" t="n">
        <v>0.2957</v>
      </c>
      <c r="E409" s="19" t="inlineStr">
        <is>
          <t>NMIM v0.2 via MacroFiscalModels</t>
        </is>
      </c>
    </row>
    <row r="410">
      <c r="A410" s="19" t="inlineStr">
        <is>
          <t>LBR</t>
        </is>
      </c>
      <c r="B410" s="19" t="inlineStr">
        <is>
          <t>pub_cap</t>
        </is>
      </c>
      <c r="C410" s="19" t="n">
        <v>2043</v>
      </c>
      <c r="D410" s="19" t="n">
        <v>0.2936</v>
      </c>
      <c r="E410" s="19" t="inlineStr">
        <is>
          <t>NMIM v0.2 via MacroFiscalModels</t>
        </is>
      </c>
    </row>
    <row r="411">
      <c r="A411" s="19" t="inlineStr">
        <is>
          <t>LBR</t>
        </is>
      </c>
      <c r="B411" s="19" t="inlineStr">
        <is>
          <t>pub_cap</t>
        </is>
      </c>
      <c r="C411" s="19" t="n">
        <v>2044</v>
      </c>
      <c r="D411" s="19" t="n">
        <v>0.291</v>
      </c>
      <c r="E411" s="19" t="inlineStr">
        <is>
          <t>NMIM v0.2 via MacroFiscalModels</t>
        </is>
      </c>
    </row>
    <row r="412">
      <c r="A412" s="19" t="inlineStr">
        <is>
          <t>LBR</t>
        </is>
      </c>
      <c r="B412" s="19" t="inlineStr">
        <is>
          <t>pub_cap</t>
        </is>
      </c>
      <c r="C412" s="19" t="n">
        <v>2045</v>
      </c>
      <c r="D412" s="19" t="n">
        <v>0.2884</v>
      </c>
      <c r="E412" s="19" t="inlineStr">
        <is>
          <t>NMIM v0.2 via MacroFiscalModels</t>
        </is>
      </c>
    </row>
    <row r="413">
      <c r="A413" s="19" t="inlineStr">
        <is>
          <t>LBR</t>
        </is>
      </c>
      <c r="B413" s="19" t="inlineStr">
        <is>
          <t>pub_cap</t>
        </is>
      </c>
      <c r="C413" s="19" t="n">
        <v>2046</v>
      </c>
      <c r="D413" s="19" t="n">
        <v>0.2311</v>
      </c>
      <c r="E413" s="19" t="inlineStr">
        <is>
          <t>NMIM v0.2 via MacroFiscalModels</t>
        </is>
      </c>
    </row>
    <row r="414">
      <c r="A414" s="19" t="inlineStr">
        <is>
          <t>LBR</t>
        </is>
      </c>
      <c r="B414" s="19" t="inlineStr">
        <is>
          <t>pub_cap</t>
        </is>
      </c>
      <c r="C414" s="19" t="n">
        <v>2047</v>
      </c>
      <c r="D414" s="19" t="n">
        <v>0.2287</v>
      </c>
      <c r="E414" s="19" t="inlineStr">
        <is>
          <t>NMIM v0.2 via MacroFiscalModels</t>
        </is>
      </c>
    </row>
    <row r="415">
      <c r="A415" s="19" t="inlineStr">
        <is>
          <t>LBR</t>
        </is>
      </c>
      <c r="B415" s="19" t="inlineStr">
        <is>
          <t>pub_cap</t>
        </is>
      </c>
      <c r="C415" s="19" t="n">
        <v>2048</v>
      </c>
      <c r="D415" s="19" t="n">
        <v>0.2398</v>
      </c>
      <c r="E415" s="19" t="inlineStr">
        <is>
          <t>NMIM v0.2 via MacroFiscalModels</t>
        </is>
      </c>
    </row>
    <row r="416">
      <c r="A416" s="19" t="inlineStr">
        <is>
          <t>LBR</t>
        </is>
      </c>
      <c r="B416" s="19" t="inlineStr">
        <is>
          <t>pub_cap</t>
        </is>
      </c>
      <c r="C416" s="19" t="n">
        <v>2049</v>
      </c>
      <c r="D416" s="19" t="n">
        <v>0.2354</v>
      </c>
      <c r="E416" s="19" t="inlineStr">
        <is>
          <t>NMIM v0.2 via MacroFiscalModels</t>
        </is>
      </c>
    </row>
    <row r="417">
      <c r="A417" s="19" t="inlineStr">
        <is>
          <t>LBR</t>
        </is>
      </c>
      <c r="B417" s="19" t="inlineStr">
        <is>
          <t>pub_cap</t>
        </is>
      </c>
      <c r="C417" s="19" t="n">
        <v>2050</v>
      </c>
      <c r="D417" s="19" t="n">
        <v>0.2311</v>
      </c>
      <c r="E417" s="19" t="inlineStr">
        <is>
          <t>NMIM v0.2 via MacroFiscalModels</t>
        </is>
      </c>
    </row>
    <row r="418">
      <c r="A418" s="19" t="inlineStr">
        <is>
          <t>LBR</t>
        </is>
      </c>
      <c r="B418" s="19" t="inlineStr">
        <is>
          <t>pub_spend</t>
        </is>
      </c>
      <c r="C418" s="19" t="n">
        <v>2025</v>
      </c>
      <c r="D418" s="19" t="n">
        <v>1.923</v>
      </c>
      <c r="E418" s="19" t="inlineStr">
        <is>
          <t>NMIM v0.2 via MacroFiscalModels</t>
        </is>
      </c>
    </row>
    <row r="419">
      <c r="A419" s="19" t="inlineStr">
        <is>
          <t>LBR</t>
        </is>
      </c>
      <c r="B419" s="19" t="inlineStr">
        <is>
          <t>pub_spend</t>
        </is>
      </c>
      <c r="C419" s="19" t="n">
        <v>2026</v>
      </c>
      <c r="D419" s="19" t="n">
        <v>3.659</v>
      </c>
      <c r="E419" s="19" t="inlineStr">
        <is>
          <t>NMIM v0.2 via MacroFiscalModels</t>
        </is>
      </c>
    </row>
    <row r="420">
      <c r="A420" s="19" t="inlineStr">
        <is>
          <t>LBR</t>
        </is>
      </c>
      <c r="B420" s="19" t="inlineStr">
        <is>
          <t>pub_spend</t>
        </is>
      </c>
      <c r="C420" s="19" t="n">
        <v>2027</v>
      </c>
      <c r="D420" s="19" t="n">
        <v>5.223</v>
      </c>
      <c r="E420" s="19" t="inlineStr">
        <is>
          <t>NMIM v0.2 via MacroFiscalModels</t>
        </is>
      </c>
    </row>
    <row r="421">
      <c r="A421" s="19" t="inlineStr">
        <is>
          <t>LBR</t>
        </is>
      </c>
      <c r="B421" s="19" t="inlineStr">
        <is>
          <t>pub_spend</t>
        </is>
      </c>
      <c r="C421" s="19" t="n">
        <v>2028</v>
      </c>
      <c r="D421" s="19" t="n">
        <v>6.631</v>
      </c>
      <c r="E421" s="19" t="inlineStr">
        <is>
          <t>NMIM v0.2 via MacroFiscalModels</t>
        </is>
      </c>
    </row>
    <row r="422">
      <c r="A422" s="19" t="inlineStr">
        <is>
          <t>LBR</t>
        </is>
      </c>
      <c r="B422" s="19" t="inlineStr">
        <is>
          <t>pub_spend</t>
        </is>
      </c>
      <c r="C422" s="19" t="n">
        <v>2029</v>
      </c>
      <c r="D422" s="19" t="n">
        <v>7.896</v>
      </c>
      <c r="E422" s="19" t="inlineStr">
        <is>
          <t>NMIM v0.2 via MacroFiscalModels</t>
        </is>
      </c>
    </row>
    <row r="423">
      <c r="A423" s="19" t="inlineStr">
        <is>
          <t>LBR</t>
        </is>
      </c>
      <c r="B423" s="19" t="inlineStr">
        <is>
          <t>pub_spend</t>
        </is>
      </c>
      <c r="C423" s="19" t="n">
        <v>2030</v>
      </c>
      <c r="D423" s="19" t="n">
        <v>9.029999999999999</v>
      </c>
      <c r="E423" s="19" t="inlineStr">
        <is>
          <t>NMIM v0.2 via MacroFiscalModels</t>
        </is>
      </c>
    </row>
    <row r="424">
      <c r="A424" s="19" t="inlineStr">
        <is>
          <t>LBR</t>
        </is>
      </c>
      <c r="B424" s="19" t="inlineStr">
        <is>
          <t>pub_spend</t>
        </is>
      </c>
      <c r="C424" s="19" t="n">
        <v>2031</v>
      </c>
      <c r="D424" s="19" t="n">
        <v>8.640000000000001</v>
      </c>
      <c r="E424" s="19" t="inlineStr">
        <is>
          <t>NMIM v0.2 via MacroFiscalModels</t>
        </is>
      </c>
    </row>
    <row r="425">
      <c r="A425" s="19" t="inlineStr">
        <is>
          <t>LBR</t>
        </is>
      </c>
      <c r="B425" s="19" t="inlineStr">
        <is>
          <t>pub_spend</t>
        </is>
      </c>
      <c r="C425" s="19" t="n">
        <v>2032</v>
      </c>
      <c r="D425" s="19" t="n">
        <v>8.27</v>
      </c>
      <c r="E425" s="19" t="inlineStr">
        <is>
          <t>NMIM v0.2 via MacroFiscalModels</t>
        </is>
      </c>
    </row>
    <row r="426">
      <c r="A426" s="19" t="inlineStr">
        <is>
          <t>LBR</t>
        </is>
      </c>
      <c r="B426" s="19" t="inlineStr">
        <is>
          <t>pub_spend</t>
        </is>
      </c>
      <c r="C426" s="19" t="n">
        <v>2033</v>
      </c>
      <c r="D426" s="19" t="n">
        <v>7.92</v>
      </c>
      <c r="E426" s="19" t="inlineStr">
        <is>
          <t>NMIM v0.2 via MacroFiscalModels</t>
        </is>
      </c>
    </row>
    <row r="427">
      <c r="A427" s="19" t="inlineStr">
        <is>
          <t>LBR</t>
        </is>
      </c>
      <c r="B427" s="19" t="inlineStr">
        <is>
          <t>pub_spend</t>
        </is>
      </c>
      <c r="C427" s="19" t="n">
        <v>2034</v>
      </c>
      <c r="D427" s="19" t="n">
        <v>7.587</v>
      </c>
      <c r="E427" s="19" t="inlineStr">
        <is>
          <t>NMIM v0.2 via MacroFiscalModels</t>
        </is>
      </c>
    </row>
    <row r="428">
      <c r="A428" s="19" t="inlineStr">
        <is>
          <t>LBR</t>
        </is>
      </c>
      <c r="B428" s="19" t="inlineStr">
        <is>
          <t>pub_spend</t>
        </is>
      </c>
      <c r="C428" s="19" t="n">
        <v>2035</v>
      </c>
      <c r="D428" s="19" t="n">
        <v>7.271</v>
      </c>
      <c r="E428" s="19" t="inlineStr">
        <is>
          <t>NMIM v0.2 via MacroFiscalModels</t>
        </is>
      </c>
    </row>
    <row r="429">
      <c r="A429" s="19" t="inlineStr">
        <is>
          <t>LBR</t>
        </is>
      </c>
      <c r="B429" s="19" t="inlineStr">
        <is>
          <t>pub_spend</t>
        </is>
      </c>
      <c r="C429" s="19" t="n">
        <v>2036</v>
      </c>
      <c r="D429" s="19" t="n">
        <v>6.972</v>
      </c>
      <c r="E429" s="19" t="inlineStr">
        <is>
          <t>NMIM v0.2 via MacroFiscalModels</t>
        </is>
      </c>
    </row>
    <row r="430">
      <c r="A430" s="19" t="inlineStr">
        <is>
          <t>LBR</t>
        </is>
      </c>
      <c r="B430" s="19" t="inlineStr">
        <is>
          <t>pub_spend</t>
        </is>
      </c>
      <c r="C430" s="19" t="n">
        <v>2037</v>
      </c>
      <c r="D430" s="19" t="n">
        <v>6.687</v>
      </c>
      <c r="E430" s="19" t="inlineStr">
        <is>
          <t>NMIM v0.2 via MacroFiscalModels</t>
        </is>
      </c>
    </row>
    <row r="431">
      <c r="A431" s="19" t="inlineStr">
        <is>
          <t>LBR</t>
        </is>
      </c>
      <c r="B431" s="19" t="inlineStr">
        <is>
          <t>pub_spend</t>
        </is>
      </c>
      <c r="C431" s="19" t="n">
        <v>2038</v>
      </c>
      <c r="D431" s="19" t="n">
        <v>6.416</v>
      </c>
      <c r="E431" s="19" t="inlineStr">
        <is>
          <t>NMIM v0.2 via MacroFiscalModels</t>
        </is>
      </c>
    </row>
    <row r="432">
      <c r="A432" s="19" t="inlineStr">
        <is>
          <t>LBR</t>
        </is>
      </c>
      <c r="B432" s="19" t="inlineStr">
        <is>
          <t>pub_spend</t>
        </is>
      </c>
      <c r="C432" s="19" t="n">
        <v>2039</v>
      </c>
      <c r="D432" s="19" t="n">
        <v>6.159</v>
      </c>
      <c r="E432" s="19" t="inlineStr">
        <is>
          <t>NMIM v0.2 via MacroFiscalModels</t>
        </is>
      </c>
    </row>
    <row r="433">
      <c r="A433" s="19" t="inlineStr">
        <is>
          <t>LBR</t>
        </is>
      </c>
      <c r="B433" s="19" t="inlineStr">
        <is>
          <t>pub_spend</t>
        </is>
      </c>
      <c r="C433" s="19" t="n">
        <v>2040</v>
      </c>
      <c r="D433" s="19" t="n">
        <v>5.915</v>
      </c>
      <c r="E433" s="19" t="inlineStr">
        <is>
          <t>NMIM v0.2 via MacroFiscalModels</t>
        </is>
      </c>
    </row>
    <row r="434">
      <c r="A434" s="19" t="inlineStr">
        <is>
          <t>LBR</t>
        </is>
      </c>
      <c r="B434" s="19" t="inlineStr">
        <is>
          <t>pub_spend</t>
        </is>
      </c>
      <c r="C434" s="19" t="n">
        <v>2041</v>
      </c>
      <c r="D434" s="19" t="n">
        <v>5.68</v>
      </c>
      <c r="E434" s="19" t="inlineStr">
        <is>
          <t>NMIM v0.2 via MacroFiscalModels</t>
        </is>
      </c>
    </row>
    <row r="435">
      <c r="A435" s="19" t="inlineStr">
        <is>
          <t>LBR</t>
        </is>
      </c>
      <c r="B435" s="19" t="inlineStr">
        <is>
          <t>pub_spend</t>
        </is>
      </c>
      <c r="C435" s="19" t="n">
        <v>2042</v>
      </c>
      <c r="D435" s="19" t="n">
        <v>5.455</v>
      </c>
      <c r="E435" s="19" t="inlineStr">
        <is>
          <t>NMIM v0.2 via MacroFiscalModels</t>
        </is>
      </c>
    </row>
    <row r="436">
      <c r="A436" s="19" t="inlineStr">
        <is>
          <t>LBR</t>
        </is>
      </c>
      <c r="B436" s="19" t="inlineStr">
        <is>
          <t>pub_spend</t>
        </is>
      </c>
      <c r="C436" s="19" t="n">
        <v>2043</v>
      </c>
      <c r="D436" s="19" t="n">
        <v>5.238</v>
      </c>
      <c r="E436" s="19" t="inlineStr">
        <is>
          <t>NMIM v0.2 via MacroFiscalModels</t>
        </is>
      </c>
    </row>
    <row r="437">
      <c r="A437" s="19" t="inlineStr">
        <is>
          <t>LBR</t>
        </is>
      </c>
      <c r="B437" s="19" t="inlineStr">
        <is>
          <t>pub_spend</t>
        </is>
      </c>
      <c r="C437" s="19" t="n">
        <v>2044</v>
      </c>
      <c r="D437" s="19" t="n">
        <v>5.03</v>
      </c>
      <c r="E437" s="19" t="inlineStr">
        <is>
          <t>NMIM v0.2 via MacroFiscalModels</t>
        </is>
      </c>
    </row>
    <row r="438">
      <c r="A438" s="19" t="inlineStr">
        <is>
          <t>LBR</t>
        </is>
      </c>
      <c r="B438" s="19" t="inlineStr">
        <is>
          <t>pub_spend</t>
        </is>
      </c>
      <c r="C438" s="19" t="n">
        <v>2045</v>
      </c>
      <c r="D438" s="19" t="n">
        <v>4.83</v>
      </c>
      <c r="E438" s="19" t="inlineStr">
        <is>
          <t>NMIM v0.2 via MacroFiscalModels</t>
        </is>
      </c>
    </row>
    <row r="439">
      <c r="A439" s="19" t="inlineStr">
        <is>
          <t>LBR</t>
        </is>
      </c>
      <c r="B439" s="19" t="inlineStr">
        <is>
          <t>pub_spend</t>
        </is>
      </c>
      <c r="C439" s="19" t="n">
        <v>2046</v>
      </c>
      <c r="D439" s="19" t="n">
        <v>4.638</v>
      </c>
      <c r="E439" s="19" t="inlineStr">
        <is>
          <t>NMIM v0.2 via MacroFiscalModels</t>
        </is>
      </c>
    </row>
    <row r="440">
      <c r="A440" s="19" t="inlineStr">
        <is>
          <t>LBR</t>
        </is>
      </c>
      <c r="B440" s="19" t="inlineStr">
        <is>
          <t>pub_spend</t>
        </is>
      </c>
      <c r="C440" s="19" t="n">
        <v>2047</v>
      </c>
      <c r="D440" s="19" t="n">
        <v>4.454</v>
      </c>
      <c r="E440" s="19" t="inlineStr">
        <is>
          <t>NMIM v0.2 via MacroFiscalModels</t>
        </is>
      </c>
    </row>
    <row r="441">
      <c r="A441" s="19" t="inlineStr">
        <is>
          <t>LBR</t>
        </is>
      </c>
      <c r="B441" s="19" t="inlineStr">
        <is>
          <t>pub_spend</t>
        </is>
      </c>
      <c r="C441" s="19" t="n">
        <v>2048</v>
      </c>
      <c r="D441" s="19" t="n">
        <v>4.277</v>
      </c>
      <c r="E441" s="19" t="inlineStr">
        <is>
          <t>NMIM v0.2 via MacroFiscalModels</t>
        </is>
      </c>
    </row>
    <row r="442">
      <c r="A442" s="19" t="inlineStr">
        <is>
          <t>LBR</t>
        </is>
      </c>
      <c r="B442" s="19" t="inlineStr">
        <is>
          <t>pub_spend</t>
        </is>
      </c>
      <c r="C442" s="19" t="n">
        <v>2049</v>
      </c>
      <c r="D442" s="19" t="n">
        <v>4.107</v>
      </c>
      <c r="E442" s="19" t="inlineStr">
        <is>
          <t>NMIM v0.2 via MacroFiscalModels</t>
        </is>
      </c>
    </row>
    <row r="443">
      <c r="A443" s="19" t="inlineStr">
        <is>
          <t>LBR</t>
        </is>
      </c>
      <c r="B443" s="19" t="inlineStr">
        <is>
          <t>pub_spend</t>
        </is>
      </c>
      <c r="C443" s="19" t="n">
        <v>2050</v>
      </c>
      <c r="D443" s="19" t="n">
        <v>3.943</v>
      </c>
      <c r="E443" s="19" t="inlineStr">
        <is>
          <t>NMIM v0.2 via MacroFiscalModels</t>
        </is>
      </c>
    </row>
    <row r="444">
      <c r="A444" s="19" t="inlineStr">
        <is>
          <t>LBR</t>
        </is>
      </c>
      <c r="B444" s="19" t="inlineStr">
        <is>
          <t>rev</t>
        </is>
      </c>
      <c r="C444" s="19" t="n">
        <v>2025</v>
      </c>
      <c r="D444" s="19" t="n">
        <v>0.2529</v>
      </c>
      <c r="E444" s="19" t="inlineStr">
        <is>
          <t>PriceFeasibility v0.1 x NMIM power CO2</t>
        </is>
      </c>
    </row>
    <row r="445">
      <c r="A445" s="19" t="inlineStr">
        <is>
          <t>LBR</t>
        </is>
      </c>
      <c r="B445" s="19" t="inlineStr">
        <is>
          <t>rev</t>
        </is>
      </c>
      <c r="C445" s="19" t="n">
        <v>2026</v>
      </c>
      <c r="D445" s="19" t="n">
        <v>0.2486</v>
      </c>
      <c r="E445" s="19" t="inlineStr">
        <is>
          <t>PriceFeasibility v0.1 x NMIM power CO2</t>
        </is>
      </c>
    </row>
    <row r="446">
      <c r="A446" s="19" t="inlineStr">
        <is>
          <t>LBR</t>
        </is>
      </c>
      <c r="B446" s="19" t="inlineStr">
        <is>
          <t>rev</t>
        </is>
      </c>
      <c r="C446" s="19" t="n">
        <v>2027</v>
      </c>
      <c r="D446" s="19" t="n">
        <v>0.244</v>
      </c>
      <c r="E446" s="19" t="inlineStr">
        <is>
          <t>PriceFeasibility v0.1 x NMIM power CO2</t>
        </is>
      </c>
    </row>
    <row r="447">
      <c r="A447" s="19" t="inlineStr">
        <is>
          <t>LBR</t>
        </is>
      </c>
      <c r="B447" s="19" t="inlineStr">
        <is>
          <t>rev</t>
        </is>
      </c>
      <c r="C447" s="19" t="n">
        <v>2028</v>
      </c>
      <c r="D447" s="19" t="n">
        <v>0.2388</v>
      </c>
      <c r="E447" s="19" t="inlineStr">
        <is>
          <t>PriceFeasibility v0.1 x NMIM power CO2</t>
        </is>
      </c>
    </row>
    <row r="448">
      <c r="A448" s="19" t="inlineStr">
        <is>
          <t>LBR</t>
        </is>
      </c>
      <c r="B448" s="19" t="inlineStr">
        <is>
          <t>rev</t>
        </is>
      </c>
      <c r="C448" s="19" t="n">
        <v>2029</v>
      </c>
      <c r="D448" s="19" t="n">
        <v>0.2328</v>
      </c>
      <c r="E448" s="19" t="inlineStr">
        <is>
          <t>PriceFeasibility v0.1 x NMIM power CO2</t>
        </is>
      </c>
    </row>
    <row r="449">
      <c r="A449" s="19" t="inlineStr">
        <is>
          <t>LBR</t>
        </is>
      </c>
      <c r="B449" s="19" t="inlineStr">
        <is>
          <t>rev</t>
        </is>
      </c>
      <c r="C449" s="19" t="n">
        <v>2030</v>
      </c>
      <c r="D449" s="19" t="n">
        <v>0.226</v>
      </c>
      <c r="E449" s="19" t="inlineStr">
        <is>
          <t>PriceFeasibility v0.1 x NMIM power CO2</t>
        </is>
      </c>
    </row>
    <row r="450">
      <c r="A450" s="19" t="inlineStr">
        <is>
          <t>LBR</t>
        </is>
      </c>
      <c r="B450" s="19" t="inlineStr">
        <is>
          <t>rev</t>
        </is>
      </c>
      <c r="C450" s="19" t="n">
        <v>2031</v>
      </c>
      <c r="D450" s="19" t="n">
        <v>0.2183</v>
      </c>
      <c r="E450" s="19" t="inlineStr">
        <is>
          <t>PriceFeasibility v0.1 x NMIM power CO2</t>
        </is>
      </c>
    </row>
    <row r="451">
      <c r="A451" s="19" t="inlineStr">
        <is>
          <t>LBR</t>
        </is>
      </c>
      <c r="B451" s="19" t="inlineStr">
        <is>
          <t>rev</t>
        </is>
      </c>
      <c r="C451" s="19" t="n">
        <v>2032</v>
      </c>
      <c r="D451" s="19" t="n">
        <v>0.2095</v>
      </c>
      <c r="E451" s="19" t="inlineStr">
        <is>
          <t>PriceFeasibility v0.1 x NMIM power CO2</t>
        </is>
      </c>
    </row>
    <row r="452">
      <c r="A452" s="19" t="inlineStr">
        <is>
          <t>LBR</t>
        </is>
      </c>
      <c r="B452" s="19" t="inlineStr">
        <is>
          <t>rev</t>
        </is>
      </c>
      <c r="C452" s="19" t="n">
        <v>2033</v>
      </c>
      <c r="D452" s="19" t="n">
        <v>0.1997</v>
      </c>
      <c r="E452" s="19" t="inlineStr">
        <is>
          <t>PriceFeasibility v0.1 x NMIM power CO2</t>
        </is>
      </c>
    </row>
    <row r="453">
      <c r="A453" s="19" t="inlineStr">
        <is>
          <t>LBR</t>
        </is>
      </c>
      <c r="B453" s="19" t="inlineStr">
        <is>
          <t>rev</t>
        </is>
      </c>
      <c r="C453" s="19" t="n">
        <v>2034</v>
      </c>
      <c r="D453" s="19" t="n">
        <v>0.1888</v>
      </c>
      <c r="E453" s="19" t="inlineStr">
        <is>
          <t>PriceFeasibility v0.1 x NMIM power CO2</t>
        </is>
      </c>
    </row>
    <row r="454">
      <c r="A454" s="19" t="inlineStr">
        <is>
          <t>LBR</t>
        </is>
      </c>
      <c r="B454" s="19" t="inlineStr">
        <is>
          <t>rev</t>
        </is>
      </c>
      <c r="C454" s="19" t="n">
        <v>2035</v>
      </c>
      <c r="D454" s="19" t="n">
        <v>0.1767</v>
      </c>
      <c r="E454" s="19" t="inlineStr">
        <is>
          <t>PriceFeasibility v0.1 x NMIM power CO2</t>
        </is>
      </c>
    </row>
    <row r="455">
      <c r="A455" s="19" t="inlineStr">
        <is>
          <t>LBR</t>
        </is>
      </c>
      <c r="B455" s="19" t="inlineStr">
        <is>
          <t>rev</t>
        </is>
      </c>
      <c r="C455" s="19" t="n">
        <v>2036</v>
      </c>
      <c r="D455" s="19" t="n">
        <v>0.1636</v>
      </c>
      <c r="E455" s="19" t="inlineStr">
        <is>
          <t>PriceFeasibility v0.1 x NMIM power CO2</t>
        </is>
      </c>
    </row>
    <row r="456">
      <c r="A456" s="19" t="inlineStr">
        <is>
          <t>LBR</t>
        </is>
      </c>
      <c r="B456" s="19" t="inlineStr">
        <is>
          <t>rev</t>
        </is>
      </c>
      <c r="C456" s="19" t="n">
        <v>2037</v>
      </c>
      <c r="D456" s="19" t="n">
        <v>0.1495</v>
      </c>
      <c r="E456" s="19" t="inlineStr">
        <is>
          <t>PriceFeasibility v0.1 x NMIM power CO2</t>
        </is>
      </c>
    </row>
    <row r="457">
      <c r="A457" s="19" t="inlineStr">
        <is>
          <t>LBR</t>
        </is>
      </c>
      <c r="B457" s="19" t="inlineStr">
        <is>
          <t>rev</t>
        </is>
      </c>
      <c r="C457" s="19" t="n">
        <v>2038</v>
      </c>
      <c r="D457" s="19" t="n">
        <v>0.1342</v>
      </c>
      <c r="E457" s="19" t="inlineStr">
        <is>
          <t>PriceFeasibility v0.1 x NMIM power CO2</t>
        </is>
      </c>
    </row>
    <row r="458">
      <c r="A458" s="19" t="inlineStr">
        <is>
          <t>LBR</t>
        </is>
      </c>
      <c r="B458" s="19" t="inlineStr">
        <is>
          <t>rev</t>
        </is>
      </c>
      <c r="C458" s="19" t="n">
        <v>2039</v>
      </c>
      <c r="D458" s="19" t="n">
        <v>0.1179</v>
      </c>
      <c r="E458" s="19" t="inlineStr">
        <is>
          <t>PriceFeasibility v0.1 x NMIM power CO2</t>
        </is>
      </c>
    </row>
    <row r="459">
      <c r="A459" s="19" t="inlineStr">
        <is>
          <t>LBR</t>
        </is>
      </c>
      <c r="B459" s="19" t="inlineStr">
        <is>
          <t>rev</t>
        </is>
      </c>
      <c r="C459" s="19" t="n">
        <v>2040</v>
      </c>
      <c r="D459" s="19" t="n">
        <v>0.1006</v>
      </c>
      <c r="E459" s="19" t="inlineStr">
        <is>
          <t>PriceFeasibility v0.1 x NMIM power CO2</t>
        </is>
      </c>
    </row>
    <row r="460">
      <c r="A460" s="19" t="inlineStr">
        <is>
          <t>LBR</t>
        </is>
      </c>
      <c r="B460" s="19" t="inlineStr">
        <is>
          <t>rev</t>
        </is>
      </c>
      <c r="C460" s="19" t="n">
        <v>2041</v>
      </c>
      <c r="D460" s="19" t="n">
        <v>0.08212999999999999</v>
      </c>
      <c r="E460" s="19" t="inlineStr">
        <is>
          <t>PriceFeasibility v0.1 x NMIM power CO2</t>
        </is>
      </c>
    </row>
    <row r="461">
      <c r="A461" s="19" t="inlineStr">
        <is>
          <t>LBR</t>
        </is>
      </c>
      <c r="B461" s="19" t="inlineStr">
        <is>
          <t>rev</t>
        </is>
      </c>
      <c r="C461" s="19" t="n">
        <v>2042</v>
      </c>
      <c r="D461" s="19" t="n">
        <v>0.06269</v>
      </c>
      <c r="E461" s="19" t="inlineStr">
        <is>
          <t>PriceFeasibility v0.1 x NMIM power CO2</t>
        </is>
      </c>
    </row>
    <row r="462">
      <c r="A462" s="19" t="inlineStr">
        <is>
          <t>LBR</t>
        </is>
      </c>
      <c r="B462" s="19" t="inlineStr">
        <is>
          <t>rev</t>
        </is>
      </c>
      <c r="C462" s="19" t="n">
        <v>2043</v>
      </c>
      <c r="D462" s="19" t="n">
        <v>0.04244</v>
      </c>
      <c r="E462" s="19" t="inlineStr">
        <is>
          <t>PriceFeasibility v0.1 x NMIM power CO2</t>
        </is>
      </c>
    </row>
    <row r="463">
      <c r="A463" s="19" t="inlineStr">
        <is>
          <t>LBR</t>
        </is>
      </c>
      <c r="B463" s="19" t="inlineStr">
        <is>
          <t>rev</t>
        </is>
      </c>
      <c r="C463" s="19" t="n">
        <v>2044</v>
      </c>
      <c r="D463" s="19" t="n">
        <v>0.02151</v>
      </c>
      <c r="E463" s="19" t="inlineStr">
        <is>
          <t>PriceFeasibility v0.1 x NMIM power CO2</t>
        </is>
      </c>
    </row>
    <row r="464">
      <c r="A464" s="19" t="inlineStr">
        <is>
          <t>LBR</t>
        </is>
      </c>
      <c r="B464" s="19" t="inlineStr">
        <is>
          <t>rev</t>
        </is>
      </c>
      <c r="C464" s="19" t="n">
        <v>2045</v>
      </c>
      <c r="D464" s="19" t="n">
        <v>0</v>
      </c>
      <c r="E464" s="19" t="inlineStr">
        <is>
          <t>PriceFeasibility v0.1 x NMIM power CO2</t>
        </is>
      </c>
    </row>
    <row r="465">
      <c r="A465" s="19" t="inlineStr">
        <is>
          <t>LBR</t>
        </is>
      </c>
      <c r="B465" s="19" t="inlineStr">
        <is>
          <t>rev</t>
        </is>
      </c>
      <c r="C465" s="19" t="n">
        <v>2046</v>
      </c>
      <c r="D465" s="19" t="n">
        <v>0</v>
      </c>
      <c r="E465" s="19" t="inlineStr">
        <is>
          <t>PriceFeasibility v0.1 x NMIM power CO2</t>
        </is>
      </c>
    </row>
    <row r="466">
      <c r="A466" s="19" t="inlineStr">
        <is>
          <t>LBR</t>
        </is>
      </c>
      <c r="B466" s="19" t="inlineStr">
        <is>
          <t>rev</t>
        </is>
      </c>
      <c r="C466" s="19" t="n">
        <v>2047</v>
      </c>
      <c r="D466" s="19" t="n">
        <v>0</v>
      </c>
      <c r="E466" s="19" t="inlineStr">
        <is>
          <t>PriceFeasibility v0.1 x NMIM power CO2</t>
        </is>
      </c>
    </row>
    <row r="467">
      <c r="A467" s="19" t="inlineStr">
        <is>
          <t>LBR</t>
        </is>
      </c>
      <c r="B467" s="19" t="inlineStr">
        <is>
          <t>rev</t>
        </is>
      </c>
      <c r="C467" s="19" t="n">
        <v>2048</v>
      </c>
      <c r="D467" s="19" t="n">
        <v>0</v>
      </c>
      <c r="E467" s="19" t="inlineStr">
        <is>
          <t>PriceFeasibility v0.1 x NMIM power CO2</t>
        </is>
      </c>
    </row>
    <row r="468">
      <c r="A468" s="19" t="inlineStr">
        <is>
          <t>LBR</t>
        </is>
      </c>
      <c r="B468" s="19" t="inlineStr">
        <is>
          <t>rev</t>
        </is>
      </c>
      <c r="C468" s="19" t="n">
        <v>2049</v>
      </c>
      <c r="D468" s="19" t="n">
        <v>0</v>
      </c>
      <c r="E468" s="19" t="inlineStr">
        <is>
          <t>PriceFeasibility v0.1 x NMIM power CO2</t>
        </is>
      </c>
    </row>
    <row r="469">
      <c r="A469" s="19" t="inlineStr">
        <is>
          <t>LBR</t>
        </is>
      </c>
      <c r="B469" s="19" t="inlineStr">
        <is>
          <t>rev</t>
        </is>
      </c>
      <c r="C469" s="19" t="n">
        <v>2050</v>
      </c>
      <c r="D469" s="19" t="n">
        <v>0</v>
      </c>
      <c r="E469" s="19" t="inlineStr">
        <is>
          <t>PriceFeasibility v0.1 x NMIM power CO2</t>
        </is>
      </c>
    </row>
    <row r="470">
      <c r="A470" s="19" t="inlineStr">
        <is>
          <t>MOZ</t>
        </is>
      </c>
      <c r="B470" s="19" t="inlineStr">
        <is>
          <t>pub_cap</t>
        </is>
      </c>
      <c r="C470" s="19" t="n">
        <v>2025</v>
      </c>
      <c r="D470" s="19" t="n">
        <v>0.1413</v>
      </c>
      <c r="E470" s="19" t="inlineStr">
        <is>
          <t>NMIM v0.2 via MacroFiscalModels</t>
        </is>
      </c>
    </row>
    <row r="471">
      <c r="A471" s="19" t="inlineStr">
        <is>
          <t>MOZ</t>
        </is>
      </c>
      <c r="B471" s="19" t="inlineStr">
        <is>
          <t>pub_cap</t>
        </is>
      </c>
      <c r="C471" s="19" t="n">
        <v>2026</v>
      </c>
      <c r="D471" s="19" t="n">
        <v>0.2052</v>
      </c>
      <c r="E471" s="19" t="inlineStr">
        <is>
          <t>NMIM v0.2 via MacroFiscalModels</t>
        </is>
      </c>
    </row>
    <row r="472">
      <c r="A472" s="19" t="inlineStr">
        <is>
          <t>MOZ</t>
        </is>
      </c>
      <c r="B472" s="19" t="inlineStr">
        <is>
          <t>pub_cap</t>
        </is>
      </c>
      <c r="C472" s="19" t="n">
        <v>2027</v>
      </c>
      <c r="D472" s="19" t="n">
        <v>0.2223</v>
      </c>
      <c r="E472" s="19" t="inlineStr">
        <is>
          <t>NMIM v0.2 via MacroFiscalModels</t>
        </is>
      </c>
    </row>
    <row r="473">
      <c r="A473" s="19" t="inlineStr">
        <is>
          <t>MOZ</t>
        </is>
      </c>
      <c r="B473" s="19" t="inlineStr">
        <is>
          <t>pub_cap</t>
        </is>
      </c>
      <c r="C473" s="19" t="n">
        <v>2028</v>
      </c>
      <c r="D473" s="19" t="n">
        <v>0.2828</v>
      </c>
      <c r="E473" s="19" t="inlineStr">
        <is>
          <t>NMIM v0.2 via MacroFiscalModels</t>
        </is>
      </c>
    </row>
    <row r="474">
      <c r="A474" s="19" t="inlineStr">
        <is>
          <t>MOZ</t>
        </is>
      </c>
      <c r="B474" s="19" t="inlineStr">
        <is>
          <t>pub_cap</t>
        </is>
      </c>
      <c r="C474" s="19" t="n">
        <v>2029</v>
      </c>
      <c r="D474" s="19" t="n">
        <v>0.3344</v>
      </c>
      <c r="E474" s="19" t="inlineStr">
        <is>
          <t>NMIM v0.2 via MacroFiscalModels</t>
        </is>
      </c>
    </row>
    <row r="475">
      <c r="A475" s="19" t="inlineStr">
        <is>
          <t>MOZ</t>
        </is>
      </c>
      <c r="B475" s="19" t="inlineStr">
        <is>
          <t>pub_cap</t>
        </is>
      </c>
      <c r="C475" s="19" t="n">
        <v>2030</v>
      </c>
      <c r="D475" s="19" t="n">
        <v>0.334</v>
      </c>
      <c r="E475" s="19" t="inlineStr">
        <is>
          <t>NMIM v0.2 via MacroFiscalModels</t>
        </is>
      </c>
    </row>
    <row r="476">
      <c r="A476" s="19" t="inlineStr">
        <is>
          <t>MOZ</t>
        </is>
      </c>
      <c r="B476" s="19" t="inlineStr">
        <is>
          <t>pub_cap</t>
        </is>
      </c>
      <c r="C476" s="19" t="n">
        <v>2031</v>
      </c>
      <c r="D476" s="19" t="n">
        <v>0.3226</v>
      </c>
      <c r="E476" s="19" t="inlineStr">
        <is>
          <t>NMIM v0.2 via MacroFiscalModels</t>
        </is>
      </c>
    </row>
    <row r="477">
      <c r="A477" s="19" t="inlineStr">
        <is>
          <t>MOZ</t>
        </is>
      </c>
      <c r="B477" s="19" t="inlineStr">
        <is>
          <t>pub_cap</t>
        </is>
      </c>
      <c r="C477" s="19" t="n">
        <v>2032</v>
      </c>
      <c r="D477" s="19" t="n">
        <v>0.2984</v>
      </c>
      <c r="E477" s="19" t="inlineStr">
        <is>
          <t>NMIM v0.2 via MacroFiscalModels</t>
        </is>
      </c>
    </row>
    <row r="478">
      <c r="A478" s="19" t="inlineStr">
        <is>
          <t>MOZ</t>
        </is>
      </c>
      <c r="B478" s="19" t="inlineStr">
        <is>
          <t>pub_cap</t>
        </is>
      </c>
      <c r="C478" s="19" t="n">
        <v>2033</v>
      </c>
      <c r="D478" s="19" t="n">
        <v>0.2828</v>
      </c>
      <c r="E478" s="19" t="inlineStr">
        <is>
          <t>NMIM v0.2 via MacroFiscalModels</t>
        </is>
      </c>
    </row>
    <row r="479">
      <c r="A479" s="19" t="inlineStr">
        <is>
          <t>MOZ</t>
        </is>
      </c>
      <c r="B479" s="19" t="inlineStr">
        <is>
          <t>pub_cap</t>
        </is>
      </c>
      <c r="C479" s="19" t="n">
        <v>2034</v>
      </c>
      <c r="D479" s="19" t="n">
        <v>0.2812</v>
      </c>
      <c r="E479" s="19" t="inlineStr">
        <is>
          <t>NMIM v0.2 via MacroFiscalModels</t>
        </is>
      </c>
    </row>
    <row r="480">
      <c r="A480" s="19" t="inlineStr">
        <is>
          <t>MOZ</t>
        </is>
      </c>
      <c r="B480" s="19" t="inlineStr">
        <is>
          <t>pub_cap</t>
        </is>
      </c>
      <c r="C480" s="19" t="n">
        <v>2035</v>
      </c>
      <c r="D480" s="19" t="n">
        <v>0.3005</v>
      </c>
      <c r="E480" s="19" t="inlineStr">
        <is>
          <t>NMIM v0.2 via MacroFiscalModels</t>
        </is>
      </c>
    </row>
    <row r="481">
      <c r="A481" s="19" t="inlineStr">
        <is>
          <t>MOZ</t>
        </is>
      </c>
      <c r="B481" s="19" t="inlineStr">
        <is>
          <t>pub_cap</t>
        </is>
      </c>
      <c r="C481" s="19" t="n">
        <v>2036</v>
      </c>
      <c r="D481" s="19" t="n">
        <v>0.3274</v>
      </c>
      <c r="E481" s="19" t="inlineStr">
        <is>
          <t>NMIM v0.2 via MacroFiscalModels</t>
        </is>
      </c>
    </row>
    <row r="482">
      <c r="A482" s="19" t="inlineStr">
        <is>
          <t>MOZ</t>
        </is>
      </c>
      <c r="B482" s="19" t="inlineStr">
        <is>
          <t>pub_cap</t>
        </is>
      </c>
      <c r="C482" s="19" t="n">
        <v>2037</v>
      </c>
      <c r="D482" s="19" t="n">
        <v>0.3552</v>
      </c>
      <c r="E482" s="19" t="inlineStr">
        <is>
          <t>NMIM v0.2 via MacroFiscalModels</t>
        </is>
      </c>
    </row>
    <row r="483">
      <c r="A483" s="19" t="inlineStr">
        <is>
          <t>MOZ</t>
        </is>
      </c>
      <c r="B483" s="19" t="inlineStr">
        <is>
          <t>pub_cap</t>
        </is>
      </c>
      <c r="C483" s="19" t="n">
        <v>2038</v>
      </c>
      <c r="D483" s="19" t="n">
        <v>0.3836</v>
      </c>
      <c r="E483" s="19" t="inlineStr">
        <is>
          <t>NMIM v0.2 via MacroFiscalModels</t>
        </is>
      </c>
    </row>
    <row r="484">
      <c r="A484" s="19" t="inlineStr">
        <is>
          <t>MOZ</t>
        </is>
      </c>
      <c r="B484" s="19" t="inlineStr">
        <is>
          <t>pub_cap</t>
        </is>
      </c>
      <c r="C484" s="19" t="n">
        <v>2039</v>
      </c>
      <c r="D484" s="19" t="n">
        <v>0.4124</v>
      </c>
      <c r="E484" s="19" t="inlineStr">
        <is>
          <t>NMIM v0.2 via MacroFiscalModels</t>
        </is>
      </c>
    </row>
    <row r="485">
      <c r="A485" s="19" t="inlineStr">
        <is>
          <t>MOZ</t>
        </is>
      </c>
      <c r="B485" s="19" t="inlineStr">
        <is>
          <t>pub_cap</t>
        </is>
      </c>
      <c r="C485" s="19" t="n">
        <v>2040</v>
      </c>
      <c r="D485" s="19" t="n">
        <v>0.4414</v>
      </c>
      <c r="E485" s="19" t="inlineStr">
        <is>
          <t>NMIM v0.2 via MacroFiscalModels</t>
        </is>
      </c>
    </row>
    <row r="486">
      <c r="A486" s="19" t="inlineStr">
        <is>
          <t>MOZ</t>
        </is>
      </c>
      <c r="B486" s="19" t="inlineStr">
        <is>
          <t>pub_cap</t>
        </is>
      </c>
      <c r="C486" s="19" t="n">
        <v>2041</v>
      </c>
      <c r="D486" s="19" t="n">
        <v>0.4482</v>
      </c>
      <c r="E486" s="19" t="inlineStr">
        <is>
          <t>NMIM v0.2 via MacroFiscalModels</t>
        </is>
      </c>
    </row>
    <row r="487">
      <c r="A487" s="19" t="inlineStr">
        <is>
          <t>MOZ</t>
        </is>
      </c>
      <c r="B487" s="19" t="inlineStr">
        <is>
          <t>pub_cap</t>
        </is>
      </c>
      <c r="C487" s="19" t="n">
        <v>2042</v>
      </c>
      <c r="D487" s="19" t="n">
        <v>0.4529</v>
      </c>
      <c r="E487" s="19" t="inlineStr">
        <is>
          <t>NMIM v0.2 via MacroFiscalModels</t>
        </is>
      </c>
    </row>
    <row r="488">
      <c r="A488" s="19" t="inlineStr">
        <is>
          <t>MOZ</t>
        </is>
      </c>
      <c r="B488" s="19" t="inlineStr">
        <is>
          <t>pub_cap</t>
        </is>
      </c>
      <c r="C488" s="19" t="n">
        <v>2043</v>
      </c>
      <c r="D488" s="19" t="n">
        <v>0.4535</v>
      </c>
      <c r="E488" s="19" t="inlineStr">
        <is>
          <t>NMIM v0.2 via MacroFiscalModels</t>
        </is>
      </c>
    </row>
    <row r="489">
      <c r="A489" s="19" t="inlineStr">
        <is>
          <t>MOZ</t>
        </is>
      </c>
      <c r="B489" s="19" t="inlineStr">
        <is>
          <t>pub_cap</t>
        </is>
      </c>
      <c r="C489" s="19" t="n">
        <v>2044</v>
      </c>
      <c r="D489" s="19" t="n">
        <v>0.4535</v>
      </c>
      <c r="E489" s="19" t="inlineStr">
        <is>
          <t>NMIM v0.2 via MacroFiscalModels</t>
        </is>
      </c>
    </row>
    <row r="490">
      <c r="A490" s="19" t="inlineStr">
        <is>
          <t>MOZ</t>
        </is>
      </c>
      <c r="B490" s="19" t="inlineStr">
        <is>
          <t>pub_cap</t>
        </is>
      </c>
      <c r="C490" s="19" t="n">
        <v>2045</v>
      </c>
      <c r="D490" s="19" t="n">
        <v>0.4528</v>
      </c>
      <c r="E490" s="19" t="inlineStr">
        <is>
          <t>NMIM v0.2 via MacroFiscalModels</t>
        </is>
      </c>
    </row>
    <row r="491">
      <c r="A491" s="19" t="inlineStr">
        <is>
          <t>MOZ</t>
        </is>
      </c>
      <c r="B491" s="19" t="inlineStr">
        <is>
          <t>pub_cap</t>
        </is>
      </c>
      <c r="C491" s="19" t="n">
        <v>2046</v>
      </c>
      <c r="D491" s="19" t="n">
        <v>0.3956</v>
      </c>
      <c r="E491" s="19" t="inlineStr">
        <is>
          <t>NMIM v0.2 via MacroFiscalModels</t>
        </is>
      </c>
    </row>
    <row r="492">
      <c r="A492" s="19" t="inlineStr">
        <is>
          <t>MOZ</t>
        </is>
      </c>
      <c r="B492" s="19" t="inlineStr">
        <is>
          <t>pub_cap</t>
        </is>
      </c>
      <c r="C492" s="19" t="n">
        <v>2047</v>
      </c>
      <c r="D492" s="19" t="n">
        <v>0.3879</v>
      </c>
      <c r="E492" s="19" t="inlineStr">
        <is>
          <t>NMIM v0.2 via MacroFiscalModels</t>
        </is>
      </c>
    </row>
    <row r="493">
      <c r="A493" s="19" t="inlineStr">
        <is>
          <t>MOZ</t>
        </is>
      </c>
      <c r="B493" s="19" t="inlineStr">
        <is>
          <t>pub_cap</t>
        </is>
      </c>
      <c r="C493" s="19" t="n">
        <v>2048</v>
      </c>
      <c r="D493" s="19" t="n">
        <v>0.3802</v>
      </c>
      <c r="E493" s="19" t="inlineStr">
        <is>
          <t>NMIM v0.2 via MacroFiscalModels</t>
        </is>
      </c>
    </row>
    <row r="494">
      <c r="A494" s="19" t="inlineStr">
        <is>
          <t>MOZ</t>
        </is>
      </c>
      <c r="B494" s="19" t="inlineStr">
        <is>
          <t>pub_cap</t>
        </is>
      </c>
      <c r="C494" s="19" t="n">
        <v>2049</v>
      </c>
      <c r="D494" s="19" t="n">
        <v>0.3726</v>
      </c>
      <c r="E494" s="19" t="inlineStr">
        <is>
          <t>NMIM v0.2 via MacroFiscalModels</t>
        </is>
      </c>
    </row>
    <row r="495">
      <c r="A495" s="19" t="inlineStr">
        <is>
          <t>MOZ</t>
        </is>
      </c>
      <c r="B495" s="19" t="inlineStr">
        <is>
          <t>pub_cap</t>
        </is>
      </c>
      <c r="C495" s="19" t="n">
        <v>2050</v>
      </c>
      <c r="D495" s="19" t="n">
        <v>0.365</v>
      </c>
      <c r="E495" s="19" t="inlineStr">
        <is>
          <t>NMIM v0.2 via MacroFiscalModels</t>
        </is>
      </c>
    </row>
    <row r="496">
      <c r="A496" s="19" t="inlineStr">
        <is>
          <t>MOZ</t>
        </is>
      </c>
      <c r="B496" s="19" t="inlineStr">
        <is>
          <t>pub_spend</t>
        </is>
      </c>
      <c r="C496" s="19" t="n">
        <v>2025</v>
      </c>
      <c r="D496" s="19" t="n">
        <v>2.216</v>
      </c>
      <c r="E496" s="19" t="inlineStr">
        <is>
          <t>NMIM v0.2 via MacroFiscalModels</t>
        </is>
      </c>
    </row>
    <row r="497">
      <c r="A497" s="19" t="inlineStr">
        <is>
          <t>MOZ</t>
        </is>
      </c>
      <c r="B497" s="19" t="inlineStr">
        <is>
          <t>pub_spend</t>
        </is>
      </c>
      <c r="C497" s="19" t="n">
        <v>2026</v>
      </c>
      <c r="D497" s="19" t="n">
        <v>4.41</v>
      </c>
      <c r="E497" s="19" t="inlineStr">
        <is>
          <t>NMIM v0.2 via MacroFiscalModels</t>
        </is>
      </c>
    </row>
    <row r="498">
      <c r="A498" s="19" t="inlineStr">
        <is>
          <t>MOZ</t>
        </is>
      </c>
      <c r="B498" s="19" t="inlineStr">
        <is>
          <t>pub_spend</t>
        </is>
      </c>
      <c r="C498" s="19" t="n">
        <v>2027</v>
      </c>
      <c r="D498" s="19" t="n">
        <v>6.562</v>
      </c>
      <c r="E498" s="19" t="inlineStr">
        <is>
          <t>NMIM v0.2 via MacroFiscalModels</t>
        </is>
      </c>
    </row>
    <row r="499">
      <c r="A499" s="19" t="inlineStr">
        <is>
          <t>MOZ</t>
        </is>
      </c>
      <c r="B499" s="19" t="inlineStr">
        <is>
          <t>pub_spend</t>
        </is>
      </c>
      <c r="C499" s="19" t="n">
        <v>2028</v>
      </c>
      <c r="D499" s="19" t="n">
        <v>8.654999999999999</v>
      </c>
      <c r="E499" s="19" t="inlineStr">
        <is>
          <t>NMIM v0.2 via MacroFiscalModels</t>
        </is>
      </c>
    </row>
    <row r="500">
      <c r="A500" s="19" t="inlineStr">
        <is>
          <t>MOZ</t>
        </is>
      </c>
      <c r="B500" s="19" t="inlineStr">
        <is>
          <t>pub_spend</t>
        </is>
      </c>
      <c r="C500" s="19" t="n">
        <v>2029</v>
      </c>
      <c r="D500" s="19" t="n">
        <v>10.67</v>
      </c>
      <c r="E500" s="19" t="inlineStr">
        <is>
          <t>NMIM v0.2 via MacroFiscalModels</t>
        </is>
      </c>
    </row>
    <row r="501">
      <c r="A501" s="19" t="inlineStr">
        <is>
          <t>MOZ</t>
        </is>
      </c>
      <c r="B501" s="19" t="inlineStr">
        <is>
          <t>pub_spend</t>
        </is>
      </c>
      <c r="C501" s="19" t="n">
        <v>2030</v>
      </c>
      <c r="D501" s="19" t="n">
        <v>12.6</v>
      </c>
      <c r="E501" s="19" t="inlineStr">
        <is>
          <t>NMIM v0.2 via MacroFiscalModels</t>
        </is>
      </c>
    </row>
    <row r="502">
      <c r="A502" s="19" t="inlineStr">
        <is>
          <t>MOZ</t>
        </is>
      </c>
      <c r="B502" s="19" t="inlineStr">
        <is>
          <t>pub_spend</t>
        </is>
      </c>
      <c r="C502" s="19" t="n">
        <v>2031</v>
      </c>
      <c r="D502" s="19" t="n">
        <v>12.41</v>
      </c>
      <c r="E502" s="19" t="inlineStr">
        <is>
          <t>NMIM v0.2 via MacroFiscalModels</t>
        </is>
      </c>
    </row>
    <row r="503">
      <c r="A503" s="19" t="inlineStr">
        <is>
          <t>MOZ</t>
        </is>
      </c>
      <c r="B503" s="19" t="inlineStr">
        <is>
          <t>pub_spend</t>
        </is>
      </c>
      <c r="C503" s="19" t="n">
        <v>2032</v>
      </c>
      <c r="D503" s="19" t="n">
        <v>12.19</v>
      </c>
      <c r="E503" s="19" t="inlineStr">
        <is>
          <t>NMIM v0.2 via MacroFiscalModels</t>
        </is>
      </c>
    </row>
    <row r="504">
      <c r="A504" s="19" t="inlineStr">
        <is>
          <t>MOZ</t>
        </is>
      </c>
      <c r="B504" s="19" t="inlineStr">
        <is>
          <t>pub_spend</t>
        </is>
      </c>
      <c r="C504" s="19" t="n">
        <v>2033</v>
      </c>
      <c r="D504" s="19" t="n">
        <v>11.94</v>
      </c>
      <c r="E504" s="19" t="inlineStr">
        <is>
          <t>NMIM v0.2 via MacroFiscalModels</t>
        </is>
      </c>
    </row>
    <row r="505">
      <c r="A505" s="19" t="inlineStr">
        <is>
          <t>MOZ</t>
        </is>
      </c>
      <c r="B505" s="19" t="inlineStr">
        <is>
          <t>pub_spend</t>
        </is>
      </c>
      <c r="C505" s="19" t="n">
        <v>2034</v>
      </c>
      <c r="D505" s="19" t="n">
        <v>11.66</v>
      </c>
      <c r="E505" s="19" t="inlineStr">
        <is>
          <t>NMIM v0.2 via MacroFiscalModels</t>
        </is>
      </c>
    </row>
    <row r="506">
      <c r="A506" s="19" t="inlineStr">
        <is>
          <t>MOZ</t>
        </is>
      </c>
      <c r="B506" s="19" t="inlineStr">
        <is>
          <t>pub_spend</t>
        </is>
      </c>
      <c r="C506" s="19" t="n">
        <v>2035</v>
      </c>
      <c r="D506" s="19" t="n">
        <v>11.36</v>
      </c>
      <c r="E506" s="19" t="inlineStr">
        <is>
          <t>NMIM v0.2 via MacroFiscalModels</t>
        </is>
      </c>
    </row>
    <row r="507">
      <c r="A507" s="19" t="inlineStr">
        <is>
          <t>MOZ</t>
        </is>
      </c>
      <c r="B507" s="19" t="inlineStr">
        <is>
          <t>pub_spend</t>
        </is>
      </c>
      <c r="C507" s="19" t="n">
        <v>2036</v>
      </c>
      <c r="D507" s="19" t="n">
        <v>11.03</v>
      </c>
      <c r="E507" s="19" t="inlineStr">
        <is>
          <t>NMIM v0.2 via MacroFiscalModels</t>
        </is>
      </c>
    </row>
    <row r="508">
      <c r="A508" s="19" t="inlineStr">
        <is>
          <t>MOZ</t>
        </is>
      </c>
      <c r="B508" s="19" t="inlineStr">
        <is>
          <t>pub_spend</t>
        </is>
      </c>
      <c r="C508" s="19" t="n">
        <v>2037</v>
      </c>
      <c r="D508" s="19" t="n">
        <v>10.69</v>
      </c>
      <c r="E508" s="19" t="inlineStr">
        <is>
          <t>NMIM v0.2 via MacroFiscalModels</t>
        </is>
      </c>
    </row>
    <row r="509">
      <c r="A509" s="19" t="inlineStr">
        <is>
          <t>MOZ</t>
        </is>
      </c>
      <c r="B509" s="19" t="inlineStr">
        <is>
          <t>pub_spend</t>
        </is>
      </c>
      <c r="C509" s="19" t="n">
        <v>2038</v>
      </c>
      <c r="D509" s="19" t="n">
        <v>10.32</v>
      </c>
      <c r="E509" s="19" t="inlineStr">
        <is>
          <t>NMIM v0.2 via MacroFiscalModels</t>
        </is>
      </c>
    </row>
    <row r="510">
      <c r="A510" s="19" t="inlineStr">
        <is>
          <t>MOZ</t>
        </is>
      </c>
      <c r="B510" s="19" t="inlineStr">
        <is>
          <t>pub_spend</t>
        </is>
      </c>
      <c r="C510" s="19" t="n">
        <v>2039</v>
      </c>
      <c r="D510" s="19" t="n">
        <v>9.945</v>
      </c>
      <c r="E510" s="19" t="inlineStr">
        <is>
          <t>NMIM v0.2 via MacroFiscalModels</t>
        </is>
      </c>
    </row>
    <row r="511">
      <c r="A511" s="19" t="inlineStr">
        <is>
          <t>MOZ</t>
        </is>
      </c>
      <c r="B511" s="19" t="inlineStr">
        <is>
          <t>pub_spend</t>
        </is>
      </c>
      <c r="C511" s="19" t="n">
        <v>2040</v>
      </c>
      <c r="D511" s="19" t="n">
        <v>9.555</v>
      </c>
      <c r="E511" s="19" t="inlineStr">
        <is>
          <t>NMIM v0.2 via MacroFiscalModels</t>
        </is>
      </c>
    </row>
    <row r="512">
      <c r="A512" s="19" t="inlineStr">
        <is>
          <t>MOZ</t>
        </is>
      </c>
      <c r="B512" s="19" t="inlineStr">
        <is>
          <t>pub_spend</t>
        </is>
      </c>
      <c r="C512" s="19" t="n">
        <v>2041</v>
      </c>
      <c r="D512" s="19" t="n">
        <v>9.179</v>
      </c>
      <c r="E512" s="19" t="inlineStr">
        <is>
          <t>NMIM v0.2 via MacroFiscalModels</t>
        </is>
      </c>
    </row>
    <row r="513">
      <c r="A513" s="19" t="inlineStr">
        <is>
          <t>MOZ</t>
        </is>
      </c>
      <c r="B513" s="19" t="inlineStr">
        <is>
          <t>pub_spend</t>
        </is>
      </c>
      <c r="C513" s="19" t="n">
        <v>2042</v>
      </c>
      <c r="D513" s="19" t="n">
        <v>8.818</v>
      </c>
      <c r="E513" s="19" t="inlineStr">
        <is>
          <t>NMIM v0.2 via MacroFiscalModels</t>
        </is>
      </c>
    </row>
    <row r="514">
      <c r="A514" s="19" t="inlineStr">
        <is>
          <t>MOZ</t>
        </is>
      </c>
      <c r="B514" s="19" t="inlineStr">
        <is>
          <t>pub_spend</t>
        </is>
      </c>
      <c r="C514" s="19" t="n">
        <v>2043</v>
      </c>
      <c r="D514" s="19" t="n">
        <v>8.472</v>
      </c>
      <c r="E514" s="19" t="inlineStr">
        <is>
          <t>NMIM v0.2 via MacroFiscalModels</t>
        </is>
      </c>
    </row>
    <row r="515">
      <c r="A515" s="19" t="inlineStr">
        <is>
          <t>MOZ</t>
        </is>
      </c>
      <c r="B515" s="19" t="inlineStr">
        <is>
          <t>pub_spend</t>
        </is>
      </c>
      <c r="C515" s="19" t="n">
        <v>2044</v>
      </c>
      <c r="D515" s="19" t="n">
        <v>8.138</v>
      </c>
      <c r="E515" s="19" t="inlineStr">
        <is>
          <t>NMIM v0.2 via MacroFiscalModels</t>
        </is>
      </c>
    </row>
    <row r="516">
      <c r="A516" s="19" t="inlineStr">
        <is>
          <t>MOZ</t>
        </is>
      </c>
      <c r="B516" s="19" t="inlineStr">
        <is>
          <t>pub_spend</t>
        </is>
      </c>
      <c r="C516" s="19" t="n">
        <v>2045</v>
      </c>
      <c r="D516" s="19" t="n">
        <v>7.818</v>
      </c>
      <c r="E516" s="19" t="inlineStr">
        <is>
          <t>NMIM v0.2 via MacroFiscalModels</t>
        </is>
      </c>
    </row>
    <row r="517">
      <c r="A517" s="19" t="inlineStr">
        <is>
          <t>MOZ</t>
        </is>
      </c>
      <c r="B517" s="19" t="inlineStr">
        <is>
          <t>pub_spend</t>
        </is>
      </c>
      <c r="C517" s="19" t="n">
        <v>2046</v>
      </c>
      <c r="D517" s="19" t="n">
        <v>7.51</v>
      </c>
      <c r="E517" s="19" t="inlineStr">
        <is>
          <t>NMIM v0.2 via MacroFiscalModels</t>
        </is>
      </c>
    </row>
    <row r="518">
      <c r="A518" s="19" t="inlineStr">
        <is>
          <t>MOZ</t>
        </is>
      </c>
      <c r="B518" s="19" t="inlineStr">
        <is>
          <t>pub_spend</t>
        </is>
      </c>
      <c r="C518" s="19" t="n">
        <v>2047</v>
      </c>
      <c r="D518" s="19" t="n">
        <v>7.215</v>
      </c>
      <c r="E518" s="19" t="inlineStr">
        <is>
          <t>NMIM v0.2 via MacroFiscalModels</t>
        </is>
      </c>
    </row>
    <row r="519">
      <c r="A519" s="19" t="inlineStr">
        <is>
          <t>MOZ</t>
        </is>
      </c>
      <c r="B519" s="19" t="inlineStr">
        <is>
          <t>pub_spend</t>
        </is>
      </c>
      <c r="C519" s="19" t="n">
        <v>2048</v>
      </c>
      <c r="D519" s="19" t="n">
        <v>6.93</v>
      </c>
      <c r="E519" s="19" t="inlineStr">
        <is>
          <t>NMIM v0.2 via MacroFiscalModels</t>
        </is>
      </c>
    </row>
    <row r="520">
      <c r="A520" s="19" t="inlineStr">
        <is>
          <t>MOZ</t>
        </is>
      </c>
      <c r="B520" s="19" t="inlineStr">
        <is>
          <t>pub_spend</t>
        </is>
      </c>
      <c r="C520" s="19" t="n">
        <v>2049</v>
      </c>
      <c r="D520" s="19" t="n">
        <v>6.657</v>
      </c>
      <c r="E520" s="19" t="inlineStr">
        <is>
          <t>NMIM v0.2 via MacroFiscalModels</t>
        </is>
      </c>
    </row>
    <row r="521">
      <c r="A521" s="19" t="inlineStr">
        <is>
          <t>MOZ</t>
        </is>
      </c>
      <c r="B521" s="19" t="inlineStr">
        <is>
          <t>pub_spend</t>
        </is>
      </c>
      <c r="C521" s="19" t="n">
        <v>2050</v>
      </c>
      <c r="D521" s="19" t="n">
        <v>6.395</v>
      </c>
      <c r="E521" s="19" t="inlineStr">
        <is>
          <t>NMIM v0.2 via MacroFiscalModels</t>
        </is>
      </c>
    </row>
    <row r="522">
      <c r="A522" s="19" t="inlineStr">
        <is>
          <t>MOZ</t>
        </is>
      </c>
      <c r="B522" s="19" t="inlineStr">
        <is>
          <t>rev</t>
        </is>
      </c>
      <c r="C522" s="19" t="n">
        <v>2025</v>
      </c>
      <c r="D522" s="19" t="n">
        <v>0.1118</v>
      </c>
      <c r="E522" s="19" t="inlineStr">
        <is>
          <t>PriceFeasibility v0.1 x NMIM power CO2</t>
        </is>
      </c>
    </row>
    <row r="523">
      <c r="A523" s="19" t="inlineStr">
        <is>
          <t>MOZ</t>
        </is>
      </c>
      <c r="B523" s="19" t="inlineStr">
        <is>
          <t>rev</t>
        </is>
      </c>
      <c r="C523" s="19" t="n">
        <v>2026</v>
      </c>
      <c r="D523" s="19" t="n">
        <v>0.1213</v>
      </c>
      <c r="E523" s="19" t="inlineStr">
        <is>
          <t>PriceFeasibility v0.1 x NMIM power CO2</t>
        </is>
      </c>
    </row>
    <row r="524">
      <c r="A524" s="19" t="inlineStr">
        <is>
          <t>MOZ</t>
        </is>
      </c>
      <c r="B524" s="19" t="inlineStr">
        <is>
          <t>rev</t>
        </is>
      </c>
      <c r="C524" s="19" t="n">
        <v>2027</v>
      </c>
      <c r="D524" s="19" t="n">
        <v>0.1339</v>
      </c>
      <c r="E524" s="19" t="inlineStr">
        <is>
          <t>PriceFeasibility v0.1 x NMIM power CO2</t>
        </is>
      </c>
    </row>
    <row r="525">
      <c r="A525" s="19" t="inlineStr">
        <is>
          <t>MOZ</t>
        </is>
      </c>
      <c r="B525" s="19" t="inlineStr">
        <is>
          <t>rev</t>
        </is>
      </c>
      <c r="C525" s="19" t="n">
        <v>2028</v>
      </c>
      <c r="D525" s="19" t="n">
        <v>0.1367</v>
      </c>
      <c r="E525" s="19" t="inlineStr">
        <is>
          <t>PriceFeasibility v0.1 x NMIM power CO2</t>
        </is>
      </c>
    </row>
    <row r="526">
      <c r="A526" s="19" t="inlineStr">
        <is>
          <t>MOZ</t>
        </is>
      </c>
      <c r="B526" s="19" t="inlineStr">
        <is>
          <t>rev</t>
        </is>
      </c>
      <c r="C526" s="19" t="n">
        <v>2029</v>
      </c>
      <c r="D526" s="19" t="n">
        <v>0.1295</v>
      </c>
      <c r="E526" s="19" t="inlineStr">
        <is>
          <t>PriceFeasibility v0.1 x NMIM power CO2</t>
        </is>
      </c>
    </row>
    <row r="527">
      <c r="A527" s="19" t="inlineStr">
        <is>
          <t>MOZ</t>
        </is>
      </c>
      <c r="B527" s="19" t="inlineStr">
        <is>
          <t>rev</t>
        </is>
      </c>
      <c r="C527" s="19" t="n">
        <v>2030</v>
      </c>
      <c r="D527" s="19" t="n">
        <v>0.1222</v>
      </c>
      <c r="E527" s="19" t="inlineStr">
        <is>
          <t>PriceFeasibility v0.1 x NMIM power CO2</t>
        </is>
      </c>
    </row>
    <row r="528">
      <c r="A528" s="19" t="inlineStr">
        <is>
          <t>MOZ</t>
        </is>
      </c>
      <c r="B528" s="19" t="inlineStr">
        <is>
          <t>rev</t>
        </is>
      </c>
      <c r="C528" s="19" t="n">
        <v>2031</v>
      </c>
      <c r="D528" s="19" t="n">
        <v>0.1147</v>
      </c>
      <c r="E528" s="19" t="inlineStr">
        <is>
          <t>PriceFeasibility v0.1 x NMIM power CO2</t>
        </is>
      </c>
    </row>
    <row r="529">
      <c r="A529" s="19" t="inlineStr">
        <is>
          <t>MOZ</t>
        </is>
      </c>
      <c r="B529" s="19" t="inlineStr">
        <is>
          <t>rev</t>
        </is>
      </c>
      <c r="C529" s="19" t="n">
        <v>2032</v>
      </c>
      <c r="D529" s="19" t="n">
        <v>0.1072</v>
      </c>
      <c r="E529" s="19" t="inlineStr">
        <is>
          <t>PriceFeasibility v0.1 x NMIM power CO2</t>
        </is>
      </c>
    </row>
    <row r="530">
      <c r="A530" s="19" t="inlineStr">
        <is>
          <t>MOZ</t>
        </is>
      </c>
      <c r="B530" s="19" t="inlineStr">
        <is>
          <t>rev</t>
        </is>
      </c>
      <c r="C530" s="19" t="n">
        <v>2033</v>
      </c>
      <c r="D530" s="19" t="n">
        <v>0.09947</v>
      </c>
      <c r="E530" s="19" t="inlineStr">
        <is>
          <t>PriceFeasibility v0.1 x NMIM power CO2</t>
        </is>
      </c>
    </row>
    <row r="531">
      <c r="A531" s="19" t="inlineStr">
        <is>
          <t>MOZ</t>
        </is>
      </c>
      <c r="B531" s="19" t="inlineStr">
        <is>
          <t>rev</t>
        </is>
      </c>
      <c r="C531" s="19" t="n">
        <v>2034</v>
      </c>
      <c r="D531" s="19" t="n">
        <v>0.09167</v>
      </c>
      <c r="E531" s="19" t="inlineStr">
        <is>
          <t>PriceFeasibility v0.1 x NMIM power CO2</t>
        </is>
      </c>
    </row>
    <row r="532">
      <c r="A532" s="19" t="inlineStr">
        <is>
          <t>MOZ</t>
        </is>
      </c>
      <c r="B532" s="19" t="inlineStr">
        <is>
          <t>rev</t>
        </is>
      </c>
      <c r="C532" s="19" t="n">
        <v>2035</v>
      </c>
      <c r="D532" s="19" t="n">
        <v>0.08373999999999999</v>
      </c>
      <c r="E532" s="19" t="inlineStr">
        <is>
          <t>PriceFeasibility v0.1 x NMIM power CO2</t>
        </is>
      </c>
    </row>
    <row r="533">
      <c r="A533" s="19" t="inlineStr">
        <is>
          <t>MOZ</t>
        </is>
      </c>
      <c r="B533" s="19" t="inlineStr">
        <is>
          <t>rev</t>
        </is>
      </c>
      <c r="C533" s="19" t="n">
        <v>2036</v>
      </c>
      <c r="D533" s="19" t="n">
        <v>0.07568999999999999</v>
      </c>
      <c r="E533" s="19" t="inlineStr">
        <is>
          <t>PriceFeasibility v0.1 x NMIM power CO2</t>
        </is>
      </c>
    </row>
    <row r="534">
      <c r="A534" s="19" t="inlineStr">
        <is>
          <t>MOZ</t>
        </is>
      </c>
      <c r="B534" s="19" t="inlineStr">
        <is>
          <t>rev</t>
        </is>
      </c>
      <c r="C534" s="19" t="n">
        <v>2037</v>
      </c>
      <c r="D534" s="19" t="n">
        <v>0.06753000000000001</v>
      </c>
      <c r="E534" s="19" t="inlineStr">
        <is>
          <t>PriceFeasibility v0.1 x NMIM power CO2</t>
        </is>
      </c>
    </row>
    <row r="535">
      <c r="A535" s="19" t="inlineStr">
        <is>
          <t>MOZ</t>
        </is>
      </c>
      <c r="B535" s="19" t="inlineStr">
        <is>
          <t>rev</t>
        </is>
      </c>
      <c r="C535" s="19" t="n">
        <v>2038</v>
      </c>
      <c r="D535" s="19" t="n">
        <v>0.05927</v>
      </c>
      <c r="E535" s="19" t="inlineStr">
        <is>
          <t>PriceFeasibility v0.1 x NMIM power CO2</t>
        </is>
      </c>
    </row>
    <row r="536">
      <c r="A536" s="19" t="inlineStr">
        <is>
          <t>MOZ</t>
        </is>
      </c>
      <c r="B536" s="19" t="inlineStr">
        <is>
          <t>rev</t>
        </is>
      </c>
      <c r="C536" s="19" t="n">
        <v>2039</v>
      </c>
      <c r="D536" s="19" t="n">
        <v>0.05092</v>
      </c>
      <c r="E536" s="19" t="inlineStr">
        <is>
          <t>PriceFeasibility v0.1 x NMIM power CO2</t>
        </is>
      </c>
    </row>
    <row r="537">
      <c r="A537" s="19" t="inlineStr">
        <is>
          <t>MOZ</t>
        </is>
      </c>
      <c r="B537" s="19" t="inlineStr">
        <is>
          <t>rev</t>
        </is>
      </c>
      <c r="C537" s="19" t="n">
        <v>2040</v>
      </c>
      <c r="D537" s="19" t="n">
        <v>0.0425</v>
      </c>
      <c r="E537" s="19" t="inlineStr">
        <is>
          <t>PriceFeasibility v0.1 x NMIM power CO2</t>
        </is>
      </c>
    </row>
    <row r="538">
      <c r="A538" s="19" t="inlineStr">
        <is>
          <t>MOZ</t>
        </is>
      </c>
      <c r="B538" s="19" t="inlineStr">
        <is>
          <t>rev</t>
        </is>
      </c>
      <c r="C538" s="19" t="n">
        <v>2041</v>
      </c>
      <c r="D538" s="19" t="n">
        <v>0.03401</v>
      </c>
      <c r="E538" s="19" t="inlineStr">
        <is>
          <t>PriceFeasibility v0.1 x NMIM power CO2</t>
        </is>
      </c>
    </row>
    <row r="539">
      <c r="A539" s="19" t="inlineStr">
        <is>
          <t>MOZ</t>
        </is>
      </c>
      <c r="B539" s="19" t="inlineStr">
        <is>
          <t>rev</t>
        </is>
      </c>
      <c r="C539" s="19" t="n">
        <v>2042</v>
      </c>
      <c r="D539" s="19" t="n">
        <v>0.02548</v>
      </c>
      <c r="E539" s="19" t="inlineStr">
        <is>
          <t>PriceFeasibility v0.1 x NMIM power CO2</t>
        </is>
      </c>
    </row>
    <row r="540">
      <c r="A540" s="19" t="inlineStr">
        <is>
          <t>MOZ</t>
        </is>
      </c>
      <c r="B540" s="19" t="inlineStr">
        <is>
          <t>rev</t>
        </is>
      </c>
      <c r="C540" s="19" t="n">
        <v>2043</v>
      </c>
      <c r="D540" s="19" t="n">
        <v>0.01696</v>
      </c>
      <c r="E540" s="19" t="inlineStr">
        <is>
          <t>PriceFeasibility v0.1 x NMIM power CO2</t>
        </is>
      </c>
    </row>
    <row r="541">
      <c r="A541" s="19" t="inlineStr">
        <is>
          <t>MOZ</t>
        </is>
      </c>
      <c r="B541" s="19" t="inlineStr">
        <is>
          <t>rev</t>
        </is>
      </c>
      <c r="C541" s="19" t="n">
        <v>2044</v>
      </c>
      <c r="D541" s="19" t="n">
        <v>0.008454</v>
      </c>
      <c r="E541" s="19" t="inlineStr">
        <is>
          <t>PriceFeasibility v0.1 x NMIM power CO2</t>
        </is>
      </c>
    </row>
    <row r="542">
      <c r="A542" s="19" t="inlineStr">
        <is>
          <t>MOZ</t>
        </is>
      </c>
      <c r="B542" s="19" t="inlineStr">
        <is>
          <t>rev</t>
        </is>
      </c>
      <c r="C542" s="19" t="n">
        <v>2045</v>
      </c>
      <c r="D542" s="19" t="n">
        <v>0</v>
      </c>
      <c r="E542" s="19" t="inlineStr">
        <is>
          <t>PriceFeasibility v0.1 x NMIM power CO2</t>
        </is>
      </c>
    </row>
    <row r="543">
      <c r="A543" s="19" t="inlineStr">
        <is>
          <t>MOZ</t>
        </is>
      </c>
      <c r="B543" s="19" t="inlineStr">
        <is>
          <t>rev</t>
        </is>
      </c>
      <c r="C543" s="19" t="n">
        <v>2046</v>
      </c>
      <c r="D543" s="19" t="n">
        <v>0</v>
      </c>
      <c r="E543" s="19" t="inlineStr">
        <is>
          <t>PriceFeasibility v0.1 x NMIM power CO2</t>
        </is>
      </c>
    </row>
    <row r="544">
      <c r="A544" s="19" t="inlineStr">
        <is>
          <t>MOZ</t>
        </is>
      </c>
      <c r="B544" s="19" t="inlineStr">
        <is>
          <t>rev</t>
        </is>
      </c>
      <c r="C544" s="19" t="n">
        <v>2047</v>
      </c>
      <c r="D544" s="19" t="n">
        <v>0</v>
      </c>
      <c r="E544" s="19" t="inlineStr">
        <is>
          <t>PriceFeasibility v0.1 x NMIM power CO2</t>
        </is>
      </c>
    </row>
    <row r="545">
      <c r="A545" s="19" t="inlineStr">
        <is>
          <t>MOZ</t>
        </is>
      </c>
      <c r="B545" s="19" t="inlineStr">
        <is>
          <t>rev</t>
        </is>
      </c>
      <c r="C545" s="19" t="n">
        <v>2048</v>
      </c>
      <c r="D545" s="19" t="n">
        <v>0</v>
      </c>
      <c r="E545" s="19" t="inlineStr">
        <is>
          <t>PriceFeasibility v0.1 x NMIM power CO2</t>
        </is>
      </c>
    </row>
    <row r="546">
      <c r="A546" s="19" t="inlineStr">
        <is>
          <t>MOZ</t>
        </is>
      </c>
      <c r="B546" s="19" t="inlineStr">
        <is>
          <t>rev</t>
        </is>
      </c>
      <c r="C546" s="19" t="n">
        <v>2049</v>
      </c>
      <c r="D546" s="19" t="n">
        <v>0</v>
      </c>
      <c r="E546" s="19" t="inlineStr">
        <is>
          <t>PriceFeasibility v0.1 x NMIM power CO2</t>
        </is>
      </c>
    </row>
    <row r="547">
      <c r="A547" s="19" t="inlineStr">
        <is>
          <t>MOZ</t>
        </is>
      </c>
      <c r="B547" s="19" t="inlineStr">
        <is>
          <t>rev</t>
        </is>
      </c>
      <c r="C547" s="19" t="n">
        <v>2050</v>
      </c>
      <c r="D547" s="19" t="n">
        <v>0</v>
      </c>
      <c r="E547" s="19" t="inlineStr">
        <is>
          <t>PriceFeasibility v0.1 x NMIM power CO2</t>
        </is>
      </c>
    </row>
    <row r="548">
      <c r="A548" s="19" t="inlineStr">
        <is>
          <t>RWA</t>
        </is>
      </c>
      <c r="B548" s="19" t="inlineStr">
        <is>
          <t>pub_cap</t>
        </is>
      </c>
      <c r="C548" s="19" t="n">
        <v>2025</v>
      </c>
      <c r="D548" s="19" t="n">
        <v>0.04568</v>
      </c>
      <c r="E548" s="19" t="inlineStr">
        <is>
          <t>NMIM v0.2 via MacroFiscalModels</t>
        </is>
      </c>
    </row>
    <row r="549">
      <c r="A549" s="19" t="inlineStr">
        <is>
          <t>RWA</t>
        </is>
      </c>
      <c r="B549" s="19" t="inlineStr">
        <is>
          <t>pub_cap</t>
        </is>
      </c>
      <c r="C549" s="19" t="n">
        <v>2026</v>
      </c>
      <c r="D549" s="19" t="n">
        <v>0.05472</v>
      </c>
      <c r="E549" s="19" t="inlineStr">
        <is>
          <t>NMIM v0.2 via MacroFiscalModels</t>
        </is>
      </c>
    </row>
    <row r="550">
      <c r="A550" s="19" t="inlineStr">
        <is>
          <t>RWA</t>
        </is>
      </c>
      <c r="B550" s="19" t="inlineStr">
        <is>
          <t>pub_cap</t>
        </is>
      </c>
      <c r="C550" s="19" t="n">
        <v>2027</v>
      </c>
      <c r="D550" s="19" t="n">
        <v>0.05993</v>
      </c>
      <c r="E550" s="19" t="inlineStr">
        <is>
          <t>NMIM v0.2 via MacroFiscalModels</t>
        </is>
      </c>
    </row>
    <row r="551">
      <c r="A551" s="19" t="inlineStr">
        <is>
          <t>RWA</t>
        </is>
      </c>
      <c r="B551" s="19" t="inlineStr">
        <is>
          <t>pub_cap</t>
        </is>
      </c>
      <c r="C551" s="19" t="n">
        <v>2028</v>
      </c>
      <c r="D551" s="19" t="n">
        <v>0.06328</v>
      </c>
      <c r="E551" s="19" t="inlineStr">
        <is>
          <t>NMIM v0.2 via MacroFiscalModels</t>
        </is>
      </c>
    </row>
    <row r="552">
      <c r="A552" s="19" t="inlineStr">
        <is>
          <t>RWA</t>
        </is>
      </c>
      <c r="B552" s="19" t="inlineStr">
        <is>
          <t>pub_cap</t>
        </is>
      </c>
      <c r="C552" s="19" t="n">
        <v>2029</v>
      </c>
      <c r="D552" s="19" t="n">
        <v>0.06376</v>
      </c>
      <c r="E552" s="19" t="inlineStr">
        <is>
          <t>NMIM v0.2 via MacroFiscalModels</t>
        </is>
      </c>
    </row>
    <row r="553">
      <c r="A553" s="19" t="inlineStr">
        <is>
          <t>RWA</t>
        </is>
      </c>
      <c r="B553" s="19" t="inlineStr">
        <is>
          <t>pub_cap</t>
        </is>
      </c>
      <c r="C553" s="19" t="n">
        <v>2030</v>
      </c>
      <c r="D553" s="19" t="n">
        <v>0.06168</v>
      </c>
      <c r="E553" s="19" t="inlineStr">
        <is>
          <t>NMIM v0.2 via MacroFiscalModels</t>
        </is>
      </c>
    </row>
    <row r="554">
      <c r="A554" s="19" t="inlineStr">
        <is>
          <t>RWA</t>
        </is>
      </c>
      <c r="B554" s="19" t="inlineStr">
        <is>
          <t>pub_cap</t>
        </is>
      </c>
      <c r="C554" s="19" t="n">
        <v>2031</v>
      </c>
      <c r="D554" s="19" t="n">
        <v>0.05734</v>
      </c>
      <c r="E554" s="19" t="inlineStr">
        <is>
          <t>NMIM v0.2 via MacroFiscalModels</t>
        </is>
      </c>
    </row>
    <row r="555">
      <c r="A555" s="19" t="inlineStr">
        <is>
          <t>RWA</t>
        </is>
      </c>
      <c r="B555" s="19" t="inlineStr">
        <is>
          <t>pub_cap</t>
        </is>
      </c>
      <c r="C555" s="19" t="n">
        <v>2032</v>
      </c>
      <c r="D555" s="19" t="n">
        <v>0.051</v>
      </c>
      <c r="E555" s="19" t="inlineStr">
        <is>
          <t>NMIM v0.2 via MacroFiscalModels</t>
        </is>
      </c>
    </row>
    <row r="556">
      <c r="A556" s="19" t="inlineStr">
        <is>
          <t>RWA</t>
        </is>
      </c>
      <c r="B556" s="19" t="inlineStr">
        <is>
          <t>pub_cap</t>
        </is>
      </c>
      <c r="C556" s="19" t="n">
        <v>2033</v>
      </c>
      <c r="D556" s="19" t="n">
        <v>0.05266</v>
      </c>
      <c r="E556" s="19" t="inlineStr">
        <is>
          <t>NMIM v0.2 via MacroFiscalModels</t>
        </is>
      </c>
    </row>
    <row r="557">
      <c r="A557" s="19" t="inlineStr">
        <is>
          <t>RWA</t>
        </is>
      </c>
      <c r="B557" s="19" t="inlineStr">
        <is>
          <t>pub_cap</t>
        </is>
      </c>
      <c r="C557" s="19" t="n">
        <v>2034</v>
      </c>
      <c r="D557" s="19" t="n">
        <v>0.05401</v>
      </c>
      <c r="E557" s="19" t="inlineStr">
        <is>
          <t>NMIM v0.2 via MacroFiscalModels</t>
        </is>
      </c>
    </row>
    <row r="558">
      <c r="A558" s="19" t="inlineStr">
        <is>
          <t>RWA</t>
        </is>
      </c>
      <c r="B558" s="19" t="inlineStr">
        <is>
          <t>pub_cap</t>
        </is>
      </c>
      <c r="C558" s="19" t="n">
        <v>2035</v>
      </c>
      <c r="D558" s="19" t="n">
        <v>0.05515</v>
      </c>
      <c r="E558" s="19" t="inlineStr">
        <is>
          <t>NMIM v0.2 via MacroFiscalModels</t>
        </is>
      </c>
    </row>
    <row r="559">
      <c r="A559" s="19" t="inlineStr">
        <is>
          <t>RWA</t>
        </is>
      </c>
      <c r="B559" s="19" t="inlineStr">
        <is>
          <t>pub_cap</t>
        </is>
      </c>
      <c r="C559" s="19" t="n">
        <v>2036</v>
      </c>
      <c r="D559" s="19" t="n">
        <v>0.05684</v>
      </c>
      <c r="E559" s="19" t="inlineStr">
        <is>
          <t>NMIM v0.2 via MacroFiscalModels</t>
        </is>
      </c>
    </row>
    <row r="560">
      <c r="A560" s="19" t="inlineStr">
        <is>
          <t>RWA</t>
        </is>
      </c>
      <c r="B560" s="19" t="inlineStr">
        <is>
          <t>pub_cap</t>
        </is>
      </c>
      <c r="C560" s="19" t="n">
        <v>2037</v>
      </c>
      <c r="D560" s="19" t="n">
        <v>0.05877</v>
      </c>
      <c r="E560" s="19" t="inlineStr">
        <is>
          <t>NMIM v0.2 via MacroFiscalModels</t>
        </is>
      </c>
    </row>
    <row r="561">
      <c r="A561" s="19" t="inlineStr">
        <is>
          <t>RWA</t>
        </is>
      </c>
      <c r="B561" s="19" t="inlineStr">
        <is>
          <t>pub_cap</t>
        </is>
      </c>
      <c r="C561" s="19" t="n">
        <v>2038</v>
      </c>
      <c r="D561" s="19" t="n">
        <v>0.06052</v>
      </c>
      <c r="E561" s="19" t="inlineStr">
        <is>
          <t>NMIM v0.2 via MacroFiscalModels</t>
        </is>
      </c>
    </row>
    <row r="562">
      <c r="A562" s="19" t="inlineStr">
        <is>
          <t>RWA</t>
        </is>
      </c>
      <c r="B562" s="19" t="inlineStr">
        <is>
          <t>pub_cap</t>
        </is>
      </c>
      <c r="C562" s="19" t="n">
        <v>2039</v>
      </c>
      <c r="D562" s="19" t="n">
        <v>0.06207</v>
      </c>
      <c r="E562" s="19" t="inlineStr">
        <is>
          <t>NMIM v0.2 via MacroFiscalModels</t>
        </is>
      </c>
    </row>
    <row r="563">
      <c r="A563" s="19" t="inlineStr">
        <is>
          <t>RWA</t>
        </is>
      </c>
      <c r="B563" s="19" t="inlineStr">
        <is>
          <t>pub_cap</t>
        </is>
      </c>
      <c r="C563" s="19" t="n">
        <v>2040</v>
      </c>
      <c r="D563" s="19" t="n">
        <v>0.06344</v>
      </c>
      <c r="E563" s="19" t="inlineStr">
        <is>
          <t>NMIM v0.2 via MacroFiscalModels</t>
        </is>
      </c>
    </row>
    <row r="564">
      <c r="A564" s="19" t="inlineStr">
        <is>
          <t>RWA</t>
        </is>
      </c>
      <c r="B564" s="19" t="inlineStr">
        <is>
          <t>pub_cap</t>
        </is>
      </c>
      <c r="C564" s="19" t="n">
        <v>2041</v>
      </c>
      <c r="D564" s="19" t="n">
        <v>0.06396</v>
      </c>
      <c r="E564" s="19" t="inlineStr">
        <is>
          <t>NMIM v0.2 via MacroFiscalModels</t>
        </is>
      </c>
    </row>
    <row r="565">
      <c r="A565" s="19" t="inlineStr">
        <is>
          <t>RWA</t>
        </is>
      </c>
      <c r="B565" s="19" t="inlineStr">
        <is>
          <t>pub_cap</t>
        </is>
      </c>
      <c r="C565" s="19" t="n">
        <v>2042</v>
      </c>
      <c r="D565" s="19" t="n">
        <v>0.0644</v>
      </c>
      <c r="E565" s="19" t="inlineStr">
        <is>
          <t>NMIM v0.2 via MacroFiscalModels</t>
        </is>
      </c>
    </row>
    <row r="566">
      <c r="A566" s="19" t="inlineStr">
        <is>
          <t>RWA</t>
        </is>
      </c>
      <c r="B566" s="19" t="inlineStr">
        <is>
          <t>pub_cap</t>
        </is>
      </c>
      <c r="C566" s="19" t="n">
        <v>2043</v>
      </c>
      <c r="D566" s="19" t="n">
        <v>0.06405</v>
      </c>
      <c r="E566" s="19" t="inlineStr">
        <is>
          <t>NMIM v0.2 via MacroFiscalModels</t>
        </is>
      </c>
    </row>
    <row r="567">
      <c r="A567" s="19" t="inlineStr">
        <is>
          <t>RWA</t>
        </is>
      </c>
      <c r="B567" s="19" t="inlineStr">
        <is>
          <t>pub_cap</t>
        </is>
      </c>
      <c r="C567" s="19" t="n">
        <v>2044</v>
      </c>
      <c r="D567" s="19" t="n">
        <v>0.06347999999999999</v>
      </c>
      <c r="E567" s="19" t="inlineStr">
        <is>
          <t>NMIM v0.2 via MacroFiscalModels</t>
        </is>
      </c>
    </row>
    <row r="568">
      <c r="A568" s="19" t="inlineStr">
        <is>
          <t>RWA</t>
        </is>
      </c>
      <c r="B568" s="19" t="inlineStr">
        <is>
          <t>pub_cap</t>
        </is>
      </c>
      <c r="C568" s="19" t="n">
        <v>2045</v>
      </c>
      <c r="D568" s="19" t="n">
        <v>0.06289</v>
      </c>
      <c r="E568" s="19" t="inlineStr">
        <is>
          <t>NMIM v0.2 via MacroFiscalModels</t>
        </is>
      </c>
    </row>
    <row r="569">
      <c r="A569" s="19" t="inlineStr">
        <is>
          <t>RWA</t>
        </is>
      </c>
      <c r="B569" s="19" t="inlineStr">
        <is>
          <t>pub_cap</t>
        </is>
      </c>
      <c r="C569" s="19" t="n">
        <v>2046</v>
      </c>
      <c r="D569" s="19" t="n">
        <v>0.05365</v>
      </c>
      <c r="E569" s="19" t="inlineStr">
        <is>
          <t>NMIM v0.2 via MacroFiscalModels</t>
        </is>
      </c>
    </row>
    <row r="570">
      <c r="A570" s="19" t="inlineStr">
        <is>
          <t>RWA</t>
        </is>
      </c>
      <c r="B570" s="19" t="inlineStr">
        <is>
          <t>pub_cap</t>
        </is>
      </c>
      <c r="C570" s="19" t="n">
        <v>2047</v>
      </c>
      <c r="D570" s="19" t="n">
        <v>0.05254</v>
      </c>
      <c r="E570" s="19" t="inlineStr">
        <is>
          <t>NMIM v0.2 via MacroFiscalModels</t>
        </is>
      </c>
    </row>
    <row r="571">
      <c r="A571" s="19" t="inlineStr">
        <is>
          <t>RWA</t>
        </is>
      </c>
      <c r="B571" s="19" t="inlineStr">
        <is>
          <t>pub_cap</t>
        </is>
      </c>
      <c r="C571" s="19" t="n">
        <v>2048</v>
      </c>
      <c r="D571" s="19" t="n">
        <v>0.05146</v>
      </c>
      <c r="E571" s="19" t="inlineStr">
        <is>
          <t>NMIM v0.2 via MacroFiscalModels</t>
        </is>
      </c>
    </row>
    <row r="572">
      <c r="A572" s="19" t="inlineStr">
        <is>
          <t>RWA</t>
        </is>
      </c>
      <c r="B572" s="19" t="inlineStr">
        <is>
          <t>pub_cap</t>
        </is>
      </c>
      <c r="C572" s="19" t="n">
        <v>2049</v>
      </c>
      <c r="D572" s="19" t="n">
        <v>0.05042</v>
      </c>
      <c r="E572" s="19" t="inlineStr">
        <is>
          <t>NMIM v0.2 via MacroFiscalModels</t>
        </is>
      </c>
    </row>
    <row r="573">
      <c r="A573" s="19" t="inlineStr">
        <is>
          <t>RWA</t>
        </is>
      </c>
      <c r="B573" s="19" t="inlineStr">
        <is>
          <t>pub_cap</t>
        </is>
      </c>
      <c r="C573" s="19" t="n">
        <v>2050</v>
      </c>
      <c r="D573" s="19" t="n">
        <v>0.04942</v>
      </c>
      <c r="E573" s="19" t="inlineStr">
        <is>
          <t>NMIM v0.2 via MacroFiscalModels</t>
        </is>
      </c>
    </row>
    <row r="574">
      <c r="A574" s="19" t="inlineStr">
        <is>
          <t>RWA</t>
        </is>
      </c>
      <c r="B574" s="19" t="inlineStr">
        <is>
          <t>pub_spend</t>
        </is>
      </c>
      <c r="C574" s="19" t="n">
        <v>2025</v>
      </c>
      <c r="D574" s="19" t="n">
        <v>0.1084</v>
      </c>
      <c r="E574" s="19" t="inlineStr">
        <is>
          <t>NMIM v0.2 via MacroFiscalModels</t>
        </is>
      </c>
    </row>
    <row r="575">
      <c r="A575" s="19" t="inlineStr">
        <is>
          <t>RWA</t>
        </is>
      </c>
      <c r="B575" s="19" t="inlineStr">
        <is>
          <t>pub_spend</t>
        </is>
      </c>
      <c r="C575" s="19" t="n">
        <v>2026</v>
      </c>
      <c r="D575" s="19" t="n">
        <v>0.2022</v>
      </c>
      <c r="E575" s="19" t="inlineStr">
        <is>
          <t>NMIM v0.2 via MacroFiscalModels</t>
        </is>
      </c>
    </row>
    <row r="576">
      <c r="A576" s="19" t="inlineStr">
        <is>
          <t>RWA</t>
        </is>
      </c>
      <c r="B576" s="19" t="inlineStr">
        <is>
          <t>pub_spend</t>
        </is>
      </c>
      <c r="C576" s="19" t="n">
        <v>2027</v>
      </c>
      <c r="D576" s="19" t="n">
        <v>0.2833</v>
      </c>
      <c r="E576" s="19" t="inlineStr">
        <is>
          <t>NMIM v0.2 via MacroFiscalModels</t>
        </is>
      </c>
    </row>
    <row r="577">
      <c r="A577" s="19" t="inlineStr">
        <is>
          <t>RWA</t>
        </is>
      </c>
      <c r="B577" s="19" t="inlineStr">
        <is>
          <t>pub_spend</t>
        </is>
      </c>
      <c r="C577" s="19" t="n">
        <v>2028</v>
      </c>
      <c r="D577" s="19" t="n">
        <v>0.3535</v>
      </c>
      <c r="E577" s="19" t="inlineStr">
        <is>
          <t>NMIM v0.2 via MacroFiscalModels</t>
        </is>
      </c>
    </row>
    <row r="578">
      <c r="A578" s="19" t="inlineStr">
        <is>
          <t>RWA</t>
        </is>
      </c>
      <c r="B578" s="19" t="inlineStr">
        <is>
          <t>pub_spend</t>
        </is>
      </c>
      <c r="C578" s="19" t="n">
        <v>2029</v>
      </c>
      <c r="D578" s="19" t="n">
        <v>0.4144</v>
      </c>
      <c r="E578" s="19" t="inlineStr">
        <is>
          <t>NMIM v0.2 via MacroFiscalModels</t>
        </is>
      </c>
    </row>
    <row r="579">
      <c r="A579" s="19" t="inlineStr">
        <is>
          <t>RWA</t>
        </is>
      </c>
      <c r="B579" s="19" t="inlineStr">
        <is>
          <t>pub_spend</t>
        </is>
      </c>
      <c r="C579" s="19" t="n">
        <v>2030</v>
      </c>
      <c r="D579" s="19" t="n">
        <v>0.4671</v>
      </c>
      <c r="E579" s="19" t="inlineStr">
        <is>
          <t>NMIM v0.2 via MacroFiscalModels</t>
        </is>
      </c>
    </row>
    <row r="580">
      <c r="A580" s="19" t="inlineStr">
        <is>
          <t>RWA</t>
        </is>
      </c>
      <c r="B580" s="19" t="inlineStr">
        <is>
          <t>pub_spend</t>
        </is>
      </c>
      <c r="C580" s="19" t="n">
        <v>2031</v>
      </c>
      <c r="D580" s="19" t="n">
        <v>0.4515</v>
      </c>
      <c r="E580" s="19" t="inlineStr">
        <is>
          <t>NMIM v0.2 via MacroFiscalModels</t>
        </is>
      </c>
    </row>
    <row r="581">
      <c r="A581" s="19" t="inlineStr">
        <is>
          <t>RWA</t>
        </is>
      </c>
      <c r="B581" s="19" t="inlineStr">
        <is>
          <t>pub_spend</t>
        </is>
      </c>
      <c r="C581" s="19" t="n">
        <v>2032</v>
      </c>
      <c r="D581" s="19" t="n">
        <v>0.4369</v>
      </c>
      <c r="E581" s="19" t="inlineStr">
        <is>
          <t>NMIM v0.2 via MacroFiscalModels</t>
        </is>
      </c>
    </row>
    <row r="582">
      <c r="A582" s="19" t="inlineStr">
        <is>
          <t>RWA</t>
        </is>
      </c>
      <c r="B582" s="19" t="inlineStr">
        <is>
          <t>pub_spend</t>
        </is>
      </c>
      <c r="C582" s="19" t="n">
        <v>2033</v>
      </c>
      <c r="D582" s="19" t="n">
        <v>0.4233</v>
      </c>
      <c r="E582" s="19" t="inlineStr">
        <is>
          <t>NMIM v0.2 via MacroFiscalModels</t>
        </is>
      </c>
    </row>
    <row r="583">
      <c r="A583" s="19" t="inlineStr">
        <is>
          <t>RWA</t>
        </is>
      </c>
      <c r="B583" s="19" t="inlineStr">
        <is>
          <t>pub_spend</t>
        </is>
      </c>
      <c r="C583" s="19" t="n">
        <v>2034</v>
      </c>
      <c r="D583" s="19" t="n">
        <v>0.4106</v>
      </c>
      <c r="E583" s="19" t="inlineStr">
        <is>
          <t>NMIM v0.2 via MacroFiscalModels</t>
        </is>
      </c>
    </row>
    <row r="584">
      <c r="A584" s="19" t="inlineStr">
        <is>
          <t>RWA</t>
        </is>
      </c>
      <c r="B584" s="19" t="inlineStr">
        <is>
          <t>pub_spend</t>
        </is>
      </c>
      <c r="C584" s="19" t="n">
        <v>2035</v>
      </c>
      <c r="D584" s="19" t="n">
        <v>0.3988</v>
      </c>
      <c r="E584" s="19" t="inlineStr">
        <is>
          <t>NMIM v0.2 via MacroFiscalModels</t>
        </is>
      </c>
    </row>
    <row r="585">
      <c r="A585" s="19" t="inlineStr">
        <is>
          <t>RWA</t>
        </is>
      </c>
      <c r="B585" s="19" t="inlineStr">
        <is>
          <t>pub_spend</t>
        </is>
      </c>
      <c r="C585" s="19" t="n">
        <v>2036</v>
      </c>
      <c r="D585" s="19" t="n">
        <v>0.3878</v>
      </c>
      <c r="E585" s="19" t="inlineStr">
        <is>
          <t>NMIM v0.2 via MacroFiscalModels</t>
        </is>
      </c>
    </row>
    <row r="586">
      <c r="A586" s="19" t="inlineStr">
        <is>
          <t>RWA</t>
        </is>
      </c>
      <c r="B586" s="19" t="inlineStr">
        <is>
          <t>pub_spend</t>
        </is>
      </c>
      <c r="C586" s="19" t="n">
        <v>2037</v>
      </c>
      <c r="D586" s="19" t="n">
        <v>0.3777</v>
      </c>
      <c r="E586" s="19" t="inlineStr">
        <is>
          <t>NMIM v0.2 via MacroFiscalModels</t>
        </is>
      </c>
    </row>
    <row r="587">
      <c r="A587" s="19" t="inlineStr">
        <is>
          <t>RWA</t>
        </is>
      </c>
      <c r="B587" s="19" t="inlineStr">
        <is>
          <t>pub_spend</t>
        </is>
      </c>
      <c r="C587" s="19" t="n">
        <v>2038</v>
      </c>
      <c r="D587" s="19" t="n">
        <v>0.3683</v>
      </c>
      <c r="E587" s="19" t="inlineStr">
        <is>
          <t>NMIM v0.2 via MacroFiscalModels</t>
        </is>
      </c>
    </row>
    <row r="588">
      <c r="A588" s="19" t="inlineStr">
        <is>
          <t>RWA</t>
        </is>
      </c>
      <c r="B588" s="19" t="inlineStr">
        <is>
          <t>pub_spend</t>
        </is>
      </c>
      <c r="C588" s="19" t="n">
        <v>2039</v>
      </c>
      <c r="D588" s="19" t="n">
        <v>0.3596</v>
      </c>
      <c r="E588" s="19" t="inlineStr">
        <is>
          <t>NMIM v0.2 via MacroFiscalModels</t>
        </is>
      </c>
    </row>
    <row r="589">
      <c r="A589" s="19" t="inlineStr">
        <is>
          <t>RWA</t>
        </is>
      </c>
      <c r="B589" s="19" t="inlineStr">
        <is>
          <t>pub_spend</t>
        </is>
      </c>
      <c r="C589" s="19" t="n">
        <v>2040</v>
      </c>
      <c r="D589" s="19" t="n">
        <v>0.3516</v>
      </c>
      <c r="E589" s="19" t="inlineStr">
        <is>
          <t>NMIM v0.2 via MacroFiscalModels</t>
        </is>
      </c>
    </row>
    <row r="590">
      <c r="A590" s="19" t="inlineStr">
        <is>
          <t>RWA</t>
        </is>
      </c>
      <c r="B590" s="19" t="inlineStr">
        <is>
          <t>pub_spend</t>
        </is>
      </c>
      <c r="C590" s="19" t="n">
        <v>2041</v>
      </c>
      <c r="D590" s="19" t="n">
        <v>0.3436</v>
      </c>
      <c r="E590" s="19" t="inlineStr">
        <is>
          <t>NMIM v0.2 via MacroFiscalModels</t>
        </is>
      </c>
    </row>
    <row r="591">
      <c r="A591" s="19" t="inlineStr">
        <is>
          <t>RWA</t>
        </is>
      </c>
      <c r="B591" s="19" t="inlineStr">
        <is>
          <t>pub_spend</t>
        </is>
      </c>
      <c r="C591" s="19" t="n">
        <v>2042</v>
      </c>
      <c r="D591" s="19" t="n">
        <v>0.3357</v>
      </c>
      <c r="E591" s="19" t="inlineStr">
        <is>
          <t>NMIM v0.2 via MacroFiscalModels</t>
        </is>
      </c>
    </row>
    <row r="592">
      <c r="A592" s="19" t="inlineStr">
        <is>
          <t>RWA</t>
        </is>
      </c>
      <c r="B592" s="19" t="inlineStr">
        <is>
          <t>pub_spend</t>
        </is>
      </c>
      <c r="C592" s="19" t="n">
        <v>2043</v>
      </c>
      <c r="D592" s="19" t="n">
        <v>0.3278</v>
      </c>
      <c r="E592" s="19" t="inlineStr">
        <is>
          <t>NMIM v0.2 via MacroFiscalModels</t>
        </is>
      </c>
    </row>
    <row r="593">
      <c r="A593" s="19" t="inlineStr">
        <is>
          <t>RWA</t>
        </is>
      </c>
      <c r="B593" s="19" t="inlineStr">
        <is>
          <t>pub_spend</t>
        </is>
      </c>
      <c r="C593" s="19" t="n">
        <v>2044</v>
      </c>
      <c r="D593" s="19" t="n">
        <v>0.32</v>
      </c>
      <c r="E593" s="19" t="inlineStr">
        <is>
          <t>NMIM v0.2 via MacroFiscalModels</t>
        </is>
      </c>
    </row>
    <row r="594">
      <c r="A594" s="19" t="inlineStr">
        <is>
          <t>RWA</t>
        </is>
      </c>
      <c r="B594" s="19" t="inlineStr">
        <is>
          <t>pub_spend</t>
        </is>
      </c>
      <c r="C594" s="19" t="n">
        <v>2045</v>
      </c>
      <c r="D594" s="19" t="n">
        <v>0.3122</v>
      </c>
      <c r="E594" s="19" t="inlineStr">
        <is>
          <t>NMIM v0.2 via MacroFiscalModels</t>
        </is>
      </c>
    </row>
    <row r="595">
      <c r="A595" s="19" t="inlineStr">
        <is>
          <t>RWA</t>
        </is>
      </c>
      <c r="B595" s="19" t="inlineStr">
        <is>
          <t>pub_spend</t>
        </is>
      </c>
      <c r="C595" s="19" t="n">
        <v>2046</v>
      </c>
      <c r="D595" s="19" t="n">
        <v>0.3045</v>
      </c>
      <c r="E595" s="19" t="inlineStr">
        <is>
          <t>NMIM v0.2 via MacroFiscalModels</t>
        </is>
      </c>
    </row>
    <row r="596">
      <c r="A596" s="19" t="inlineStr">
        <is>
          <t>RWA</t>
        </is>
      </c>
      <c r="B596" s="19" t="inlineStr">
        <is>
          <t>pub_spend</t>
        </is>
      </c>
      <c r="C596" s="19" t="n">
        <v>2047</v>
      </c>
      <c r="D596" s="19" t="n">
        <v>0.2969</v>
      </c>
      <c r="E596" s="19" t="inlineStr">
        <is>
          <t>NMIM v0.2 via MacroFiscalModels</t>
        </is>
      </c>
    </row>
    <row r="597">
      <c r="A597" s="19" t="inlineStr">
        <is>
          <t>RWA</t>
        </is>
      </c>
      <c r="B597" s="19" t="inlineStr">
        <is>
          <t>pub_spend</t>
        </is>
      </c>
      <c r="C597" s="19" t="n">
        <v>2048</v>
      </c>
      <c r="D597" s="19" t="n">
        <v>0.2894</v>
      </c>
      <c r="E597" s="19" t="inlineStr">
        <is>
          <t>NMIM v0.2 via MacroFiscalModels</t>
        </is>
      </c>
    </row>
    <row r="598">
      <c r="A598" s="19" t="inlineStr">
        <is>
          <t>RWA</t>
        </is>
      </c>
      <c r="B598" s="19" t="inlineStr">
        <is>
          <t>pub_spend</t>
        </is>
      </c>
      <c r="C598" s="19" t="n">
        <v>2049</v>
      </c>
      <c r="D598" s="19" t="n">
        <v>0.282</v>
      </c>
      <c r="E598" s="19" t="inlineStr">
        <is>
          <t>NMIM v0.2 via MacroFiscalModels</t>
        </is>
      </c>
    </row>
    <row r="599">
      <c r="A599" s="19" t="inlineStr">
        <is>
          <t>RWA</t>
        </is>
      </c>
      <c r="B599" s="19" t="inlineStr">
        <is>
          <t>pub_spend</t>
        </is>
      </c>
      <c r="C599" s="19" t="n">
        <v>2050</v>
      </c>
      <c r="D599" s="19" t="n">
        <v>0.2746</v>
      </c>
      <c r="E599" s="19" t="inlineStr">
        <is>
          <t>NMIM v0.2 via MacroFiscalModels</t>
        </is>
      </c>
    </row>
    <row r="600">
      <c r="A600" s="19" t="inlineStr">
        <is>
          <t>RWA</t>
        </is>
      </c>
      <c r="B600" s="19" t="inlineStr">
        <is>
          <t>rev</t>
        </is>
      </c>
      <c r="C600" s="19" t="n">
        <v>2025</v>
      </c>
      <c r="D600" s="19" t="n">
        <v>0.0895</v>
      </c>
      <c r="E600" s="19" t="inlineStr">
        <is>
          <t>PriceFeasibility v0.1 x NMIM power CO2</t>
        </is>
      </c>
    </row>
    <row r="601">
      <c r="A601" s="19" t="inlineStr">
        <is>
          <t>RWA</t>
        </is>
      </c>
      <c r="B601" s="19" t="inlineStr">
        <is>
          <t>rev</t>
        </is>
      </c>
      <c r="C601" s="19" t="n">
        <v>2026</v>
      </c>
      <c r="D601" s="19" t="n">
        <v>0.08587</v>
      </c>
      <c r="E601" s="19" t="inlineStr">
        <is>
          <t>PriceFeasibility v0.1 x NMIM power CO2</t>
        </is>
      </c>
    </row>
    <row r="602">
      <c r="A602" s="19" t="inlineStr">
        <is>
          <t>RWA</t>
        </is>
      </c>
      <c r="B602" s="19" t="inlineStr">
        <is>
          <t>rev</t>
        </is>
      </c>
      <c r="C602" s="19" t="n">
        <v>2027</v>
      </c>
      <c r="D602" s="19" t="n">
        <v>0.08227</v>
      </c>
      <c r="E602" s="19" t="inlineStr">
        <is>
          <t>PriceFeasibility v0.1 x NMIM power CO2</t>
        </is>
      </c>
    </row>
    <row r="603">
      <c r="A603" s="19" t="inlineStr">
        <is>
          <t>RWA</t>
        </is>
      </c>
      <c r="B603" s="19" t="inlineStr">
        <is>
          <t>rev</t>
        </is>
      </c>
      <c r="C603" s="19" t="n">
        <v>2028</v>
      </c>
      <c r="D603" s="19" t="n">
        <v>0.07865</v>
      </c>
      <c r="E603" s="19" t="inlineStr">
        <is>
          <t>PriceFeasibility v0.1 x NMIM power CO2</t>
        </is>
      </c>
    </row>
    <row r="604">
      <c r="A604" s="19" t="inlineStr">
        <is>
          <t>RWA</t>
        </is>
      </c>
      <c r="B604" s="19" t="inlineStr">
        <is>
          <t>rev</t>
        </is>
      </c>
      <c r="C604" s="19" t="n">
        <v>2029</v>
      </c>
      <c r="D604" s="19" t="n">
        <v>0.07499</v>
      </c>
      <c r="E604" s="19" t="inlineStr">
        <is>
          <t>PriceFeasibility v0.1 x NMIM power CO2</t>
        </is>
      </c>
    </row>
    <row r="605">
      <c r="A605" s="19" t="inlineStr">
        <is>
          <t>RWA</t>
        </is>
      </c>
      <c r="B605" s="19" t="inlineStr">
        <is>
          <t>rev</t>
        </is>
      </c>
      <c r="C605" s="19" t="n">
        <v>2030</v>
      </c>
      <c r="D605" s="19" t="n">
        <v>0.07126</v>
      </c>
      <c r="E605" s="19" t="inlineStr">
        <is>
          <t>PriceFeasibility v0.1 x NMIM power CO2</t>
        </is>
      </c>
    </row>
    <row r="606">
      <c r="A606" s="19" t="inlineStr">
        <is>
          <t>RWA</t>
        </is>
      </c>
      <c r="B606" s="19" t="inlineStr">
        <is>
          <t>rev</t>
        </is>
      </c>
      <c r="C606" s="19" t="n">
        <v>2031</v>
      </c>
      <c r="D606" s="19" t="n">
        <v>0.06743</v>
      </c>
      <c r="E606" s="19" t="inlineStr">
        <is>
          <t>PriceFeasibility v0.1 x NMIM power CO2</t>
        </is>
      </c>
    </row>
    <row r="607">
      <c r="A607" s="19" t="inlineStr">
        <is>
          <t>RWA</t>
        </is>
      </c>
      <c r="B607" s="19" t="inlineStr">
        <is>
          <t>rev</t>
        </is>
      </c>
      <c r="C607" s="19" t="n">
        <v>2032</v>
      </c>
      <c r="D607" s="19" t="n">
        <v>0.06349</v>
      </c>
      <c r="E607" s="19" t="inlineStr">
        <is>
          <t>PriceFeasibility v0.1 x NMIM power CO2</t>
        </is>
      </c>
    </row>
    <row r="608">
      <c r="A608" s="19" t="inlineStr">
        <is>
          <t>RWA</t>
        </is>
      </c>
      <c r="B608" s="19" t="inlineStr">
        <is>
          <t>rev</t>
        </is>
      </c>
      <c r="C608" s="19" t="n">
        <v>2033</v>
      </c>
      <c r="D608" s="19" t="n">
        <v>0.05943</v>
      </c>
      <c r="E608" s="19" t="inlineStr">
        <is>
          <t>PriceFeasibility v0.1 x NMIM power CO2</t>
        </is>
      </c>
    </row>
    <row r="609">
      <c r="A609" s="19" t="inlineStr">
        <is>
          <t>RWA</t>
        </is>
      </c>
      <c r="B609" s="19" t="inlineStr">
        <is>
          <t>rev</t>
        </is>
      </c>
      <c r="C609" s="19" t="n">
        <v>2034</v>
      </c>
      <c r="D609" s="19" t="n">
        <v>0.05524</v>
      </c>
      <c r="E609" s="19" t="inlineStr">
        <is>
          <t>PriceFeasibility v0.1 x NMIM power CO2</t>
        </is>
      </c>
    </row>
    <row r="610">
      <c r="A610" s="19" t="inlineStr">
        <is>
          <t>RWA</t>
        </is>
      </c>
      <c r="B610" s="19" t="inlineStr">
        <is>
          <t>rev</t>
        </is>
      </c>
      <c r="C610" s="19" t="n">
        <v>2035</v>
      </c>
      <c r="D610" s="19" t="n">
        <v>0.05091</v>
      </c>
      <c r="E610" s="19" t="inlineStr">
        <is>
          <t>PriceFeasibility v0.1 x NMIM power CO2</t>
        </is>
      </c>
    </row>
    <row r="611">
      <c r="A611" s="19" t="inlineStr">
        <is>
          <t>RWA</t>
        </is>
      </c>
      <c r="B611" s="19" t="inlineStr">
        <is>
          <t>rev</t>
        </is>
      </c>
      <c r="C611" s="19" t="n">
        <v>2036</v>
      </c>
      <c r="D611" s="19" t="n">
        <v>0.04645</v>
      </c>
      <c r="E611" s="19" t="inlineStr">
        <is>
          <t>PriceFeasibility v0.1 x NMIM power CO2</t>
        </is>
      </c>
    </row>
    <row r="612">
      <c r="A612" s="19" t="inlineStr">
        <is>
          <t>RWA</t>
        </is>
      </c>
      <c r="B612" s="19" t="inlineStr">
        <is>
          <t>rev</t>
        </is>
      </c>
      <c r="C612" s="19" t="n">
        <v>2037</v>
      </c>
      <c r="D612" s="19" t="n">
        <v>0.04184</v>
      </c>
      <c r="E612" s="19" t="inlineStr">
        <is>
          <t>PriceFeasibility v0.1 x NMIM power CO2</t>
        </is>
      </c>
    </row>
    <row r="613">
      <c r="A613" s="19" t="inlineStr">
        <is>
          <t>RWA</t>
        </is>
      </c>
      <c r="B613" s="19" t="inlineStr">
        <is>
          <t>rev</t>
        </is>
      </c>
      <c r="C613" s="19" t="n">
        <v>2038</v>
      </c>
      <c r="D613" s="19" t="n">
        <v>0.0371</v>
      </c>
      <c r="E613" s="19" t="inlineStr">
        <is>
          <t>PriceFeasibility v0.1 x NMIM power CO2</t>
        </is>
      </c>
    </row>
    <row r="614">
      <c r="A614" s="19" t="inlineStr">
        <is>
          <t>RWA</t>
        </is>
      </c>
      <c r="B614" s="19" t="inlineStr">
        <is>
          <t>rev</t>
        </is>
      </c>
      <c r="C614" s="19" t="n">
        <v>2039</v>
      </c>
      <c r="D614" s="19" t="n">
        <v>0.03221</v>
      </c>
      <c r="E614" s="19" t="inlineStr">
        <is>
          <t>PriceFeasibility v0.1 x NMIM power CO2</t>
        </is>
      </c>
    </row>
    <row r="615">
      <c r="A615" s="19" t="inlineStr">
        <is>
          <t>RWA</t>
        </is>
      </c>
      <c r="B615" s="19" t="inlineStr">
        <is>
          <t>rev</t>
        </is>
      </c>
      <c r="C615" s="19" t="n">
        <v>2040</v>
      </c>
      <c r="D615" s="19" t="n">
        <v>0.02719</v>
      </c>
      <c r="E615" s="19" t="inlineStr">
        <is>
          <t>PriceFeasibility v0.1 x NMIM power CO2</t>
        </is>
      </c>
    </row>
    <row r="616">
      <c r="A616" s="19" t="inlineStr">
        <is>
          <t>RWA</t>
        </is>
      </c>
      <c r="B616" s="19" t="inlineStr">
        <is>
          <t>rev</t>
        </is>
      </c>
      <c r="C616" s="19" t="n">
        <v>2041</v>
      </c>
      <c r="D616" s="19" t="n">
        <v>0.02198</v>
      </c>
      <c r="E616" s="19" t="inlineStr">
        <is>
          <t>PriceFeasibility v0.1 x NMIM power CO2</t>
        </is>
      </c>
    </row>
    <row r="617">
      <c r="A617" s="19" t="inlineStr">
        <is>
          <t>RWA</t>
        </is>
      </c>
      <c r="B617" s="19" t="inlineStr">
        <is>
          <t>rev</t>
        </is>
      </c>
      <c r="C617" s="19" t="n">
        <v>2042</v>
      </c>
      <c r="D617" s="19" t="n">
        <v>0.01663</v>
      </c>
      <c r="E617" s="19" t="inlineStr">
        <is>
          <t>PriceFeasibility v0.1 x NMIM power CO2</t>
        </is>
      </c>
    </row>
    <row r="618">
      <c r="A618" s="19" t="inlineStr">
        <is>
          <t>RWA</t>
        </is>
      </c>
      <c r="B618" s="19" t="inlineStr">
        <is>
          <t>rev</t>
        </is>
      </c>
      <c r="C618" s="19" t="n">
        <v>2043</v>
      </c>
      <c r="D618" s="19" t="n">
        <v>0.01116</v>
      </c>
      <c r="E618" s="19" t="inlineStr">
        <is>
          <t>PriceFeasibility v0.1 x NMIM power CO2</t>
        </is>
      </c>
    </row>
    <row r="619">
      <c r="A619" s="19" t="inlineStr">
        <is>
          <t>RWA</t>
        </is>
      </c>
      <c r="B619" s="19" t="inlineStr">
        <is>
          <t>rev</t>
        </is>
      </c>
      <c r="C619" s="19" t="n">
        <v>2044</v>
      </c>
      <c r="D619" s="19" t="n">
        <v>0.00561</v>
      </c>
      <c r="E619" s="19" t="inlineStr">
        <is>
          <t>PriceFeasibility v0.1 x NMIM power CO2</t>
        </is>
      </c>
    </row>
    <row r="620">
      <c r="A620" s="19" t="inlineStr">
        <is>
          <t>RWA</t>
        </is>
      </c>
      <c r="B620" s="19" t="inlineStr">
        <is>
          <t>rev</t>
        </is>
      </c>
      <c r="C620" s="19" t="n">
        <v>2045</v>
      </c>
      <c r="D620" s="19" t="n">
        <v>0</v>
      </c>
      <c r="E620" s="19" t="inlineStr">
        <is>
          <t>PriceFeasibility v0.1 x NMIM power CO2</t>
        </is>
      </c>
    </row>
    <row r="621">
      <c r="A621" s="19" t="inlineStr">
        <is>
          <t>RWA</t>
        </is>
      </c>
      <c r="B621" s="19" t="inlineStr">
        <is>
          <t>rev</t>
        </is>
      </c>
      <c r="C621" s="19" t="n">
        <v>2046</v>
      </c>
      <c r="D621" s="19" t="n">
        <v>0</v>
      </c>
      <c r="E621" s="19" t="inlineStr">
        <is>
          <t>PriceFeasibility v0.1 x NMIM power CO2</t>
        </is>
      </c>
    </row>
    <row r="622">
      <c r="A622" s="19" t="inlineStr">
        <is>
          <t>RWA</t>
        </is>
      </c>
      <c r="B622" s="19" t="inlineStr">
        <is>
          <t>rev</t>
        </is>
      </c>
      <c r="C622" s="19" t="n">
        <v>2047</v>
      </c>
      <c r="D622" s="19" t="n">
        <v>0</v>
      </c>
      <c r="E622" s="19" t="inlineStr">
        <is>
          <t>PriceFeasibility v0.1 x NMIM power CO2</t>
        </is>
      </c>
    </row>
    <row r="623">
      <c r="A623" s="19" t="inlineStr">
        <is>
          <t>RWA</t>
        </is>
      </c>
      <c r="B623" s="19" t="inlineStr">
        <is>
          <t>rev</t>
        </is>
      </c>
      <c r="C623" s="19" t="n">
        <v>2048</v>
      </c>
      <c r="D623" s="19" t="n">
        <v>0</v>
      </c>
      <c r="E623" s="19" t="inlineStr">
        <is>
          <t>PriceFeasibility v0.1 x NMIM power CO2</t>
        </is>
      </c>
    </row>
    <row r="624">
      <c r="A624" s="19" t="inlineStr">
        <is>
          <t>RWA</t>
        </is>
      </c>
      <c r="B624" s="19" t="inlineStr">
        <is>
          <t>rev</t>
        </is>
      </c>
      <c r="C624" s="19" t="n">
        <v>2049</v>
      </c>
      <c r="D624" s="19" t="n">
        <v>0</v>
      </c>
      <c r="E624" s="19" t="inlineStr">
        <is>
          <t>PriceFeasibility v0.1 x NMIM power CO2</t>
        </is>
      </c>
    </row>
    <row r="625">
      <c r="A625" s="19" t="inlineStr">
        <is>
          <t>RWA</t>
        </is>
      </c>
      <c r="B625" s="19" t="inlineStr">
        <is>
          <t>rev</t>
        </is>
      </c>
      <c r="C625" s="19" t="n">
        <v>2050</v>
      </c>
      <c r="D625" s="19" t="n">
        <v>0</v>
      </c>
      <c r="E625" s="19" t="inlineStr">
        <is>
          <t>PriceFeasibility v0.1 x NMIM power CO2</t>
        </is>
      </c>
    </row>
    <row r="626">
      <c r="A626" s="19" t="inlineStr">
        <is>
          <t>SEN</t>
        </is>
      </c>
      <c r="B626" s="19" t="inlineStr">
        <is>
          <t>pub_cap</t>
        </is>
      </c>
      <c r="C626" s="19" t="n">
        <v>2025</v>
      </c>
      <c r="D626" s="19" t="n">
        <v>0.1549</v>
      </c>
      <c r="E626" s="19" t="inlineStr">
        <is>
          <t>NMIM v0.2 via MacroFiscalModels</t>
        </is>
      </c>
    </row>
    <row r="627">
      <c r="A627" s="19" t="inlineStr">
        <is>
          <t>SEN</t>
        </is>
      </c>
      <c r="B627" s="19" t="inlineStr">
        <is>
          <t>pub_cap</t>
        </is>
      </c>
      <c r="C627" s="19" t="n">
        <v>2026</v>
      </c>
      <c r="D627" s="19" t="n">
        <v>0.1667</v>
      </c>
      <c r="E627" s="19" t="inlineStr">
        <is>
          <t>NMIM v0.2 via MacroFiscalModels</t>
        </is>
      </c>
    </row>
    <row r="628">
      <c r="A628" s="19" t="inlineStr">
        <is>
          <t>SEN</t>
        </is>
      </c>
      <c r="B628" s="19" t="inlineStr">
        <is>
          <t>pub_cap</t>
        </is>
      </c>
      <c r="C628" s="19" t="n">
        <v>2027</v>
      </c>
      <c r="D628" s="19" t="n">
        <v>0.1836</v>
      </c>
      <c r="E628" s="19" t="inlineStr">
        <is>
          <t>NMIM v0.2 via MacroFiscalModels</t>
        </is>
      </c>
    </row>
    <row r="629">
      <c r="A629" s="19" t="inlineStr">
        <is>
          <t>SEN</t>
        </is>
      </c>
      <c r="B629" s="19" t="inlineStr">
        <is>
          <t>pub_cap</t>
        </is>
      </c>
      <c r="C629" s="19" t="n">
        <v>2028</v>
      </c>
      <c r="D629" s="19" t="n">
        <v>0.1932</v>
      </c>
      <c r="E629" s="19" t="inlineStr">
        <is>
          <t>NMIM v0.2 via MacroFiscalModels</t>
        </is>
      </c>
    </row>
    <row r="630">
      <c r="A630" s="19" t="inlineStr">
        <is>
          <t>SEN</t>
        </is>
      </c>
      <c r="B630" s="19" t="inlineStr">
        <is>
          <t>pub_cap</t>
        </is>
      </c>
      <c r="C630" s="19" t="n">
        <v>2029</v>
      </c>
      <c r="D630" s="19" t="n">
        <v>0.1954</v>
      </c>
      <c r="E630" s="19" t="inlineStr">
        <is>
          <t>NMIM v0.2 via MacroFiscalModels</t>
        </is>
      </c>
    </row>
    <row r="631">
      <c r="A631" s="19" t="inlineStr">
        <is>
          <t>SEN</t>
        </is>
      </c>
      <c r="B631" s="19" t="inlineStr">
        <is>
          <t>pub_cap</t>
        </is>
      </c>
      <c r="C631" s="19" t="n">
        <v>2030</v>
      </c>
      <c r="D631" s="19" t="n">
        <v>0.1906</v>
      </c>
      <c r="E631" s="19" t="inlineStr">
        <is>
          <t>NMIM v0.2 via MacroFiscalModels</t>
        </is>
      </c>
    </row>
    <row r="632">
      <c r="A632" s="19" t="inlineStr">
        <is>
          <t>SEN</t>
        </is>
      </c>
      <c r="B632" s="19" t="inlineStr">
        <is>
          <t>pub_cap</t>
        </is>
      </c>
      <c r="C632" s="19" t="n">
        <v>2031</v>
      </c>
      <c r="D632" s="19" t="n">
        <v>0.179</v>
      </c>
      <c r="E632" s="19" t="inlineStr">
        <is>
          <t>NMIM v0.2 via MacroFiscalModels</t>
        </is>
      </c>
    </row>
    <row r="633">
      <c r="A633" s="19" t="inlineStr">
        <is>
          <t>SEN</t>
        </is>
      </c>
      <c r="B633" s="19" t="inlineStr">
        <is>
          <t>pub_cap</t>
        </is>
      </c>
      <c r="C633" s="19" t="n">
        <v>2032</v>
      </c>
      <c r="D633" s="19" t="n">
        <v>0.1606</v>
      </c>
      <c r="E633" s="19" t="inlineStr">
        <is>
          <t>NMIM v0.2 via MacroFiscalModels</t>
        </is>
      </c>
    </row>
    <row r="634">
      <c r="A634" s="19" t="inlineStr">
        <is>
          <t>SEN</t>
        </is>
      </c>
      <c r="B634" s="19" t="inlineStr">
        <is>
          <t>pub_cap</t>
        </is>
      </c>
      <c r="C634" s="19" t="n">
        <v>2033</v>
      </c>
      <c r="D634" s="19" t="n">
        <v>0.1671</v>
      </c>
      <c r="E634" s="19" t="inlineStr">
        <is>
          <t>NMIM v0.2 via MacroFiscalModels</t>
        </is>
      </c>
    </row>
    <row r="635">
      <c r="A635" s="19" t="inlineStr">
        <is>
          <t>SEN</t>
        </is>
      </c>
      <c r="B635" s="19" t="inlineStr">
        <is>
          <t>pub_cap</t>
        </is>
      </c>
      <c r="C635" s="19" t="n">
        <v>2034</v>
      </c>
      <c r="D635" s="19" t="n">
        <v>0.1737</v>
      </c>
      <c r="E635" s="19" t="inlineStr">
        <is>
          <t>NMIM v0.2 via MacroFiscalModels</t>
        </is>
      </c>
    </row>
    <row r="636">
      <c r="A636" s="19" t="inlineStr">
        <is>
          <t>SEN</t>
        </is>
      </c>
      <c r="B636" s="19" t="inlineStr">
        <is>
          <t>pub_cap</t>
        </is>
      </c>
      <c r="C636" s="19" t="n">
        <v>2035</v>
      </c>
      <c r="D636" s="19" t="n">
        <v>0.1821</v>
      </c>
      <c r="E636" s="19" t="inlineStr">
        <is>
          <t>NMIM v0.2 via MacroFiscalModels</t>
        </is>
      </c>
    </row>
    <row r="637">
      <c r="A637" s="19" t="inlineStr">
        <is>
          <t>SEN</t>
        </is>
      </c>
      <c r="B637" s="19" t="inlineStr">
        <is>
          <t>pub_cap</t>
        </is>
      </c>
      <c r="C637" s="19" t="n">
        <v>2036</v>
      </c>
      <c r="D637" s="19" t="n">
        <v>0.1915</v>
      </c>
      <c r="E637" s="19" t="inlineStr">
        <is>
          <t>NMIM v0.2 via MacroFiscalModels</t>
        </is>
      </c>
    </row>
    <row r="638">
      <c r="A638" s="19" t="inlineStr">
        <is>
          <t>SEN</t>
        </is>
      </c>
      <c r="B638" s="19" t="inlineStr">
        <is>
          <t>pub_cap</t>
        </is>
      </c>
      <c r="C638" s="19" t="n">
        <v>2037</v>
      </c>
      <c r="D638" s="19" t="n">
        <v>0.2008</v>
      </c>
      <c r="E638" s="19" t="inlineStr">
        <is>
          <t>NMIM v0.2 via MacroFiscalModels</t>
        </is>
      </c>
    </row>
    <row r="639">
      <c r="A639" s="19" t="inlineStr">
        <is>
          <t>SEN</t>
        </is>
      </c>
      <c r="B639" s="19" t="inlineStr">
        <is>
          <t>pub_cap</t>
        </is>
      </c>
      <c r="C639" s="19" t="n">
        <v>2038</v>
      </c>
      <c r="D639" s="19" t="n">
        <v>0.21</v>
      </c>
      <c r="E639" s="19" t="inlineStr">
        <is>
          <t>NMIM v0.2 via MacroFiscalModels</t>
        </is>
      </c>
    </row>
    <row r="640">
      <c r="A640" s="19" t="inlineStr">
        <is>
          <t>SEN</t>
        </is>
      </c>
      <c r="B640" s="19" t="inlineStr">
        <is>
          <t>pub_cap</t>
        </is>
      </c>
      <c r="C640" s="19" t="n">
        <v>2039</v>
      </c>
      <c r="D640" s="19" t="n">
        <v>0.219</v>
      </c>
      <c r="E640" s="19" t="inlineStr">
        <is>
          <t>NMIM v0.2 via MacroFiscalModels</t>
        </is>
      </c>
    </row>
    <row r="641">
      <c r="A641" s="19" t="inlineStr">
        <is>
          <t>SEN</t>
        </is>
      </c>
      <c r="B641" s="19" t="inlineStr">
        <is>
          <t>pub_cap</t>
        </is>
      </c>
      <c r="C641" s="19" t="n">
        <v>2040</v>
      </c>
      <c r="D641" s="19" t="n">
        <v>0.2279</v>
      </c>
      <c r="E641" s="19" t="inlineStr">
        <is>
          <t>NMIM v0.2 via MacroFiscalModels</t>
        </is>
      </c>
    </row>
    <row r="642">
      <c r="A642" s="19" t="inlineStr">
        <is>
          <t>SEN</t>
        </is>
      </c>
      <c r="B642" s="19" t="inlineStr">
        <is>
          <t>pub_cap</t>
        </is>
      </c>
      <c r="C642" s="19" t="n">
        <v>2041</v>
      </c>
      <c r="D642" s="19" t="n">
        <v>0.2279</v>
      </c>
      <c r="E642" s="19" t="inlineStr">
        <is>
          <t>NMIM v0.2 via MacroFiscalModels</t>
        </is>
      </c>
    </row>
    <row r="643">
      <c r="A643" s="19" t="inlineStr">
        <is>
          <t>SEN</t>
        </is>
      </c>
      <c r="B643" s="19" t="inlineStr">
        <is>
          <t>pub_cap</t>
        </is>
      </c>
      <c r="C643" s="19" t="n">
        <v>2042</v>
      </c>
      <c r="D643" s="19" t="n">
        <v>0.2262</v>
      </c>
      <c r="E643" s="19" t="inlineStr">
        <is>
          <t>NMIM v0.2 via MacroFiscalModels</t>
        </is>
      </c>
    </row>
    <row r="644">
      <c r="A644" s="19" t="inlineStr">
        <is>
          <t>SEN</t>
        </is>
      </c>
      <c r="B644" s="19" t="inlineStr">
        <is>
          <t>pub_cap</t>
        </is>
      </c>
      <c r="C644" s="19" t="n">
        <v>2043</v>
      </c>
      <c r="D644" s="19" t="n">
        <v>0.2243</v>
      </c>
      <c r="E644" s="19" t="inlineStr">
        <is>
          <t>NMIM v0.2 via MacroFiscalModels</t>
        </is>
      </c>
    </row>
    <row r="645">
      <c r="A645" s="19" t="inlineStr">
        <is>
          <t>SEN</t>
        </is>
      </c>
      <c r="B645" s="19" t="inlineStr">
        <is>
          <t>pub_cap</t>
        </is>
      </c>
      <c r="C645" s="19" t="n">
        <v>2044</v>
      </c>
      <c r="D645" s="19" t="n">
        <v>0.2223</v>
      </c>
      <c r="E645" s="19" t="inlineStr">
        <is>
          <t>NMIM v0.2 via MacroFiscalModels</t>
        </is>
      </c>
    </row>
    <row r="646">
      <c r="A646" s="19" t="inlineStr">
        <is>
          <t>SEN</t>
        </is>
      </c>
      <c r="B646" s="19" t="inlineStr">
        <is>
          <t>pub_cap</t>
        </is>
      </c>
      <c r="C646" s="19" t="n">
        <v>2045</v>
      </c>
      <c r="D646" s="19" t="n">
        <v>0.2201</v>
      </c>
      <c r="E646" s="19" t="inlineStr">
        <is>
          <t>NMIM v0.2 via MacroFiscalModels</t>
        </is>
      </c>
    </row>
    <row r="647">
      <c r="A647" s="19" t="inlineStr">
        <is>
          <t>SEN</t>
        </is>
      </c>
      <c r="B647" s="19" t="inlineStr">
        <is>
          <t>pub_cap</t>
        </is>
      </c>
      <c r="C647" s="19" t="n">
        <v>2046</v>
      </c>
      <c r="D647" s="19" t="n">
        <v>0.178</v>
      </c>
      <c r="E647" s="19" t="inlineStr">
        <is>
          <t>NMIM v0.2 via MacroFiscalModels</t>
        </is>
      </c>
    </row>
    <row r="648">
      <c r="A648" s="19" t="inlineStr">
        <is>
          <t>SEN</t>
        </is>
      </c>
      <c r="B648" s="19" t="inlineStr">
        <is>
          <t>pub_cap</t>
        </is>
      </c>
      <c r="C648" s="19" t="n">
        <v>2047</v>
      </c>
      <c r="D648" s="19" t="n">
        <v>0.1735</v>
      </c>
      <c r="E648" s="19" t="inlineStr">
        <is>
          <t>NMIM v0.2 via MacroFiscalModels</t>
        </is>
      </c>
    </row>
    <row r="649">
      <c r="A649" s="19" t="inlineStr">
        <is>
          <t>SEN</t>
        </is>
      </c>
      <c r="B649" s="19" t="inlineStr">
        <is>
          <t>pub_cap</t>
        </is>
      </c>
      <c r="C649" s="19" t="n">
        <v>2048</v>
      </c>
      <c r="D649" s="19" t="n">
        <v>0.1691</v>
      </c>
      <c r="E649" s="19" t="inlineStr">
        <is>
          <t>NMIM v0.2 via MacroFiscalModels</t>
        </is>
      </c>
    </row>
    <row r="650">
      <c r="A650" s="19" t="inlineStr">
        <is>
          <t>SEN</t>
        </is>
      </c>
      <c r="B650" s="19" t="inlineStr">
        <is>
          <t>pub_cap</t>
        </is>
      </c>
      <c r="C650" s="19" t="n">
        <v>2049</v>
      </c>
      <c r="D650" s="19" t="n">
        <v>0.1648</v>
      </c>
      <c r="E650" s="19" t="inlineStr">
        <is>
          <t>NMIM v0.2 via MacroFiscalModels</t>
        </is>
      </c>
    </row>
    <row r="651">
      <c r="A651" s="19" t="inlineStr">
        <is>
          <t>SEN</t>
        </is>
      </c>
      <c r="B651" s="19" t="inlineStr">
        <is>
          <t>pub_cap</t>
        </is>
      </c>
      <c r="C651" s="19" t="n">
        <v>2050</v>
      </c>
      <c r="D651" s="19" t="n">
        <v>0.1607</v>
      </c>
      <c r="E651" s="19" t="inlineStr">
        <is>
          <t>NMIM v0.2 via MacroFiscalModels</t>
        </is>
      </c>
    </row>
    <row r="652">
      <c r="A652" s="19" t="inlineStr">
        <is>
          <t>SEN</t>
        </is>
      </c>
      <c r="B652" s="19" t="inlineStr">
        <is>
          <t>pub_spend</t>
        </is>
      </c>
      <c r="C652" s="19" t="n">
        <v>2025</v>
      </c>
      <c r="D652" s="19" t="n">
        <v>0.1482</v>
      </c>
      <c r="E652" s="19" t="inlineStr">
        <is>
          <t>NMIM v0.2 via MacroFiscalModels</t>
        </is>
      </c>
    </row>
    <row r="653">
      <c r="A653" s="19" t="inlineStr">
        <is>
          <t>SEN</t>
        </is>
      </c>
      <c r="B653" s="19" t="inlineStr">
        <is>
          <t>pub_spend</t>
        </is>
      </c>
      <c r="C653" s="19" t="n">
        <v>2026</v>
      </c>
      <c r="D653" s="19" t="n">
        <v>0.2902</v>
      </c>
      <c r="E653" s="19" t="inlineStr">
        <is>
          <t>NMIM v0.2 via MacroFiscalModels</t>
        </is>
      </c>
    </row>
    <row r="654">
      <c r="A654" s="19" t="inlineStr">
        <is>
          <t>SEN</t>
        </is>
      </c>
      <c r="B654" s="19" t="inlineStr">
        <is>
          <t>pub_spend</t>
        </is>
      </c>
      <c r="C654" s="19" t="n">
        <v>2027</v>
      </c>
      <c r="D654" s="19" t="n">
        <v>0.4253</v>
      </c>
      <c r="E654" s="19" t="inlineStr">
        <is>
          <t>NMIM v0.2 via MacroFiscalModels</t>
        </is>
      </c>
    </row>
    <row r="655">
      <c r="A655" s="19" t="inlineStr">
        <is>
          <t>SEN</t>
        </is>
      </c>
      <c r="B655" s="19" t="inlineStr">
        <is>
          <t>pub_spend</t>
        </is>
      </c>
      <c r="C655" s="19" t="n">
        <v>2028</v>
      </c>
      <c r="D655" s="19" t="n">
        <v>0.5533</v>
      </c>
      <c r="E655" s="19" t="inlineStr">
        <is>
          <t>NMIM v0.2 via MacroFiscalModels</t>
        </is>
      </c>
    </row>
    <row r="656">
      <c r="A656" s="19" t="inlineStr">
        <is>
          <t>SEN</t>
        </is>
      </c>
      <c r="B656" s="19" t="inlineStr">
        <is>
          <t>pub_spend</t>
        </is>
      </c>
      <c r="C656" s="19" t="n">
        <v>2029</v>
      </c>
      <c r="D656" s="19" t="n">
        <v>0.6736</v>
      </c>
      <c r="E656" s="19" t="inlineStr">
        <is>
          <t>NMIM v0.2 via MacroFiscalModels</t>
        </is>
      </c>
    </row>
    <row r="657">
      <c r="A657" s="19" t="inlineStr">
        <is>
          <t>SEN</t>
        </is>
      </c>
      <c r="B657" s="19" t="inlineStr">
        <is>
          <t>pub_spend</t>
        </is>
      </c>
      <c r="C657" s="19" t="n">
        <v>2030</v>
      </c>
      <c r="D657" s="19" t="n">
        <v>0.786</v>
      </c>
      <c r="E657" s="19" t="inlineStr">
        <is>
          <t>NMIM v0.2 via MacroFiscalModels</t>
        </is>
      </c>
    </row>
    <row r="658">
      <c r="A658" s="19" t="inlineStr">
        <is>
          <t>SEN</t>
        </is>
      </c>
      <c r="B658" s="19" t="inlineStr">
        <is>
          <t>pub_spend</t>
        </is>
      </c>
      <c r="C658" s="19" t="n">
        <v>2031</v>
      </c>
      <c r="D658" s="19" t="n">
        <v>0.7788</v>
      </c>
      <c r="E658" s="19" t="inlineStr">
        <is>
          <t>NMIM v0.2 via MacroFiscalModels</t>
        </is>
      </c>
    </row>
    <row r="659">
      <c r="A659" s="19" t="inlineStr">
        <is>
          <t>SEN</t>
        </is>
      </c>
      <c r="B659" s="19" t="inlineStr">
        <is>
          <t>pub_spend</t>
        </is>
      </c>
      <c r="C659" s="19" t="n">
        <v>2032</v>
      </c>
      <c r="D659" s="19" t="n">
        <v>0.7701</v>
      </c>
      <c r="E659" s="19" t="inlineStr">
        <is>
          <t>NMIM v0.2 via MacroFiscalModels</t>
        </is>
      </c>
    </row>
    <row r="660">
      <c r="A660" s="19" t="inlineStr">
        <is>
          <t>SEN</t>
        </is>
      </c>
      <c r="B660" s="19" t="inlineStr">
        <is>
          <t>pub_spend</t>
        </is>
      </c>
      <c r="C660" s="19" t="n">
        <v>2033</v>
      </c>
      <c r="D660" s="19" t="n">
        <v>0.76</v>
      </c>
      <c r="E660" s="19" t="inlineStr">
        <is>
          <t>NMIM v0.2 via MacroFiscalModels</t>
        </is>
      </c>
    </row>
    <row r="661">
      <c r="A661" s="19" t="inlineStr">
        <is>
          <t>SEN</t>
        </is>
      </c>
      <c r="B661" s="19" t="inlineStr">
        <is>
          <t>pub_spend</t>
        </is>
      </c>
      <c r="C661" s="19" t="n">
        <v>2034</v>
      </c>
      <c r="D661" s="19" t="n">
        <v>0.7486</v>
      </c>
      <c r="E661" s="19" t="inlineStr">
        <is>
          <t>NMIM v0.2 via MacroFiscalModels</t>
        </is>
      </c>
    </row>
    <row r="662">
      <c r="A662" s="19" t="inlineStr">
        <is>
          <t>SEN</t>
        </is>
      </c>
      <c r="B662" s="19" t="inlineStr">
        <is>
          <t>pub_spend</t>
        </is>
      </c>
      <c r="C662" s="19" t="n">
        <v>2035</v>
      </c>
      <c r="D662" s="19" t="n">
        <v>0.7358</v>
      </c>
      <c r="E662" s="19" t="inlineStr">
        <is>
          <t>NMIM v0.2 via MacroFiscalModels</t>
        </is>
      </c>
    </row>
    <row r="663">
      <c r="A663" s="19" t="inlineStr">
        <is>
          <t>SEN</t>
        </is>
      </c>
      <c r="B663" s="19" t="inlineStr">
        <is>
          <t>pub_spend</t>
        </is>
      </c>
      <c r="C663" s="19" t="n">
        <v>2036</v>
      </c>
      <c r="D663" s="19" t="n">
        <v>0.7219</v>
      </c>
      <c r="E663" s="19" t="inlineStr">
        <is>
          <t>NMIM v0.2 via MacroFiscalModels</t>
        </is>
      </c>
    </row>
    <row r="664">
      <c r="A664" s="19" t="inlineStr">
        <is>
          <t>SEN</t>
        </is>
      </c>
      <c r="B664" s="19" t="inlineStr">
        <is>
          <t>pub_spend</t>
        </is>
      </c>
      <c r="C664" s="19" t="n">
        <v>2037</v>
      </c>
      <c r="D664" s="19" t="n">
        <v>0.7069</v>
      </c>
      <c r="E664" s="19" t="inlineStr">
        <is>
          <t>NMIM v0.2 via MacroFiscalModels</t>
        </is>
      </c>
    </row>
    <row r="665">
      <c r="A665" s="19" t="inlineStr">
        <is>
          <t>SEN</t>
        </is>
      </c>
      <c r="B665" s="19" t="inlineStr">
        <is>
          <t>pub_spend</t>
        </is>
      </c>
      <c r="C665" s="19" t="n">
        <v>2038</v>
      </c>
      <c r="D665" s="19" t="n">
        <v>0.6908</v>
      </c>
      <c r="E665" s="19" t="inlineStr">
        <is>
          <t>NMIM v0.2 via MacroFiscalModels</t>
        </is>
      </c>
    </row>
    <row r="666">
      <c r="A666" s="19" t="inlineStr">
        <is>
          <t>SEN</t>
        </is>
      </c>
      <c r="B666" s="19" t="inlineStr">
        <is>
          <t>pub_spend</t>
        </is>
      </c>
      <c r="C666" s="19" t="n">
        <v>2039</v>
      </c>
      <c r="D666" s="19" t="n">
        <v>0.6738</v>
      </c>
      <c r="E666" s="19" t="inlineStr">
        <is>
          <t>NMIM v0.2 via MacroFiscalModels</t>
        </is>
      </c>
    </row>
    <row r="667">
      <c r="A667" s="19" t="inlineStr">
        <is>
          <t>SEN</t>
        </is>
      </c>
      <c r="B667" s="19" t="inlineStr">
        <is>
          <t>pub_spend</t>
        </is>
      </c>
      <c r="C667" s="19" t="n">
        <v>2040</v>
      </c>
      <c r="D667" s="19" t="n">
        <v>0.656</v>
      </c>
      <c r="E667" s="19" t="inlineStr">
        <is>
          <t>NMIM v0.2 via MacroFiscalModels</t>
        </is>
      </c>
    </row>
    <row r="668">
      <c r="A668" s="19" t="inlineStr">
        <is>
          <t>SEN</t>
        </is>
      </c>
      <c r="B668" s="19" t="inlineStr">
        <is>
          <t>pub_spend</t>
        </is>
      </c>
      <c r="C668" s="19" t="n">
        <v>2041</v>
      </c>
      <c r="D668" s="19" t="n">
        <v>0.6385</v>
      </c>
      <c r="E668" s="19" t="inlineStr">
        <is>
          <t>NMIM v0.2 via MacroFiscalModels</t>
        </is>
      </c>
    </row>
    <row r="669">
      <c r="A669" s="19" t="inlineStr">
        <is>
          <t>SEN</t>
        </is>
      </c>
      <c r="B669" s="19" t="inlineStr">
        <is>
          <t>pub_spend</t>
        </is>
      </c>
      <c r="C669" s="19" t="n">
        <v>2042</v>
      </c>
      <c r="D669" s="19" t="n">
        <v>0.6213</v>
      </c>
      <c r="E669" s="19" t="inlineStr">
        <is>
          <t>NMIM v0.2 via MacroFiscalModels</t>
        </is>
      </c>
    </row>
    <row r="670">
      <c r="A670" s="19" t="inlineStr">
        <is>
          <t>SEN</t>
        </is>
      </c>
      <c r="B670" s="19" t="inlineStr">
        <is>
          <t>pub_spend</t>
        </is>
      </c>
      <c r="C670" s="19" t="n">
        <v>2043</v>
      </c>
      <c r="D670" s="19" t="n">
        <v>0.6044</v>
      </c>
      <c r="E670" s="19" t="inlineStr">
        <is>
          <t>NMIM v0.2 via MacroFiscalModels</t>
        </is>
      </c>
    </row>
    <row r="671">
      <c r="A671" s="19" t="inlineStr">
        <is>
          <t>SEN</t>
        </is>
      </c>
      <c r="B671" s="19" t="inlineStr">
        <is>
          <t>pub_spend</t>
        </is>
      </c>
      <c r="C671" s="19" t="n">
        <v>2044</v>
      </c>
      <c r="D671" s="19" t="n">
        <v>0.5877</v>
      </c>
      <c r="E671" s="19" t="inlineStr">
        <is>
          <t>NMIM v0.2 via MacroFiscalModels</t>
        </is>
      </c>
    </row>
    <row r="672">
      <c r="A672" s="19" t="inlineStr">
        <is>
          <t>SEN</t>
        </is>
      </c>
      <c r="B672" s="19" t="inlineStr">
        <is>
          <t>pub_spend</t>
        </is>
      </c>
      <c r="C672" s="19" t="n">
        <v>2045</v>
      </c>
      <c r="D672" s="19" t="n">
        <v>0.5714</v>
      </c>
      <c r="E672" s="19" t="inlineStr">
        <is>
          <t>NMIM v0.2 via MacroFiscalModels</t>
        </is>
      </c>
    </row>
    <row r="673">
      <c r="A673" s="19" t="inlineStr">
        <is>
          <t>SEN</t>
        </is>
      </c>
      <c r="B673" s="19" t="inlineStr">
        <is>
          <t>pub_spend</t>
        </is>
      </c>
      <c r="C673" s="19" t="n">
        <v>2046</v>
      </c>
      <c r="D673" s="19" t="n">
        <v>0.5554</v>
      </c>
      <c r="E673" s="19" t="inlineStr">
        <is>
          <t>NMIM v0.2 via MacroFiscalModels</t>
        </is>
      </c>
    </row>
    <row r="674">
      <c r="A674" s="19" t="inlineStr">
        <is>
          <t>SEN</t>
        </is>
      </c>
      <c r="B674" s="19" t="inlineStr">
        <is>
          <t>pub_spend</t>
        </is>
      </c>
      <c r="C674" s="19" t="n">
        <v>2047</v>
      </c>
      <c r="D674" s="19" t="n">
        <v>0.5397999999999999</v>
      </c>
      <c r="E674" s="19" t="inlineStr">
        <is>
          <t>NMIM v0.2 via MacroFiscalModels</t>
        </is>
      </c>
    </row>
    <row r="675">
      <c r="A675" s="19" t="inlineStr">
        <is>
          <t>SEN</t>
        </is>
      </c>
      <c r="B675" s="19" t="inlineStr">
        <is>
          <t>pub_spend</t>
        </is>
      </c>
      <c r="C675" s="19" t="n">
        <v>2048</v>
      </c>
      <c r="D675" s="19" t="n">
        <v>0.5244</v>
      </c>
      <c r="E675" s="19" t="inlineStr">
        <is>
          <t>NMIM v0.2 via MacroFiscalModels</t>
        </is>
      </c>
    </row>
    <row r="676">
      <c r="A676" s="19" t="inlineStr">
        <is>
          <t>SEN</t>
        </is>
      </c>
      <c r="B676" s="19" t="inlineStr">
        <is>
          <t>pub_spend</t>
        </is>
      </c>
      <c r="C676" s="19" t="n">
        <v>2049</v>
      </c>
      <c r="D676" s="19" t="n">
        <v>0.5094</v>
      </c>
      <c r="E676" s="19" t="inlineStr">
        <is>
          <t>NMIM v0.2 via MacroFiscalModels</t>
        </is>
      </c>
    </row>
    <row r="677">
      <c r="A677" s="19" t="inlineStr">
        <is>
          <t>SEN</t>
        </is>
      </c>
      <c r="B677" s="19" t="inlineStr">
        <is>
          <t>pub_spend</t>
        </is>
      </c>
      <c r="C677" s="19" t="n">
        <v>2050</v>
      </c>
      <c r="D677" s="19" t="n">
        <v>0.4947</v>
      </c>
      <c r="E677" s="19" t="inlineStr">
        <is>
          <t>NMIM v0.2 via MacroFiscalModels</t>
        </is>
      </c>
    </row>
    <row r="678">
      <c r="A678" s="19" t="inlineStr">
        <is>
          <t>SEN</t>
        </is>
      </c>
      <c r="B678" s="19" t="inlineStr">
        <is>
          <t>rev</t>
        </is>
      </c>
      <c r="C678" s="19" t="n">
        <v>2025</v>
      </c>
      <c r="D678" s="19" t="n">
        <v>0.9208</v>
      </c>
      <c r="E678" s="19" t="inlineStr">
        <is>
          <t>PriceFeasibility v0.1 x NMIM power CO2</t>
        </is>
      </c>
    </row>
    <row r="679">
      <c r="A679" s="19" t="inlineStr">
        <is>
          <t>SEN</t>
        </is>
      </c>
      <c r="B679" s="19" t="inlineStr">
        <is>
          <t>rev</t>
        </is>
      </c>
      <c r="C679" s="19" t="n">
        <v>2026</v>
      </c>
      <c r="D679" s="19" t="n">
        <v>0.8907</v>
      </c>
      <c r="E679" s="19" t="inlineStr">
        <is>
          <t>PriceFeasibility v0.1 x NMIM power CO2</t>
        </is>
      </c>
    </row>
    <row r="680">
      <c r="A680" s="19" t="inlineStr">
        <is>
          <t>SEN</t>
        </is>
      </c>
      <c r="B680" s="19" t="inlineStr">
        <is>
          <t>rev</t>
        </is>
      </c>
      <c r="C680" s="19" t="n">
        <v>2027</v>
      </c>
      <c r="D680" s="19" t="n">
        <v>0.86</v>
      </c>
      <c r="E680" s="19" t="inlineStr">
        <is>
          <t>PriceFeasibility v0.1 x NMIM power CO2</t>
        </is>
      </c>
    </row>
    <row r="681">
      <c r="A681" s="19" t="inlineStr">
        <is>
          <t>SEN</t>
        </is>
      </c>
      <c r="B681" s="19" t="inlineStr">
        <is>
          <t>rev</t>
        </is>
      </c>
      <c r="C681" s="19" t="n">
        <v>2028</v>
      </c>
      <c r="D681" s="19" t="n">
        <v>0.8285</v>
      </c>
      <c r="E681" s="19" t="inlineStr">
        <is>
          <t>PriceFeasibility v0.1 x NMIM power CO2</t>
        </is>
      </c>
    </row>
    <row r="682">
      <c r="A682" s="19" t="inlineStr">
        <is>
          <t>SEN</t>
        </is>
      </c>
      <c r="B682" s="19" t="inlineStr">
        <is>
          <t>rev</t>
        </is>
      </c>
      <c r="C682" s="19" t="n">
        <v>2029</v>
      </c>
      <c r="D682" s="19" t="n">
        <v>0.7956</v>
      </c>
      <c r="E682" s="19" t="inlineStr">
        <is>
          <t>PriceFeasibility v0.1 x NMIM power CO2</t>
        </is>
      </c>
    </row>
    <row r="683">
      <c r="A683" s="19" t="inlineStr">
        <is>
          <t>SEN</t>
        </is>
      </c>
      <c r="B683" s="19" t="inlineStr">
        <is>
          <t>rev</t>
        </is>
      </c>
      <c r="C683" s="19" t="n">
        <v>2030</v>
      </c>
      <c r="D683" s="19" t="n">
        <v>0.7611</v>
      </c>
      <c r="E683" s="19" t="inlineStr">
        <is>
          <t>PriceFeasibility v0.1 x NMIM power CO2</t>
        </is>
      </c>
    </row>
    <row r="684">
      <c r="A684" s="19" t="inlineStr">
        <is>
          <t>SEN</t>
        </is>
      </c>
      <c r="B684" s="19" t="inlineStr">
        <is>
          <t>rev</t>
        </is>
      </c>
      <c r="C684" s="19" t="n">
        <v>2031</v>
      </c>
      <c r="D684" s="19" t="n">
        <v>0.7246</v>
      </c>
      <c r="E684" s="19" t="inlineStr">
        <is>
          <t>PriceFeasibility v0.1 x NMIM power CO2</t>
        </is>
      </c>
    </row>
    <row r="685">
      <c r="A685" s="19" t="inlineStr">
        <is>
          <t>SEN</t>
        </is>
      </c>
      <c r="B685" s="19" t="inlineStr">
        <is>
          <t>rev</t>
        </is>
      </c>
      <c r="C685" s="19" t="n">
        <v>2032</v>
      </c>
      <c r="D685" s="19" t="n">
        <v>0.6860000000000001</v>
      </c>
      <c r="E685" s="19" t="inlineStr">
        <is>
          <t>PriceFeasibility v0.1 x NMIM power CO2</t>
        </is>
      </c>
    </row>
    <row r="686">
      <c r="A686" s="19" t="inlineStr">
        <is>
          <t>SEN</t>
        </is>
      </c>
      <c r="B686" s="19" t="inlineStr">
        <is>
          <t>rev</t>
        </is>
      </c>
      <c r="C686" s="19" t="n">
        <v>2033</v>
      </c>
      <c r="D686" s="19" t="n">
        <v>0.6453</v>
      </c>
      <c r="E686" s="19" t="inlineStr">
        <is>
          <t>PriceFeasibility v0.1 x NMIM power CO2</t>
        </is>
      </c>
    </row>
    <row r="687">
      <c r="A687" s="19" t="inlineStr">
        <is>
          <t>SEN</t>
        </is>
      </c>
      <c r="B687" s="19" t="inlineStr">
        <is>
          <t>rev</t>
        </is>
      </c>
      <c r="C687" s="19" t="n">
        <v>2034</v>
      </c>
      <c r="D687" s="19" t="n">
        <v>0.6022999999999999</v>
      </c>
      <c r="E687" s="19" t="inlineStr">
        <is>
          <t>PriceFeasibility v0.1 x NMIM power CO2</t>
        </is>
      </c>
    </row>
    <row r="688">
      <c r="A688" s="19" t="inlineStr">
        <is>
          <t>SEN</t>
        </is>
      </c>
      <c r="B688" s="19" t="inlineStr">
        <is>
          <t>rev</t>
        </is>
      </c>
      <c r="C688" s="19" t="n">
        <v>2035</v>
      </c>
      <c r="D688" s="19" t="n">
        <v>0.5570000000000001</v>
      </c>
      <c r="E688" s="19" t="inlineStr">
        <is>
          <t>PriceFeasibility v0.1 x NMIM power CO2</t>
        </is>
      </c>
    </row>
    <row r="689">
      <c r="A689" s="19" t="inlineStr">
        <is>
          <t>SEN</t>
        </is>
      </c>
      <c r="B689" s="19" t="inlineStr">
        <is>
          <t>rev</t>
        </is>
      </c>
      <c r="C689" s="19" t="n">
        <v>2036</v>
      </c>
      <c r="D689" s="19" t="n">
        <v>0.5094</v>
      </c>
      <c r="E689" s="19" t="inlineStr">
        <is>
          <t>PriceFeasibility v0.1 x NMIM power CO2</t>
        </is>
      </c>
    </row>
    <row r="690">
      <c r="A690" s="19" t="inlineStr">
        <is>
          <t>SEN</t>
        </is>
      </c>
      <c r="B690" s="19" t="inlineStr">
        <is>
          <t>rev</t>
        </is>
      </c>
      <c r="C690" s="19" t="n">
        <v>2037</v>
      </c>
      <c r="D690" s="19" t="n">
        <v>0.4597</v>
      </c>
      <c r="E690" s="19" t="inlineStr">
        <is>
          <t>PriceFeasibility v0.1 x NMIM power CO2</t>
        </is>
      </c>
    </row>
    <row r="691">
      <c r="A691" s="19" t="inlineStr">
        <is>
          <t>SEN</t>
        </is>
      </c>
      <c r="B691" s="19" t="inlineStr">
        <is>
          <t>rev</t>
        </is>
      </c>
      <c r="C691" s="19" t="n">
        <v>2038</v>
      </c>
      <c r="D691" s="19" t="n">
        <v>0.4079</v>
      </c>
      <c r="E691" s="19" t="inlineStr">
        <is>
          <t>PriceFeasibility v0.1 x NMIM power CO2</t>
        </is>
      </c>
    </row>
    <row r="692">
      <c r="A692" s="19" t="inlineStr">
        <is>
          <t>SEN</t>
        </is>
      </c>
      <c r="B692" s="19" t="inlineStr">
        <is>
          <t>rev</t>
        </is>
      </c>
      <c r="C692" s="19" t="n">
        <v>2039</v>
      </c>
      <c r="D692" s="19" t="n">
        <v>0.3541</v>
      </c>
      <c r="E692" s="19" t="inlineStr">
        <is>
          <t>PriceFeasibility v0.1 x NMIM power CO2</t>
        </is>
      </c>
    </row>
    <row r="693">
      <c r="A693" s="19" t="inlineStr">
        <is>
          <t>SEN</t>
        </is>
      </c>
      <c r="B693" s="19" t="inlineStr">
        <is>
          <t>rev</t>
        </is>
      </c>
      <c r="C693" s="19" t="n">
        <v>2040</v>
      </c>
      <c r="D693" s="19" t="n">
        <v>0.2986</v>
      </c>
      <c r="E693" s="19" t="inlineStr">
        <is>
          <t>PriceFeasibility v0.1 x NMIM power CO2</t>
        </is>
      </c>
    </row>
    <row r="694">
      <c r="A694" s="19" t="inlineStr">
        <is>
          <t>SEN</t>
        </is>
      </c>
      <c r="B694" s="19" t="inlineStr">
        <is>
          <t>rev</t>
        </is>
      </c>
      <c r="C694" s="19" t="n">
        <v>2041</v>
      </c>
      <c r="D694" s="19" t="n">
        <v>0.241</v>
      </c>
      <c r="E694" s="19" t="inlineStr">
        <is>
          <t>PriceFeasibility v0.1 x NMIM power CO2</t>
        </is>
      </c>
    </row>
    <row r="695">
      <c r="A695" s="19" t="inlineStr">
        <is>
          <t>SEN</t>
        </is>
      </c>
      <c r="B695" s="19" t="inlineStr">
        <is>
          <t>rev</t>
        </is>
      </c>
      <c r="C695" s="19" t="n">
        <v>2042</v>
      </c>
      <c r="D695" s="19" t="n">
        <v>0.182</v>
      </c>
      <c r="E695" s="19" t="inlineStr">
        <is>
          <t>PriceFeasibility v0.1 x NMIM power CO2</t>
        </is>
      </c>
    </row>
    <row r="696">
      <c r="A696" s="19" t="inlineStr">
        <is>
          <t>SEN</t>
        </is>
      </c>
      <c r="B696" s="19" t="inlineStr">
        <is>
          <t>rev</t>
        </is>
      </c>
      <c r="C696" s="19" t="n">
        <v>2043</v>
      </c>
      <c r="D696" s="19" t="n">
        <v>0.122</v>
      </c>
      <c r="E696" s="19" t="inlineStr">
        <is>
          <t>PriceFeasibility v0.1 x NMIM power CO2</t>
        </is>
      </c>
    </row>
    <row r="697">
      <c r="A697" s="19" t="inlineStr">
        <is>
          <t>SEN</t>
        </is>
      </c>
      <c r="B697" s="19" t="inlineStr">
        <is>
          <t>rev</t>
        </is>
      </c>
      <c r="C697" s="19" t="n">
        <v>2044</v>
      </c>
      <c r="D697" s="19" t="n">
        <v>0.06118</v>
      </c>
      <c r="E697" s="19" t="inlineStr">
        <is>
          <t>PriceFeasibility v0.1 x NMIM power CO2</t>
        </is>
      </c>
    </row>
    <row r="698">
      <c r="A698" s="19" t="inlineStr">
        <is>
          <t>SEN</t>
        </is>
      </c>
      <c r="B698" s="19" t="inlineStr">
        <is>
          <t>rev</t>
        </is>
      </c>
      <c r="C698" s="19" t="n">
        <v>2045</v>
      </c>
      <c r="D698" s="19" t="n">
        <v>0</v>
      </c>
      <c r="E698" s="19" t="inlineStr">
        <is>
          <t>PriceFeasibility v0.1 x NMIM power CO2</t>
        </is>
      </c>
    </row>
    <row r="699">
      <c r="A699" s="19" t="inlineStr">
        <is>
          <t>SEN</t>
        </is>
      </c>
      <c r="B699" s="19" t="inlineStr">
        <is>
          <t>rev</t>
        </is>
      </c>
      <c r="C699" s="19" t="n">
        <v>2046</v>
      </c>
      <c r="D699" s="19" t="n">
        <v>0</v>
      </c>
      <c r="E699" s="19" t="inlineStr">
        <is>
          <t>PriceFeasibility v0.1 x NMIM power CO2</t>
        </is>
      </c>
    </row>
    <row r="700">
      <c r="A700" s="19" t="inlineStr">
        <is>
          <t>SEN</t>
        </is>
      </c>
      <c r="B700" s="19" t="inlineStr">
        <is>
          <t>rev</t>
        </is>
      </c>
      <c r="C700" s="19" t="n">
        <v>2047</v>
      </c>
      <c r="D700" s="19" t="n">
        <v>0</v>
      </c>
      <c r="E700" s="19" t="inlineStr">
        <is>
          <t>PriceFeasibility v0.1 x NMIM power CO2</t>
        </is>
      </c>
    </row>
    <row r="701">
      <c r="A701" s="19" t="inlineStr">
        <is>
          <t>SEN</t>
        </is>
      </c>
      <c r="B701" s="19" t="inlineStr">
        <is>
          <t>rev</t>
        </is>
      </c>
      <c r="C701" s="19" t="n">
        <v>2048</v>
      </c>
      <c r="D701" s="19" t="n">
        <v>0</v>
      </c>
      <c r="E701" s="19" t="inlineStr">
        <is>
          <t>PriceFeasibility v0.1 x NMIM power CO2</t>
        </is>
      </c>
    </row>
    <row r="702">
      <c r="A702" s="19" t="inlineStr">
        <is>
          <t>SEN</t>
        </is>
      </c>
      <c r="B702" s="19" t="inlineStr">
        <is>
          <t>rev</t>
        </is>
      </c>
      <c r="C702" s="19" t="n">
        <v>2049</v>
      </c>
      <c r="D702" s="19" t="n">
        <v>0</v>
      </c>
      <c r="E702" s="19" t="inlineStr">
        <is>
          <t>PriceFeasibility v0.1 x NMIM power CO2</t>
        </is>
      </c>
    </row>
    <row r="703">
      <c r="A703" s="19" t="inlineStr">
        <is>
          <t>SEN</t>
        </is>
      </c>
      <c r="B703" s="19" t="inlineStr">
        <is>
          <t>rev</t>
        </is>
      </c>
      <c r="C703" s="19" t="n">
        <v>2050</v>
      </c>
      <c r="D703" s="19" t="n">
        <v>0</v>
      </c>
      <c r="E703" s="19" t="inlineStr">
        <is>
          <t>PriceFeasibility v0.1 x NMIM power CO2</t>
        </is>
      </c>
    </row>
    <row r="704">
      <c r="A704" s="19" t="inlineStr">
        <is>
          <t>SLE</t>
        </is>
      </c>
      <c r="B704" s="19" t="inlineStr">
        <is>
          <t>pub_cap</t>
        </is>
      </c>
      <c r="C704" s="19" t="n">
        <v>2025</v>
      </c>
      <c r="D704" s="19" t="n">
        <v>0.1084</v>
      </c>
      <c r="E704" s="19" t="inlineStr">
        <is>
          <t>NMIM v0.2 via MacroFiscalModels</t>
        </is>
      </c>
    </row>
    <row r="705">
      <c r="A705" s="19" t="inlineStr">
        <is>
          <t>SLE</t>
        </is>
      </c>
      <c r="B705" s="19" t="inlineStr">
        <is>
          <t>pub_cap</t>
        </is>
      </c>
      <c r="C705" s="19" t="n">
        <v>2026</v>
      </c>
      <c r="D705" s="19" t="n">
        <v>0.1313</v>
      </c>
      <c r="E705" s="19" t="inlineStr">
        <is>
          <t>NMIM v0.2 via MacroFiscalModels</t>
        </is>
      </c>
    </row>
    <row r="706">
      <c r="A706" s="19" t="inlineStr">
        <is>
          <t>SLE</t>
        </is>
      </c>
      <c r="B706" s="19" t="inlineStr">
        <is>
          <t>pub_cap</t>
        </is>
      </c>
      <c r="C706" s="19" t="n">
        <v>2027</v>
      </c>
      <c r="D706" s="19" t="n">
        <v>0.1473</v>
      </c>
      <c r="E706" s="19" t="inlineStr">
        <is>
          <t>NMIM v0.2 via MacroFiscalModels</t>
        </is>
      </c>
    </row>
    <row r="707">
      <c r="A707" s="19" t="inlineStr">
        <is>
          <t>SLE</t>
        </is>
      </c>
      <c r="B707" s="19" t="inlineStr">
        <is>
          <t>pub_cap</t>
        </is>
      </c>
      <c r="C707" s="19" t="n">
        <v>2028</v>
      </c>
      <c r="D707" s="19" t="n">
        <v>0.1565</v>
      </c>
      <c r="E707" s="19" t="inlineStr">
        <is>
          <t>NMIM v0.2 via MacroFiscalModels</t>
        </is>
      </c>
    </row>
    <row r="708">
      <c r="A708" s="19" t="inlineStr">
        <is>
          <t>SLE</t>
        </is>
      </c>
      <c r="B708" s="19" t="inlineStr">
        <is>
          <t>pub_cap</t>
        </is>
      </c>
      <c r="C708" s="19" t="n">
        <v>2029</v>
      </c>
      <c r="D708" s="19" t="n">
        <v>0.1591</v>
      </c>
      <c r="E708" s="19" t="inlineStr">
        <is>
          <t>NMIM v0.2 via MacroFiscalModels</t>
        </is>
      </c>
    </row>
    <row r="709">
      <c r="A709" s="19" t="inlineStr">
        <is>
          <t>SLE</t>
        </is>
      </c>
      <c r="B709" s="19" t="inlineStr">
        <is>
          <t>pub_cap</t>
        </is>
      </c>
      <c r="C709" s="19" t="n">
        <v>2030</v>
      </c>
      <c r="D709" s="19" t="n">
        <v>0.1556</v>
      </c>
      <c r="E709" s="19" t="inlineStr">
        <is>
          <t>NMIM v0.2 via MacroFiscalModels</t>
        </is>
      </c>
    </row>
    <row r="710">
      <c r="A710" s="19" t="inlineStr">
        <is>
          <t>SLE</t>
        </is>
      </c>
      <c r="B710" s="19" t="inlineStr">
        <is>
          <t>pub_cap</t>
        </is>
      </c>
      <c r="C710" s="19" t="n">
        <v>2031</v>
      </c>
      <c r="D710" s="19" t="n">
        <v>0.1465</v>
      </c>
      <c r="E710" s="19" t="inlineStr">
        <is>
          <t>NMIM v0.2 via MacroFiscalModels</t>
        </is>
      </c>
    </row>
    <row r="711">
      <c r="A711" s="19" t="inlineStr">
        <is>
          <t>SLE</t>
        </is>
      </c>
      <c r="B711" s="19" t="inlineStr">
        <is>
          <t>pub_cap</t>
        </is>
      </c>
      <c r="C711" s="19" t="n">
        <v>2032</v>
      </c>
      <c r="D711" s="19" t="n">
        <v>0.1322</v>
      </c>
      <c r="E711" s="19" t="inlineStr">
        <is>
          <t>NMIM v0.2 via MacroFiscalModels</t>
        </is>
      </c>
    </row>
    <row r="712">
      <c r="A712" s="19" t="inlineStr">
        <is>
          <t>SLE</t>
        </is>
      </c>
      <c r="B712" s="19" t="inlineStr">
        <is>
          <t>pub_cap</t>
        </is>
      </c>
      <c r="C712" s="19" t="n">
        <v>2033</v>
      </c>
      <c r="D712" s="19" t="n">
        <v>0.1365</v>
      </c>
      <c r="E712" s="19" t="inlineStr">
        <is>
          <t>NMIM v0.2 via MacroFiscalModels</t>
        </is>
      </c>
    </row>
    <row r="713">
      <c r="A713" s="19" t="inlineStr">
        <is>
          <t>SLE</t>
        </is>
      </c>
      <c r="B713" s="19" t="inlineStr">
        <is>
          <t>pub_cap</t>
        </is>
      </c>
      <c r="C713" s="19" t="n">
        <v>2034</v>
      </c>
      <c r="D713" s="19" t="n">
        <v>0.1404</v>
      </c>
      <c r="E713" s="19" t="inlineStr">
        <is>
          <t>NMIM v0.2 via MacroFiscalModels</t>
        </is>
      </c>
    </row>
    <row r="714">
      <c r="A714" s="19" t="inlineStr">
        <is>
          <t>SLE</t>
        </is>
      </c>
      <c r="B714" s="19" t="inlineStr">
        <is>
          <t>pub_cap</t>
        </is>
      </c>
      <c r="C714" s="19" t="n">
        <v>2035</v>
      </c>
      <c r="D714" s="19" t="n">
        <v>0.1438</v>
      </c>
      <c r="E714" s="19" t="inlineStr">
        <is>
          <t>NMIM v0.2 via MacroFiscalModels</t>
        </is>
      </c>
    </row>
    <row r="715">
      <c r="A715" s="19" t="inlineStr">
        <is>
          <t>SLE</t>
        </is>
      </c>
      <c r="B715" s="19" t="inlineStr">
        <is>
          <t>pub_cap</t>
        </is>
      </c>
      <c r="C715" s="19" t="n">
        <v>2036</v>
      </c>
      <c r="D715" s="19" t="n">
        <v>0.1475</v>
      </c>
      <c r="E715" s="19" t="inlineStr">
        <is>
          <t>NMIM v0.2 via MacroFiscalModels</t>
        </is>
      </c>
    </row>
    <row r="716">
      <c r="A716" s="19" t="inlineStr">
        <is>
          <t>SLE</t>
        </is>
      </c>
      <c r="B716" s="19" t="inlineStr">
        <is>
          <t>pub_cap</t>
        </is>
      </c>
      <c r="C716" s="19" t="n">
        <v>2037</v>
      </c>
      <c r="D716" s="19" t="n">
        <v>0.1507</v>
      </c>
      <c r="E716" s="19" t="inlineStr">
        <is>
          <t>NMIM v0.2 via MacroFiscalModels</t>
        </is>
      </c>
    </row>
    <row r="717">
      <c r="A717" s="19" t="inlineStr">
        <is>
          <t>SLE</t>
        </is>
      </c>
      <c r="B717" s="19" t="inlineStr">
        <is>
          <t>pub_cap</t>
        </is>
      </c>
      <c r="C717" s="19" t="n">
        <v>2038</v>
      </c>
      <c r="D717" s="19" t="n">
        <v>0.1538</v>
      </c>
      <c r="E717" s="19" t="inlineStr">
        <is>
          <t>NMIM v0.2 via MacroFiscalModels</t>
        </is>
      </c>
    </row>
    <row r="718">
      <c r="A718" s="19" t="inlineStr">
        <is>
          <t>SLE</t>
        </is>
      </c>
      <c r="B718" s="19" t="inlineStr">
        <is>
          <t>pub_cap</t>
        </is>
      </c>
      <c r="C718" s="19" t="n">
        <v>2039</v>
      </c>
      <c r="D718" s="19" t="n">
        <v>0.156</v>
      </c>
      <c r="E718" s="19" t="inlineStr">
        <is>
          <t>NMIM v0.2 via MacroFiscalModels</t>
        </is>
      </c>
    </row>
    <row r="719">
      <c r="A719" s="19" t="inlineStr">
        <is>
          <t>SLE</t>
        </is>
      </c>
      <c r="B719" s="19" t="inlineStr">
        <is>
          <t>pub_cap</t>
        </is>
      </c>
      <c r="C719" s="19" t="n">
        <v>2040</v>
      </c>
      <c r="D719" s="19" t="n">
        <v>0.1577</v>
      </c>
      <c r="E719" s="19" t="inlineStr">
        <is>
          <t>NMIM v0.2 via MacroFiscalModels</t>
        </is>
      </c>
    </row>
    <row r="720">
      <c r="A720" s="19" t="inlineStr">
        <is>
          <t>SLE</t>
        </is>
      </c>
      <c r="B720" s="19" t="inlineStr">
        <is>
          <t>pub_cap</t>
        </is>
      </c>
      <c r="C720" s="19" t="n">
        <v>2041</v>
      </c>
      <c r="D720" s="19" t="n">
        <v>0.156</v>
      </c>
      <c r="E720" s="19" t="inlineStr">
        <is>
          <t>NMIM v0.2 via MacroFiscalModels</t>
        </is>
      </c>
    </row>
    <row r="721">
      <c r="A721" s="19" t="inlineStr">
        <is>
          <t>SLE</t>
        </is>
      </c>
      <c r="B721" s="19" t="inlineStr">
        <is>
          <t>pub_cap</t>
        </is>
      </c>
      <c r="C721" s="19" t="n">
        <v>2042</v>
      </c>
      <c r="D721" s="19" t="n">
        <v>0.1544</v>
      </c>
      <c r="E721" s="19" t="inlineStr">
        <is>
          <t>NMIM v0.2 via MacroFiscalModels</t>
        </is>
      </c>
    </row>
    <row r="722">
      <c r="A722" s="19" t="inlineStr">
        <is>
          <t>SLE</t>
        </is>
      </c>
      <c r="B722" s="19" t="inlineStr">
        <is>
          <t>pub_cap</t>
        </is>
      </c>
      <c r="C722" s="19" t="n">
        <v>2043</v>
      </c>
      <c r="D722" s="19" t="n">
        <v>0.1528</v>
      </c>
      <c r="E722" s="19" t="inlineStr">
        <is>
          <t>NMIM v0.2 via MacroFiscalModels</t>
        </is>
      </c>
    </row>
    <row r="723">
      <c r="A723" s="19" t="inlineStr">
        <is>
          <t>SLE</t>
        </is>
      </c>
      <c r="B723" s="19" t="inlineStr">
        <is>
          <t>pub_cap</t>
        </is>
      </c>
      <c r="C723" s="19" t="n">
        <v>2044</v>
      </c>
      <c r="D723" s="19" t="n">
        <v>0.1512</v>
      </c>
      <c r="E723" s="19" t="inlineStr">
        <is>
          <t>NMIM v0.2 via MacroFiscalModels</t>
        </is>
      </c>
    </row>
    <row r="724">
      <c r="A724" s="19" t="inlineStr">
        <is>
          <t>SLE</t>
        </is>
      </c>
      <c r="B724" s="19" t="inlineStr">
        <is>
          <t>pub_cap</t>
        </is>
      </c>
      <c r="C724" s="19" t="n">
        <v>2045</v>
      </c>
      <c r="D724" s="19" t="n">
        <v>0.1497</v>
      </c>
      <c r="E724" s="19" t="inlineStr">
        <is>
          <t>NMIM v0.2 via MacroFiscalModels</t>
        </is>
      </c>
    </row>
    <row r="725">
      <c r="A725" s="19" t="inlineStr">
        <is>
          <t>SLE</t>
        </is>
      </c>
      <c r="B725" s="19" t="inlineStr">
        <is>
          <t>pub_cap</t>
        </is>
      </c>
      <c r="C725" s="19" t="n">
        <v>2046</v>
      </c>
      <c r="D725" s="19" t="n">
        <v>0.147</v>
      </c>
      <c r="E725" s="19" t="inlineStr">
        <is>
          <t>NMIM v0.2 via MacroFiscalModels</t>
        </is>
      </c>
    </row>
    <row r="726">
      <c r="A726" s="19" t="inlineStr">
        <is>
          <t>SLE</t>
        </is>
      </c>
      <c r="B726" s="19" t="inlineStr">
        <is>
          <t>pub_cap</t>
        </is>
      </c>
      <c r="C726" s="19" t="n">
        <v>2047</v>
      </c>
      <c r="D726" s="19" t="n">
        <v>0.1454</v>
      </c>
      <c r="E726" s="19" t="inlineStr">
        <is>
          <t>NMIM v0.2 via MacroFiscalModels</t>
        </is>
      </c>
    </row>
    <row r="727">
      <c r="A727" s="19" t="inlineStr">
        <is>
          <t>SLE</t>
        </is>
      </c>
      <c r="B727" s="19" t="inlineStr">
        <is>
          <t>pub_cap</t>
        </is>
      </c>
      <c r="C727" s="19" t="n">
        <v>2048</v>
      </c>
      <c r="D727" s="19" t="n">
        <v>0.1439</v>
      </c>
      <c r="E727" s="19" t="inlineStr">
        <is>
          <t>NMIM v0.2 via MacroFiscalModels</t>
        </is>
      </c>
    </row>
    <row r="728">
      <c r="A728" s="19" t="inlineStr">
        <is>
          <t>SLE</t>
        </is>
      </c>
      <c r="B728" s="19" t="inlineStr">
        <is>
          <t>pub_cap</t>
        </is>
      </c>
      <c r="C728" s="19" t="n">
        <v>2049</v>
      </c>
      <c r="D728" s="19" t="n">
        <v>0.1424</v>
      </c>
      <c r="E728" s="19" t="inlineStr">
        <is>
          <t>NMIM v0.2 via MacroFiscalModels</t>
        </is>
      </c>
    </row>
    <row r="729">
      <c r="A729" s="19" t="inlineStr">
        <is>
          <t>SLE</t>
        </is>
      </c>
      <c r="B729" s="19" t="inlineStr">
        <is>
          <t>pub_cap</t>
        </is>
      </c>
      <c r="C729" s="19" t="n">
        <v>2050</v>
      </c>
      <c r="D729" s="19" t="n">
        <v>0.1409</v>
      </c>
      <c r="E729" s="19" t="inlineStr">
        <is>
          <t>NMIM v0.2 via MacroFiscalModels</t>
        </is>
      </c>
    </row>
    <row r="730">
      <c r="A730" s="19" t="inlineStr">
        <is>
          <t>SLE</t>
        </is>
      </c>
      <c r="B730" s="19" t="inlineStr">
        <is>
          <t>pub_spend</t>
        </is>
      </c>
      <c r="C730" s="19" t="n">
        <v>2025</v>
      </c>
      <c r="D730" s="19" t="n">
        <v>0.4114</v>
      </c>
      <c r="E730" s="19" t="inlineStr">
        <is>
          <t>NMIM v0.2 via MacroFiscalModels</t>
        </is>
      </c>
    </row>
    <row r="731">
      <c r="A731" s="19" t="inlineStr">
        <is>
          <t>SLE</t>
        </is>
      </c>
      <c r="B731" s="19" t="inlineStr">
        <is>
          <t>pub_spend</t>
        </is>
      </c>
      <c r="C731" s="19" t="n">
        <v>2026</v>
      </c>
      <c r="D731" s="19" t="n">
        <v>0.787</v>
      </c>
      <c r="E731" s="19" t="inlineStr">
        <is>
          <t>NMIM v0.2 via MacroFiscalModels</t>
        </is>
      </c>
    </row>
    <row r="732">
      <c r="A732" s="19" t="inlineStr">
        <is>
          <t>SLE</t>
        </is>
      </c>
      <c r="B732" s="19" t="inlineStr">
        <is>
          <t>pub_spend</t>
        </is>
      </c>
      <c r="C732" s="19" t="n">
        <v>2027</v>
      </c>
      <c r="D732" s="19" t="n">
        <v>1.129</v>
      </c>
      <c r="E732" s="19" t="inlineStr">
        <is>
          <t>NMIM v0.2 via MacroFiscalModels</t>
        </is>
      </c>
    </row>
    <row r="733">
      <c r="A733" s="19" t="inlineStr">
        <is>
          <t>SLE</t>
        </is>
      </c>
      <c r="B733" s="19" t="inlineStr">
        <is>
          <t>pub_spend</t>
        </is>
      </c>
      <c r="C733" s="19" t="n">
        <v>2028</v>
      </c>
      <c r="D733" s="19" t="n">
        <v>1.44</v>
      </c>
      <c r="E733" s="19" t="inlineStr">
        <is>
          <t>NMIM v0.2 via MacroFiscalModels</t>
        </is>
      </c>
    </row>
    <row r="734">
      <c r="A734" s="19" t="inlineStr">
        <is>
          <t>SLE</t>
        </is>
      </c>
      <c r="B734" s="19" t="inlineStr">
        <is>
          <t>pub_spend</t>
        </is>
      </c>
      <c r="C734" s="19" t="n">
        <v>2029</v>
      </c>
      <c r="D734" s="19" t="n">
        <v>1.722</v>
      </c>
      <c r="E734" s="19" t="inlineStr">
        <is>
          <t>NMIM v0.2 via MacroFiscalModels</t>
        </is>
      </c>
    </row>
    <row r="735">
      <c r="A735" s="19" t="inlineStr">
        <is>
          <t>SLE</t>
        </is>
      </c>
      <c r="B735" s="19" t="inlineStr">
        <is>
          <t>pub_spend</t>
        </is>
      </c>
      <c r="C735" s="19" t="n">
        <v>2030</v>
      </c>
      <c r="D735" s="19" t="n">
        <v>1.977</v>
      </c>
      <c r="E735" s="19" t="inlineStr">
        <is>
          <t>NMIM v0.2 via MacroFiscalModels</t>
        </is>
      </c>
    </row>
    <row r="736">
      <c r="A736" s="19" t="inlineStr">
        <is>
          <t>SLE</t>
        </is>
      </c>
      <c r="B736" s="19" t="inlineStr">
        <is>
          <t>pub_spend</t>
        </is>
      </c>
      <c r="C736" s="19" t="n">
        <v>2031</v>
      </c>
      <c r="D736" s="19" t="n">
        <v>1.914</v>
      </c>
      <c r="E736" s="19" t="inlineStr">
        <is>
          <t>NMIM v0.2 via MacroFiscalModels</t>
        </is>
      </c>
    </row>
    <row r="737">
      <c r="A737" s="19" t="inlineStr">
        <is>
          <t>SLE</t>
        </is>
      </c>
      <c r="B737" s="19" t="inlineStr">
        <is>
          <t>pub_spend</t>
        </is>
      </c>
      <c r="C737" s="19" t="n">
        <v>2032</v>
      </c>
      <c r="D737" s="19" t="n">
        <v>1.852</v>
      </c>
      <c r="E737" s="19" t="inlineStr">
        <is>
          <t>NMIM v0.2 via MacroFiscalModels</t>
        </is>
      </c>
    </row>
    <row r="738">
      <c r="A738" s="19" t="inlineStr">
        <is>
          <t>SLE</t>
        </is>
      </c>
      <c r="B738" s="19" t="inlineStr">
        <is>
          <t>pub_spend</t>
        </is>
      </c>
      <c r="C738" s="19" t="n">
        <v>2033</v>
      </c>
      <c r="D738" s="19" t="n">
        <v>1.793</v>
      </c>
      <c r="E738" s="19" t="inlineStr">
        <is>
          <t>NMIM v0.2 via MacroFiscalModels</t>
        </is>
      </c>
    </row>
    <row r="739">
      <c r="A739" s="19" t="inlineStr">
        <is>
          <t>SLE</t>
        </is>
      </c>
      <c r="B739" s="19" t="inlineStr">
        <is>
          <t>pub_spend</t>
        </is>
      </c>
      <c r="C739" s="19" t="n">
        <v>2034</v>
      </c>
      <c r="D739" s="19" t="n">
        <v>1.735</v>
      </c>
      <c r="E739" s="19" t="inlineStr">
        <is>
          <t>NMIM v0.2 via MacroFiscalModels</t>
        </is>
      </c>
    </row>
    <row r="740">
      <c r="A740" s="19" t="inlineStr">
        <is>
          <t>SLE</t>
        </is>
      </c>
      <c r="B740" s="19" t="inlineStr">
        <is>
          <t>pub_spend</t>
        </is>
      </c>
      <c r="C740" s="19" t="n">
        <v>2035</v>
      </c>
      <c r="D740" s="19" t="n">
        <v>1.679</v>
      </c>
      <c r="E740" s="19" t="inlineStr">
        <is>
          <t>NMIM v0.2 via MacroFiscalModels</t>
        </is>
      </c>
    </row>
    <row r="741">
      <c r="A741" s="19" t="inlineStr">
        <is>
          <t>SLE</t>
        </is>
      </c>
      <c r="B741" s="19" t="inlineStr">
        <is>
          <t>pub_spend</t>
        </is>
      </c>
      <c r="C741" s="19" t="n">
        <v>2036</v>
      </c>
      <c r="D741" s="19" t="n">
        <v>1.624</v>
      </c>
      <c r="E741" s="19" t="inlineStr">
        <is>
          <t>NMIM v0.2 via MacroFiscalModels</t>
        </is>
      </c>
    </row>
    <row r="742">
      <c r="A742" s="19" t="inlineStr">
        <is>
          <t>SLE</t>
        </is>
      </c>
      <c r="B742" s="19" t="inlineStr">
        <is>
          <t>pub_spend</t>
        </is>
      </c>
      <c r="C742" s="19" t="n">
        <v>2037</v>
      </c>
      <c r="D742" s="19" t="n">
        <v>1.571</v>
      </c>
      <c r="E742" s="19" t="inlineStr">
        <is>
          <t>NMIM v0.2 via MacroFiscalModels</t>
        </is>
      </c>
    </row>
    <row r="743">
      <c r="A743" s="19" t="inlineStr">
        <is>
          <t>SLE</t>
        </is>
      </c>
      <c r="B743" s="19" t="inlineStr">
        <is>
          <t>pub_spend</t>
        </is>
      </c>
      <c r="C743" s="19" t="n">
        <v>2038</v>
      </c>
      <c r="D743" s="19" t="n">
        <v>1.52</v>
      </c>
      <c r="E743" s="19" t="inlineStr">
        <is>
          <t>NMIM v0.2 via MacroFiscalModels</t>
        </is>
      </c>
    </row>
    <row r="744">
      <c r="A744" s="19" t="inlineStr">
        <is>
          <t>SLE</t>
        </is>
      </c>
      <c r="B744" s="19" t="inlineStr">
        <is>
          <t>pub_spend</t>
        </is>
      </c>
      <c r="C744" s="19" t="n">
        <v>2039</v>
      </c>
      <c r="D744" s="19" t="n">
        <v>1.47</v>
      </c>
      <c r="E744" s="19" t="inlineStr">
        <is>
          <t>NMIM v0.2 via MacroFiscalModels</t>
        </is>
      </c>
    </row>
    <row r="745">
      <c r="A745" s="19" t="inlineStr">
        <is>
          <t>SLE</t>
        </is>
      </c>
      <c r="B745" s="19" t="inlineStr">
        <is>
          <t>pub_spend</t>
        </is>
      </c>
      <c r="C745" s="19" t="n">
        <v>2040</v>
      </c>
      <c r="D745" s="19" t="n">
        <v>1.422</v>
      </c>
      <c r="E745" s="19" t="inlineStr">
        <is>
          <t>NMIM v0.2 via MacroFiscalModels</t>
        </is>
      </c>
    </row>
    <row r="746">
      <c r="A746" s="19" t="inlineStr">
        <is>
          <t>SLE</t>
        </is>
      </c>
      <c r="B746" s="19" t="inlineStr">
        <is>
          <t>pub_spend</t>
        </is>
      </c>
      <c r="C746" s="19" t="n">
        <v>2041</v>
      </c>
      <c r="D746" s="19" t="n">
        <v>1.376</v>
      </c>
      <c r="E746" s="19" t="inlineStr">
        <is>
          <t>NMIM v0.2 via MacroFiscalModels</t>
        </is>
      </c>
    </row>
    <row r="747">
      <c r="A747" s="19" t="inlineStr">
        <is>
          <t>SLE</t>
        </is>
      </c>
      <c r="B747" s="19" t="inlineStr">
        <is>
          <t>pub_spend</t>
        </is>
      </c>
      <c r="C747" s="19" t="n">
        <v>2042</v>
      </c>
      <c r="D747" s="19" t="n">
        <v>1.33</v>
      </c>
      <c r="E747" s="19" t="inlineStr">
        <is>
          <t>NMIM v0.2 via MacroFiscalModels</t>
        </is>
      </c>
    </row>
    <row r="748">
      <c r="A748" s="19" t="inlineStr">
        <is>
          <t>SLE</t>
        </is>
      </c>
      <c r="B748" s="19" t="inlineStr">
        <is>
          <t>pub_spend</t>
        </is>
      </c>
      <c r="C748" s="19" t="n">
        <v>2043</v>
      </c>
      <c r="D748" s="19" t="n">
        <v>1.286</v>
      </c>
      <c r="E748" s="19" t="inlineStr">
        <is>
          <t>NMIM v0.2 via MacroFiscalModels</t>
        </is>
      </c>
    </row>
    <row r="749">
      <c r="A749" s="19" t="inlineStr">
        <is>
          <t>SLE</t>
        </is>
      </c>
      <c r="B749" s="19" t="inlineStr">
        <is>
          <t>pub_spend</t>
        </is>
      </c>
      <c r="C749" s="19" t="n">
        <v>2044</v>
      </c>
      <c r="D749" s="19" t="n">
        <v>1.243</v>
      </c>
      <c r="E749" s="19" t="inlineStr">
        <is>
          <t>NMIM v0.2 via MacroFiscalModels</t>
        </is>
      </c>
    </row>
    <row r="750">
      <c r="A750" s="19" t="inlineStr">
        <is>
          <t>SLE</t>
        </is>
      </c>
      <c r="B750" s="19" t="inlineStr">
        <is>
          <t>pub_spend</t>
        </is>
      </c>
      <c r="C750" s="19" t="n">
        <v>2045</v>
      </c>
      <c r="D750" s="19" t="n">
        <v>1.202</v>
      </c>
      <c r="E750" s="19" t="inlineStr">
        <is>
          <t>NMIM v0.2 via MacroFiscalModels</t>
        </is>
      </c>
    </row>
    <row r="751">
      <c r="A751" s="19" t="inlineStr">
        <is>
          <t>SLE</t>
        </is>
      </c>
      <c r="B751" s="19" t="inlineStr">
        <is>
          <t>pub_spend</t>
        </is>
      </c>
      <c r="C751" s="19" t="n">
        <v>2046</v>
      </c>
      <c r="D751" s="19" t="n">
        <v>1.162</v>
      </c>
      <c r="E751" s="19" t="inlineStr">
        <is>
          <t>NMIM v0.2 via MacroFiscalModels</t>
        </is>
      </c>
    </row>
    <row r="752">
      <c r="A752" s="19" t="inlineStr">
        <is>
          <t>SLE</t>
        </is>
      </c>
      <c r="B752" s="19" t="inlineStr">
        <is>
          <t>pub_spend</t>
        </is>
      </c>
      <c r="C752" s="19" t="n">
        <v>2047</v>
      </c>
      <c r="D752" s="19" t="n">
        <v>1.123</v>
      </c>
      <c r="E752" s="19" t="inlineStr">
        <is>
          <t>NMIM v0.2 via MacroFiscalModels</t>
        </is>
      </c>
    </row>
    <row r="753">
      <c r="A753" s="19" t="inlineStr">
        <is>
          <t>SLE</t>
        </is>
      </c>
      <c r="B753" s="19" t="inlineStr">
        <is>
          <t>pub_spend</t>
        </is>
      </c>
      <c r="C753" s="19" t="n">
        <v>2048</v>
      </c>
      <c r="D753" s="19" t="n">
        <v>1.085</v>
      </c>
      <c r="E753" s="19" t="inlineStr">
        <is>
          <t>NMIM v0.2 via MacroFiscalModels</t>
        </is>
      </c>
    </row>
    <row r="754">
      <c r="A754" s="19" t="inlineStr">
        <is>
          <t>SLE</t>
        </is>
      </c>
      <c r="B754" s="19" t="inlineStr">
        <is>
          <t>pub_spend</t>
        </is>
      </c>
      <c r="C754" s="19" t="n">
        <v>2049</v>
      </c>
      <c r="D754" s="19" t="n">
        <v>1.049</v>
      </c>
      <c r="E754" s="19" t="inlineStr">
        <is>
          <t>NMIM v0.2 via MacroFiscalModels</t>
        </is>
      </c>
    </row>
    <row r="755">
      <c r="A755" s="19" t="inlineStr">
        <is>
          <t>SLE</t>
        </is>
      </c>
      <c r="B755" s="19" t="inlineStr">
        <is>
          <t>pub_spend</t>
        </is>
      </c>
      <c r="C755" s="19" t="n">
        <v>2050</v>
      </c>
      <c r="D755" s="19" t="n">
        <v>1.013</v>
      </c>
      <c r="E755" s="19" t="inlineStr">
        <is>
          <t>NMIM v0.2 via MacroFiscalModels</t>
        </is>
      </c>
    </row>
    <row r="756">
      <c r="A756" s="19" t="inlineStr">
        <is>
          <t>SLE</t>
        </is>
      </c>
      <c r="B756" s="19" t="inlineStr">
        <is>
          <t>rev</t>
        </is>
      </c>
      <c r="C756" s="19" t="n">
        <v>2025</v>
      </c>
      <c r="D756" s="19" t="n">
        <v>0.01347</v>
      </c>
      <c r="E756" s="19" t="inlineStr">
        <is>
          <t>PriceFeasibility v0.1 x NMIM power CO2</t>
        </is>
      </c>
    </row>
    <row r="757">
      <c r="A757" s="19" t="inlineStr">
        <is>
          <t>SLE</t>
        </is>
      </c>
      <c r="B757" s="19" t="inlineStr">
        <is>
          <t>rev</t>
        </is>
      </c>
      <c r="C757" s="19" t="n">
        <v>2026</v>
      </c>
      <c r="D757" s="19" t="n">
        <v>0.01405</v>
      </c>
      <c r="E757" s="19" t="inlineStr">
        <is>
          <t>PriceFeasibility v0.1 x NMIM power CO2</t>
        </is>
      </c>
    </row>
    <row r="758">
      <c r="A758" s="19" t="inlineStr">
        <is>
          <t>SLE</t>
        </is>
      </c>
      <c r="B758" s="19" t="inlineStr">
        <is>
          <t>rev</t>
        </is>
      </c>
      <c r="C758" s="19" t="n">
        <v>2027</v>
      </c>
      <c r="D758" s="19" t="n">
        <v>0.01453</v>
      </c>
      <c r="E758" s="19" t="inlineStr">
        <is>
          <t>PriceFeasibility v0.1 x NMIM power CO2</t>
        </is>
      </c>
    </row>
    <row r="759">
      <c r="A759" s="19" t="inlineStr">
        <is>
          <t>SLE</t>
        </is>
      </c>
      <c r="B759" s="19" t="inlineStr">
        <is>
          <t>rev</t>
        </is>
      </c>
      <c r="C759" s="19" t="n">
        <v>2028</v>
      </c>
      <c r="D759" s="19" t="n">
        <v>0.0149</v>
      </c>
      <c r="E759" s="19" t="inlineStr">
        <is>
          <t>PriceFeasibility v0.1 x NMIM power CO2</t>
        </is>
      </c>
    </row>
    <row r="760">
      <c r="A760" s="19" t="inlineStr">
        <is>
          <t>SLE</t>
        </is>
      </c>
      <c r="B760" s="19" t="inlineStr">
        <is>
          <t>rev</t>
        </is>
      </c>
      <c r="C760" s="19" t="n">
        <v>2029</v>
      </c>
      <c r="D760" s="19" t="n">
        <v>0.01516</v>
      </c>
      <c r="E760" s="19" t="inlineStr">
        <is>
          <t>PriceFeasibility v0.1 x NMIM power CO2</t>
        </is>
      </c>
    </row>
    <row r="761">
      <c r="A761" s="19" t="inlineStr">
        <is>
          <t>SLE</t>
        </is>
      </c>
      <c r="B761" s="19" t="inlineStr">
        <is>
          <t>rev</t>
        </is>
      </c>
      <c r="C761" s="19" t="n">
        <v>2030</v>
      </c>
      <c r="D761" s="19" t="n">
        <v>0.01528</v>
      </c>
      <c r="E761" s="19" t="inlineStr">
        <is>
          <t>PriceFeasibility v0.1 x NMIM power CO2</t>
        </is>
      </c>
    </row>
    <row r="762">
      <c r="A762" s="19" t="inlineStr">
        <is>
          <t>SLE</t>
        </is>
      </c>
      <c r="B762" s="19" t="inlineStr">
        <is>
          <t>rev</t>
        </is>
      </c>
      <c r="C762" s="19" t="n">
        <v>2031</v>
      </c>
      <c r="D762" s="19" t="n">
        <v>0.01526</v>
      </c>
      <c r="E762" s="19" t="inlineStr">
        <is>
          <t>PriceFeasibility v0.1 x NMIM power CO2</t>
        </is>
      </c>
    </row>
    <row r="763">
      <c r="A763" s="19" t="inlineStr">
        <is>
          <t>SLE</t>
        </is>
      </c>
      <c r="B763" s="19" t="inlineStr">
        <is>
          <t>rev</t>
        </is>
      </c>
      <c r="C763" s="19" t="n">
        <v>2032</v>
      </c>
      <c r="D763" s="19" t="n">
        <v>0.01509</v>
      </c>
      <c r="E763" s="19" t="inlineStr">
        <is>
          <t>PriceFeasibility v0.1 x NMIM power CO2</t>
        </is>
      </c>
    </row>
    <row r="764">
      <c r="A764" s="19" t="inlineStr">
        <is>
          <t>SLE</t>
        </is>
      </c>
      <c r="B764" s="19" t="inlineStr">
        <is>
          <t>rev</t>
        </is>
      </c>
      <c r="C764" s="19" t="n">
        <v>2033</v>
      </c>
      <c r="D764" s="19" t="n">
        <v>0.01478</v>
      </c>
      <c r="E764" s="19" t="inlineStr">
        <is>
          <t>PriceFeasibility v0.1 x NMIM power CO2</t>
        </is>
      </c>
    </row>
    <row r="765">
      <c r="A765" s="19" t="inlineStr">
        <is>
          <t>SLE</t>
        </is>
      </c>
      <c r="B765" s="19" t="inlineStr">
        <is>
          <t>rev</t>
        </is>
      </c>
      <c r="C765" s="19" t="n">
        <v>2034</v>
      </c>
      <c r="D765" s="19" t="n">
        <v>0.01432</v>
      </c>
      <c r="E765" s="19" t="inlineStr">
        <is>
          <t>PriceFeasibility v0.1 x NMIM power CO2</t>
        </is>
      </c>
    </row>
    <row r="766">
      <c r="A766" s="19" t="inlineStr">
        <is>
          <t>SLE</t>
        </is>
      </c>
      <c r="B766" s="19" t="inlineStr">
        <is>
          <t>rev</t>
        </is>
      </c>
      <c r="C766" s="19" t="n">
        <v>2035</v>
      </c>
      <c r="D766" s="19" t="n">
        <v>0.01371</v>
      </c>
      <c r="E766" s="19" t="inlineStr">
        <is>
          <t>PriceFeasibility v0.1 x NMIM power CO2</t>
        </is>
      </c>
    </row>
    <row r="767">
      <c r="A767" s="19" t="inlineStr">
        <is>
          <t>SLE</t>
        </is>
      </c>
      <c r="B767" s="19" t="inlineStr">
        <is>
          <t>rev</t>
        </is>
      </c>
      <c r="C767" s="19" t="n">
        <v>2036</v>
      </c>
      <c r="D767" s="19" t="n">
        <v>0.01295</v>
      </c>
      <c r="E767" s="19" t="inlineStr">
        <is>
          <t>PriceFeasibility v0.1 x NMIM power CO2</t>
        </is>
      </c>
    </row>
    <row r="768">
      <c r="A768" s="19" t="inlineStr">
        <is>
          <t>SLE</t>
        </is>
      </c>
      <c r="B768" s="19" t="inlineStr">
        <is>
          <t>rev</t>
        </is>
      </c>
      <c r="C768" s="19" t="n">
        <v>2037</v>
      </c>
      <c r="D768" s="19" t="n">
        <v>0.01204</v>
      </c>
      <c r="E768" s="19" t="inlineStr">
        <is>
          <t>PriceFeasibility v0.1 x NMIM power CO2</t>
        </is>
      </c>
    </row>
    <row r="769">
      <c r="A769" s="19" t="inlineStr">
        <is>
          <t>SLE</t>
        </is>
      </c>
      <c r="B769" s="19" t="inlineStr">
        <is>
          <t>rev</t>
        </is>
      </c>
      <c r="C769" s="19" t="n">
        <v>2038</v>
      </c>
      <c r="D769" s="19" t="n">
        <v>0.01099</v>
      </c>
      <c r="E769" s="19" t="inlineStr">
        <is>
          <t>PriceFeasibility v0.1 x NMIM power CO2</t>
        </is>
      </c>
    </row>
    <row r="770">
      <c r="A770" s="19" t="inlineStr">
        <is>
          <t>SLE</t>
        </is>
      </c>
      <c r="B770" s="19" t="inlineStr">
        <is>
          <t>rev</t>
        </is>
      </c>
      <c r="C770" s="19" t="n">
        <v>2039</v>
      </c>
      <c r="D770" s="19" t="n">
        <v>0.009799</v>
      </c>
      <c r="E770" s="19" t="inlineStr">
        <is>
          <t>PriceFeasibility v0.1 x NMIM power CO2</t>
        </is>
      </c>
    </row>
    <row r="771">
      <c r="A771" s="19" t="inlineStr">
        <is>
          <t>SLE</t>
        </is>
      </c>
      <c r="B771" s="19" t="inlineStr">
        <is>
          <t>rev</t>
        </is>
      </c>
      <c r="C771" s="19" t="n">
        <v>2040</v>
      </c>
      <c r="D771" s="19" t="n">
        <v>0.008473</v>
      </c>
      <c r="E771" s="19" t="inlineStr">
        <is>
          <t>PriceFeasibility v0.1 x NMIM power CO2</t>
        </is>
      </c>
    </row>
    <row r="772">
      <c r="A772" s="19" t="inlineStr">
        <is>
          <t>SLE</t>
        </is>
      </c>
      <c r="B772" s="19" t="inlineStr">
        <is>
          <t>rev</t>
        </is>
      </c>
      <c r="C772" s="19" t="n">
        <v>2041</v>
      </c>
      <c r="D772" s="19" t="n">
        <v>0.007002</v>
      </c>
      <c r="E772" s="19" t="inlineStr">
        <is>
          <t>PriceFeasibility v0.1 x NMIM power CO2</t>
        </is>
      </c>
    </row>
    <row r="773">
      <c r="A773" s="19" t="inlineStr">
        <is>
          <t>SLE</t>
        </is>
      </c>
      <c r="B773" s="19" t="inlineStr">
        <is>
          <t>rev</t>
        </is>
      </c>
      <c r="C773" s="19" t="n">
        <v>2042</v>
      </c>
      <c r="D773" s="19" t="n">
        <v>0.005404</v>
      </c>
      <c r="E773" s="19" t="inlineStr">
        <is>
          <t>PriceFeasibility v0.1 x NMIM power CO2</t>
        </is>
      </c>
    </row>
    <row r="774">
      <c r="A774" s="19" t="inlineStr">
        <is>
          <t>SLE</t>
        </is>
      </c>
      <c r="B774" s="19" t="inlineStr">
        <is>
          <t>rev</t>
        </is>
      </c>
      <c r="C774" s="19" t="n">
        <v>2043</v>
      </c>
      <c r="D774" s="19" t="n">
        <v>0.003694</v>
      </c>
      <c r="E774" s="19" t="inlineStr">
        <is>
          <t>PriceFeasibility v0.1 x NMIM power CO2</t>
        </is>
      </c>
    </row>
    <row r="775">
      <c r="A775" s="19" t="inlineStr">
        <is>
          <t>SLE</t>
        </is>
      </c>
      <c r="B775" s="19" t="inlineStr">
        <is>
          <t>rev</t>
        </is>
      </c>
      <c r="C775" s="19" t="n">
        <v>2044</v>
      </c>
      <c r="D775" s="19" t="n">
        <v>0.001889</v>
      </c>
      <c r="E775" s="19" t="inlineStr">
        <is>
          <t>PriceFeasibility v0.1 x NMIM power CO2</t>
        </is>
      </c>
    </row>
    <row r="776">
      <c r="A776" s="19" t="inlineStr">
        <is>
          <t>SLE</t>
        </is>
      </c>
      <c r="B776" s="19" t="inlineStr">
        <is>
          <t>rev</t>
        </is>
      </c>
      <c r="C776" s="19" t="n">
        <v>2045</v>
      </c>
      <c r="D776" s="19" t="n">
        <v>0</v>
      </c>
      <c r="E776" s="19" t="inlineStr">
        <is>
          <t>PriceFeasibility v0.1 x NMIM power CO2</t>
        </is>
      </c>
    </row>
    <row r="777">
      <c r="A777" s="19" t="inlineStr">
        <is>
          <t>SLE</t>
        </is>
      </c>
      <c r="B777" s="19" t="inlineStr">
        <is>
          <t>rev</t>
        </is>
      </c>
      <c r="C777" s="19" t="n">
        <v>2046</v>
      </c>
      <c r="D777" s="19" t="n">
        <v>0</v>
      </c>
      <c r="E777" s="19" t="inlineStr">
        <is>
          <t>PriceFeasibility v0.1 x NMIM power CO2</t>
        </is>
      </c>
    </row>
    <row r="778">
      <c r="A778" s="19" t="inlineStr">
        <is>
          <t>SLE</t>
        </is>
      </c>
      <c r="B778" s="19" t="inlineStr">
        <is>
          <t>rev</t>
        </is>
      </c>
      <c r="C778" s="19" t="n">
        <v>2047</v>
      </c>
      <c r="D778" s="19" t="n">
        <v>0</v>
      </c>
      <c r="E778" s="19" t="inlineStr">
        <is>
          <t>PriceFeasibility v0.1 x NMIM power CO2</t>
        </is>
      </c>
    </row>
    <row r="779">
      <c r="A779" s="19" t="inlineStr">
        <is>
          <t>SLE</t>
        </is>
      </c>
      <c r="B779" s="19" t="inlineStr">
        <is>
          <t>rev</t>
        </is>
      </c>
      <c r="C779" s="19" t="n">
        <v>2048</v>
      </c>
      <c r="D779" s="19" t="n">
        <v>0</v>
      </c>
      <c r="E779" s="19" t="inlineStr">
        <is>
          <t>PriceFeasibility v0.1 x NMIM power CO2</t>
        </is>
      </c>
    </row>
    <row r="780">
      <c r="A780" s="19" t="inlineStr">
        <is>
          <t>SLE</t>
        </is>
      </c>
      <c r="B780" s="19" t="inlineStr">
        <is>
          <t>rev</t>
        </is>
      </c>
      <c r="C780" s="19" t="n">
        <v>2049</v>
      </c>
      <c r="D780" s="19" t="n">
        <v>0</v>
      </c>
      <c r="E780" s="19" t="inlineStr">
        <is>
          <t>PriceFeasibility v0.1 x NMIM power CO2</t>
        </is>
      </c>
    </row>
    <row r="781">
      <c r="A781" s="19" t="inlineStr">
        <is>
          <t>SLE</t>
        </is>
      </c>
      <c r="B781" s="19" t="inlineStr">
        <is>
          <t>rev</t>
        </is>
      </c>
      <c r="C781" s="19" t="n">
        <v>2050</v>
      </c>
      <c r="D781" s="19" t="n">
        <v>0</v>
      </c>
      <c r="E781" s="19" t="inlineStr">
        <is>
          <t>PriceFeasibility v0.1 x NMIM power CO2</t>
        </is>
      </c>
    </row>
    <row r="782">
      <c r="A782" s="19" t="inlineStr">
        <is>
          <t>TCD</t>
        </is>
      </c>
      <c r="B782" s="19" t="inlineStr">
        <is>
          <t>pub_cap</t>
        </is>
      </c>
      <c r="C782" s="19" t="n">
        <v>2025</v>
      </c>
      <c r="D782" s="19" t="n">
        <v>0.2453</v>
      </c>
      <c r="E782" s="19" t="inlineStr">
        <is>
          <t>NMIM v0.2 via MacroFiscalModels</t>
        </is>
      </c>
    </row>
    <row r="783">
      <c r="A783" s="19" t="inlineStr">
        <is>
          <t>TCD</t>
        </is>
      </c>
      <c r="B783" s="19" t="inlineStr">
        <is>
          <t>pub_cap</t>
        </is>
      </c>
      <c r="C783" s="19" t="n">
        <v>2026</v>
      </c>
      <c r="D783" s="19" t="n">
        <v>0.2524</v>
      </c>
      <c r="E783" s="19" t="inlineStr">
        <is>
          <t>NMIM v0.2 via MacroFiscalModels</t>
        </is>
      </c>
    </row>
    <row r="784">
      <c r="A784" s="19" t="inlineStr">
        <is>
          <t>TCD</t>
        </is>
      </c>
      <c r="B784" s="19" t="inlineStr">
        <is>
          <t>pub_cap</t>
        </is>
      </c>
      <c r="C784" s="19" t="n">
        <v>2027</v>
      </c>
      <c r="D784" s="19" t="n">
        <v>0.2565</v>
      </c>
      <c r="E784" s="19" t="inlineStr">
        <is>
          <t>NMIM v0.2 via MacroFiscalModels</t>
        </is>
      </c>
    </row>
    <row r="785">
      <c r="A785" s="19" t="inlineStr">
        <is>
          <t>TCD</t>
        </is>
      </c>
      <c r="B785" s="19" t="inlineStr">
        <is>
          <t>pub_cap</t>
        </is>
      </c>
      <c r="C785" s="19" t="n">
        <v>2028</v>
      </c>
      <c r="D785" s="19" t="n">
        <v>0.2592</v>
      </c>
      <c r="E785" s="19" t="inlineStr">
        <is>
          <t>NMIM v0.2 via MacroFiscalModels</t>
        </is>
      </c>
    </row>
    <row r="786">
      <c r="A786" s="19" t="inlineStr">
        <is>
          <t>TCD</t>
        </is>
      </c>
      <c r="B786" s="19" t="inlineStr">
        <is>
          <t>pub_cap</t>
        </is>
      </c>
      <c r="C786" s="19" t="n">
        <v>2029</v>
      </c>
      <c r="D786" s="19" t="n">
        <v>0.2613</v>
      </c>
      <c r="E786" s="19" t="inlineStr">
        <is>
          <t>NMIM v0.2 via MacroFiscalModels</t>
        </is>
      </c>
    </row>
    <row r="787">
      <c r="A787" s="19" t="inlineStr">
        <is>
          <t>TCD</t>
        </is>
      </c>
      <c r="B787" s="19" t="inlineStr">
        <is>
          <t>pub_cap</t>
        </is>
      </c>
      <c r="C787" s="19" t="n">
        <v>2030</v>
      </c>
      <c r="D787" s="19" t="n">
        <v>0.2619</v>
      </c>
      <c r="E787" s="19" t="inlineStr">
        <is>
          <t>NMIM v0.2 via MacroFiscalModels</t>
        </is>
      </c>
    </row>
    <row r="788">
      <c r="A788" s="19" t="inlineStr">
        <is>
          <t>TCD</t>
        </is>
      </c>
      <c r="B788" s="19" t="inlineStr">
        <is>
          <t>pub_cap</t>
        </is>
      </c>
      <c r="C788" s="19" t="n">
        <v>2031</v>
      </c>
      <c r="D788" s="19" t="n">
        <v>0.2609</v>
      </c>
      <c r="E788" s="19" t="inlineStr">
        <is>
          <t>NMIM v0.2 via MacroFiscalModels</t>
        </is>
      </c>
    </row>
    <row r="789">
      <c r="A789" s="19" t="inlineStr">
        <is>
          <t>TCD</t>
        </is>
      </c>
      <c r="B789" s="19" t="inlineStr">
        <is>
          <t>pub_cap</t>
        </is>
      </c>
      <c r="C789" s="19" t="n">
        <v>2032</v>
      </c>
      <c r="D789" s="19" t="n">
        <v>0.2586</v>
      </c>
      <c r="E789" s="19" t="inlineStr">
        <is>
          <t>NMIM v0.2 via MacroFiscalModels</t>
        </is>
      </c>
    </row>
    <row r="790">
      <c r="A790" s="19" t="inlineStr">
        <is>
          <t>TCD</t>
        </is>
      </c>
      <c r="B790" s="19" t="inlineStr">
        <is>
          <t>pub_cap</t>
        </is>
      </c>
      <c r="C790" s="19" t="n">
        <v>2033</v>
      </c>
      <c r="D790" s="19" t="n">
        <v>0.2598</v>
      </c>
      <c r="E790" s="19" t="inlineStr">
        <is>
          <t>NMIM v0.2 via MacroFiscalModels</t>
        </is>
      </c>
    </row>
    <row r="791">
      <c r="A791" s="19" t="inlineStr">
        <is>
          <t>TCD</t>
        </is>
      </c>
      <c r="B791" s="19" t="inlineStr">
        <is>
          <t>pub_cap</t>
        </is>
      </c>
      <c r="C791" s="19" t="n">
        <v>2034</v>
      </c>
      <c r="D791" s="19" t="n">
        <v>0.2605</v>
      </c>
      <c r="E791" s="19" t="inlineStr">
        <is>
          <t>NMIM v0.2 via MacroFiscalModels</t>
        </is>
      </c>
    </row>
    <row r="792">
      <c r="A792" s="19" t="inlineStr">
        <is>
          <t>TCD</t>
        </is>
      </c>
      <c r="B792" s="19" t="inlineStr">
        <is>
          <t>pub_cap</t>
        </is>
      </c>
      <c r="C792" s="19" t="n">
        <v>2035</v>
      </c>
      <c r="D792" s="19" t="n">
        <v>0.2607</v>
      </c>
      <c r="E792" s="19" t="inlineStr">
        <is>
          <t>NMIM v0.2 via MacroFiscalModels</t>
        </is>
      </c>
    </row>
    <row r="793">
      <c r="A793" s="19" t="inlineStr">
        <is>
          <t>TCD</t>
        </is>
      </c>
      <c r="B793" s="19" t="inlineStr">
        <is>
          <t>pub_cap</t>
        </is>
      </c>
      <c r="C793" s="19" t="n">
        <v>2036</v>
      </c>
      <c r="D793" s="19" t="n">
        <v>0.2611</v>
      </c>
      <c r="E793" s="19" t="inlineStr">
        <is>
          <t>NMIM v0.2 via MacroFiscalModels</t>
        </is>
      </c>
    </row>
    <row r="794">
      <c r="A794" s="19" t="inlineStr">
        <is>
          <t>TCD</t>
        </is>
      </c>
      <c r="B794" s="19" t="inlineStr">
        <is>
          <t>pub_cap</t>
        </is>
      </c>
      <c r="C794" s="19" t="n">
        <v>2037</v>
      </c>
      <c r="D794" s="19" t="n">
        <v>0.2609</v>
      </c>
      <c r="E794" s="19" t="inlineStr">
        <is>
          <t>NMIM v0.2 via MacroFiscalModels</t>
        </is>
      </c>
    </row>
    <row r="795">
      <c r="A795" s="19" t="inlineStr">
        <is>
          <t>TCD</t>
        </is>
      </c>
      <c r="B795" s="19" t="inlineStr">
        <is>
          <t>pub_cap</t>
        </is>
      </c>
      <c r="C795" s="19" t="n">
        <v>2038</v>
      </c>
      <c r="D795" s="19" t="n">
        <v>0.2664</v>
      </c>
      <c r="E795" s="19" t="inlineStr">
        <is>
          <t>NMIM v0.2 via MacroFiscalModels</t>
        </is>
      </c>
    </row>
    <row r="796">
      <c r="A796" s="19" t="inlineStr">
        <is>
          <t>TCD</t>
        </is>
      </c>
      <c r="B796" s="19" t="inlineStr">
        <is>
          <t>pub_cap</t>
        </is>
      </c>
      <c r="C796" s="19" t="n">
        <v>2039</v>
      </c>
      <c r="D796" s="19" t="n">
        <v>0.283</v>
      </c>
      <c r="E796" s="19" t="inlineStr">
        <is>
          <t>NMIM v0.2 via MacroFiscalModels</t>
        </is>
      </c>
    </row>
    <row r="797">
      <c r="A797" s="19" t="inlineStr">
        <is>
          <t>TCD</t>
        </is>
      </c>
      <c r="B797" s="19" t="inlineStr">
        <is>
          <t>pub_cap</t>
        </is>
      </c>
      <c r="C797" s="19" t="n">
        <v>2040</v>
      </c>
      <c r="D797" s="19" t="n">
        <v>0.2994</v>
      </c>
      <c r="E797" s="19" t="inlineStr">
        <is>
          <t>NMIM v0.2 via MacroFiscalModels</t>
        </is>
      </c>
    </row>
    <row r="798">
      <c r="A798" s="19" t="inlineStr">
        <is>
          <t>TCD</t>
        </is>
      </c>
      <c r="B798" s="19" t="inlineStr">
        <is>
          <t>pub_cap</t>
        </is>
      </c>
      <c r="C798" s="19" t="n">
        <v>2041</v>
      </c>
      <c r="D798" s="19" t="n">
        <v>0.3118</v>
      </c>
      <c r="E798" s="19" t="inlineStr">
        <is>
          <t>NMIM v0.2 via MacroFiscalModels</t>
        </is>
      </c>
    </row>
    <row r="799">
      <c r="A799" s="19" t="inlineStr">
        <is>
          <t>TCD</t>
        </is>
      </c>
      <c r="B799" s="19" t="inlineStr">
        <is>
          <t>pub_cap</t>
        </is>
      </c>
      <c r="C799" s="19" t="n">
        <v>2042</v>
      </c>
      <c r="D799" s="19" t="n">
        <v>0.3193</v>
      </c>
      <c r="E799" s="19" t="inlineStr">
        <is>
          <t>NMIM v0.2 via MacroFiscalModels</t>
        </is>
      </c>
    </row>
    <row r="800">
      <c r="A800" s="19" t="inlineStr">
        <is>
          <t>TCD</t>
        </is>
      </c>
      <c r="B800" s="19" t="inlineStr">
        <is>
          <t>pub_cap</t>
        </is>
      </c>
      <c r="C800" s="19" t="n">
        <v>2043</v>
      </c>
      <c r="D800" s="19" t="n">
        <v>0.3263</v>
      </c>
      <c r="E800" s="19" t="inlineStr">
        <is>
          <t>NMIM v0.2 via MacroFiscalModels</t>
        </is>
      </c>
    </row>
    <row r="801">
      <c r="A801" s="19" t="inlineStr">
        <is>
          <t>TCD</t>
        </is>
      </c>
      <c r="B801" s="19" t="inlineStr">
        <is>
          <t>pub_cap</t>
        </is>
      </c>
      <c r="C801" s="19" t="n">
        <v>2044</v>
      </c>
      <c r="D801" s="19" t="n">
        <v>0.3326</v>
      </c>
      <c r="E801" s="19" t="inlineStr">
        <is>
          <t>NMIM v0.2 via MacroFiscalModels</t>
        </is>
      </c>
    </row>
    <row r="802">
      <c r="A802" s="19" t="inlineStr">
        <is>
          <t>TCD</t>
        </is>
      </c>
      <c r="B802" s="19" t="inlineStr">
        <is>
          <t>pub_cap</t>
        </is>
      </c>
      <c r="C802" s="19" t="n">
        <v>2045</v>
      </c>
      <c r="D802" s="19" t="n">
        <v>0.3384</v>
      </c>
      <c r="E802" s="19" t="inlineStr">
        <is>
          <t>NMIM v0.2 via MacroFiscalModels</t>
        </is>
      </c>
    </row>
    <row r="803">
      <c r="A803" s="19" t="inlineStr">
        <is>
          <t>TCD</t>
        </is>
      </c>
      <c r="B803" s="19" t="inlineStr">
        <is>
          <t>pub_cap</t>
        </is>
      </c>
      <c r="C803" s="19" t="n">
        <v>2046</v>
      </c>
      <c r="D803" s="19" t="n">
        <v>0.2582</v>
      </c>
      <c r="E803" s="19" t="inlineStr">
        <is>
          <t>NMIM v0.2 via MacroFiscalModels</t>
        </is>
      </c>
    </row>
    <row r="804">
      <c r="A804" s="19" t="inlineStr">
        <is>
          <t>TCD</t>
        </is>
      </c>
      <c r="B804" s="19" t="inlineStr">
        <is>
          <t>pub_cap</t>
        </is>
      </c>
      <c r="C804" s="19" t="n">
        <v>2047</v>
      </c>
      <c r="D804" s="19" t="n">
        <v>0.2547</v>
      </c>
      <c r="E804" s="19" t="inlineStr">
        <is>
          <t>NMIM v0.2 via MacroFiscalModels</t>
        </is>
      </c>
    </row>
    <row r="805">
      <c r="A805" s="19" t="inlineStr">
        <is>
          <t>TCD</t>
        </is>
      </c>
      <c r="B805" s="19" t="inlineStr">
        <is>
          <t>pub_cap</t>
        </is>
      </c>
      <c r="C805" s="19" t="n">
        <v>2048</v>
      </c>
      <c r="D805" s="19" t="n">
        <v>0.2511</v>
      </c>
      <c r="E805" s="19" t="inlineStr">
        <is>
          <t>NMIM v0.2 via MacroFiscalModels</t>
        </is>
      </c>
    </row>
    <row r="806">
      <c r="A806" s="19" t="inlineStr">
        <is>
          <t>TCD</t>
        </is>
      </c>
      <c r="B806" s="19" t="inlineStr">
        <is>
          <t>pub_cap</t>
        </is>
      </c>
      <c r="C806" s="19" t="n">
        <v>2049</v>
      </c>
      <c r="D806" s="19" t="n">
        <v>0.2476</v>
      </c>
      <c r="E806" s="19" t="inlineStr">
        <is>
          <t>NMIM v0.2 via MacroFiscalModels</t>
        </is>
      </c>
    </row>
    <row r="807">
      <c r="A807" s="19" t="inlineStr">
        <is>
          <t>TCD</t>
        </is>
      </c>
      <c r="B807" s="19" t="inlineStr">
        <is>
          <t>pub_cap</t>
        </is>
      </c>
      <c r="C807" s="19" t="n">
        <v>2050</v>
      </c>
      <c r="D807" s="19" t="n">
        <v>0.244</v>
      </c>
      <c r="E807" s="19" t="inlineStr">
        <is>
          <t>NMIM v0.2 via MacroFiscalModels</t>
        </is>
      </c>
    </row>
    <row r="808">
      <c r="A808" s="19" t="inlineStr">
        <is>
          <t>TCD</t>
        </is>
      </c>
      <c r="B808" s="19" t="inlineStr">
        <is>
          <t>pub_spend</t>
        </is>
      </c>
      <c r="C808" s="19" t="n">
        <v>2025</v>
      </c>
      <c r="D808" s="19" t="n">
        <v>1.249</v>
      </c>
      <c r="E808" s="19" t="inlineStr">
        <is>
          <t>NMIM v0.2 via MacroFiscalModels</t>
        </is>
      </c>
    </row>
    <row r="809">
      <c r="A809" s="19" t="inlineStr">
        <is>
          <t>TCD</t>
        </is>
      </c>
      <c r="B809" s="19" t="inlineStr">
        <is>
          <t>pub_spend</t>
        </is>
      </c>
      <c r="C809" s="19" t="n">
        <v>2026</v>
      </c>
      <c r="D809" s="19" t="n">
        <v>2.374</v>
      </c>
      <c r="E809" s="19" t="inlineStr">
        <is>
          <t>NMIM v0.2 via MacroFiscalModels</t>
        </is>
      </c>
    </row>
    <row r="810">
      <c r="A810" s="19" t="inlineStr">
        <is>
          <t>TCD</t>
        </is>
      </c>
      <c r="B810" s="19" t="inlineStr">
        <is>
          <t>pub_spend</t>
        </is>
      </c>
      <c r="C810" s="19" t="n">
        <v>2027</v>
      </c>
      <c r="D810" s="19" t="n">
        <v>3.386</v>
      </c>
      <c r="E810" s="19" t="inlineStr">
        <is>
          <t>NMIM v0.2 via MacroFiscalModels</t>
        </is>
      </c>
    </row>
    <row r="811">
      <c r="A811" s="19" t="inlineStr">
        <is>
          <t>TCD</t>
        </is>
      </c>
      <c r="B811" s="19" t="inlineStr">
        <is>
          <t>pub_spend</t>
        </is>
      </c>
      <c r="C811" s="19" t="n">
        <v>2028</v>
      </c>
      <c r="D811" s="19" t="n">
        <v>4.294</v>
      </c>
      <c r="E811" s="19" t="inlineStr">
        <is>
          <t>NMIM v0.2 via MacroFiscalModels</t>
        </is>
      </c>
    </row>
    <row r="812">
      <c r="A812" s="19" t="inlineStr">
        <is>
          <t>TCD</t>
        </is>
      </c>
      <c r="B812" s="19" t="inlineStr">
        <is>
          <t>pub_spend</t>
        </is>
      </c>
      <c r="C812" s="19" t="n">
        <v>2029</v>
      </c>
      <c r="D812" s="19" t="n">
        <v>5.109</v>
      </c>
      <c r="E812" s="19" t="inlineStr">
        <is>
          <t>NMIM v0.2 via MacroFiscalModels</t>
        </is>
      </c>
    </row>
    <row r="813">
      <c r="A813" s="19" t="inlineStr">
        <is>
          <t>TCD</t>
        </is>
      </c>
      <c r="B813" s="19" t="inlineStr">
        <is>
          <t>pub_spend</t>
        </is>
      </c>
      <c r="C813" s="19" t="n">
        <v>2030</v>
      </c>
      <c r="D813" s="19" t="n">
        <v>5.837</v>
      </c>
      <c r="E813" s="19" t="inlineStr">
        <is>
          <t>NMIM v0.2 via MacroFiscalModels</t>
        </is>
      </c>
    </row>
    <row r="814">
      <c r="A814" s="19" t="inlineStr">
        <is>
          <t>TCD</t>
        </is>
      </c>
      <c r="B814" s="19" t="inlineStr">
        <is>
          <t>pub_spend</t>
        </is>
      </c>
      <c r="C814" s="19" t="n">
        <v>2031</v>
      </c>
      <c r="D814" s="19" t="n">
        <v>5.669</v>
      </c>
      <c r="E814" s="19" t="inlineStr">
        <is>
          <t>NMIM v0.2 via MacroFiscalModels</t>
        </is>
      </c>
    </row>
    <row r="815">
      <c r="A815" s="19" t="inlineStr">
        <is>
          <t>TCD</t>
        </is>
      </c>
      <c r="B815" s="19" t="inlineStr">
        <is>
          <t>pub_spend</t>
        </is>
      </c>
      <c r="C815" s="19" t="n">
        <v>2032</v>
      </c>
      <c r="D815" s="19" t="n">
        <v>5.507</v>
      </c>
      <c r="E815" s="19" t="inlineStr">
        <is>
          <t>NMIM v0.2 via MacroFiscalModels</t>
        </is>
      </c>
    </row>
    <row r="816">
      <c r="A816" s="19" t="inlineStr">
        <is>
          <t>TCD</t>
        </is>
      </c>
      <c r="B816" s="19" t="inlineStr">
        <is>
          <t>pub_spend</t>
        </is>
      </c>
      <c r="C816" s="19" t="n">
        <v>2033</v>
      </c>
      <c r="D816" s="19" t="n">
        <v>5.349</v>
      </c>
      <c r="E816" s="19" t="inlineStr">
        <is>
          <t>NMIM v0.2 via MacroFiscalModels</t>
        </is>
      </c>
    </row>
    <row r="817">
      <c r="A817" s="19" t="inlineStr">
        <is>
          <t>TCD</t>
        </is>
      </c>
      <c r="B817" s="19" t="inlineStr">
        <is>
          <t>pub_spend</t>
        </is>
      </c>
      <c r="C817" s="19" t="n">
        <v>2034</v>
      </c>
      <c r="D817" s="19" t="n">
        <v>5.198</v>
      </c>
      <c r="E817" s="19" t="inlineStr">
        <is>
          <t>NMIM v0.2 via MacroFiscalModels</t>
        </is>
      </c>
    </row>
    <row r="818">
      <c r="A818" s="19" t="inlineStr">
        <is>
          <t>TCD</t>
        </is>
      </c>
      <c r="B818" s="19" t="inlineStr">
        <is>
          <t>pub_spend</t>
        </is>
      </c>
      <c r="C818" s="19" t="n">
        <v>2035</v>
      </c>
      <c r="D818" s="19" t="n">
        <v>5.051</v>
      </c>
      <c r="E818" s="19" t="inlineStr">
        <is>
          <t>NMIM v0.2 via MacroFiscalModels</t>
        </is>
      </c>
    </row>
    <row r="819">
      <c r="A819" s="19" t="inlineStr">
        <is>
          <t>TCD</t>
        </is>
      </c>
      <c r="B819" s="19" t="inlineStr">
        <is>
          <t>pub_spend</t>
        </is>
      </c>
      <c r="C819" s="19" t="n">
        <v>2036</v>
      </c>
      <c r="D819" s="19" t="n">
        <v>4.909</v>
      </c>
      <c r="E819" s="19" t="inlineStr">
        <is>
          <t>NMIM v0.2 via MacroFiscalModels</t>
        </is>
      </c>
    </row>
    <row r="820">
      <c r="A820" s="19" t="inlineStr">
        <is>
          <t>TCD</t>
        </is>
      </c>
      <c r="B820" s="19" t="inlineStr">
        <is>
          <t>pub_spend</t>
        </is>
      </c>
      <c r="C820" s="19" t="n">
        <v>2037</v>
      </c>
      <c r="D820" s="19" t="n">
        <v>4.773</v>
      </c>
      <c r="E820" s="19" t="inlineStr">
        <is>
          <t>NMIM v0.2 via MacroFiscalModels</t>
        </is>
      </c>
    </row>
    <row r="821">
      <c r="A821" s="19" t="inlineStr">
        <is>
          <t>TCD</t>
        </is>
      </c>
      <c r="B821" s="19" t="inlineStr">
        <is>
          <t>pub_spend</t>
        </is>
      </c>
      <c r="C821" s="19" t="n">
        <v>2038</v>
      </c>
      <c r="D821" s="19" t="n">
        <v>4.641</v>
      </c>
      <c r="E821" s="19" t="inlineStr">
        <is>
          <t>NMIM v0.2 via MacroFiscalModels</t>
        </is>
      </c>
    </row>
    <row r="822">
      <c r="A822" s="19" t="inlineStr">
        <is>
          <t>TCD</t>
        </is>
      </c>
      <c r="B822" s="19" t="inlineStr">
        <is>
          <t>pub_spend</t>
        </is>
      </c>
      <c r="C822" s="19" t="n">
        <v>2039</v>
      </c>
      <c r="D822" s="19" t="n">
        <v>4.513</v>
      </c>
      <c r="E822" s="19" t="inlineStr">
        <is>
          <t>NMIM v0.2 via MacroFiscalModels</t>
        </is>
      </c>
    </row>
    <row r="823">
      <c r="A823" s="19" t="inlineStr">
        <is>
          <t>TCD</t>
        </is>
      </c>
      <c r="B823" s="19" t="inlineStr">
        <is>
          <t>pub_spend</t>
        </is>
      </c>
      <c r="C823" s="19" t="n">
        <v>2040</v>
      </c>
      <c r="D823" s="19" t="n">
        <v>4.391</v>
      </c>
      <c r="E823" s="19" t="inlineStr">
        <is>
          <t>NMIM v0.2 via MacroFiscalModels</t>
        </is>
      </c>
    </row>
    <row r="824">
      <c r="A824" s="19" t="inlineStr">
        <is>
          <t>TCD</t>
        </is>
      </c>
      <c r="B824" s="19" t="inlineStr">
        <is>
          <t>pub_spend</t>
        </is>
      </c>
      <c r="C824" s="19" t="n">
        <v>2041</v>
      </c>
      <c r="D824" s="19" t="n">
        <v>4.27</v>
      </c>
      <c r="E824" s="19" t="inlineStr">
        <is>
          <t>NMIM v0.2 via MacroFiscalModels</t>
        </is>
      </c>
    </row>
    <row r="825">
      <c r="A825" s="19" t="inlineStr">
        <is>
          <t>TCD</t>
        </is>
      </c>
      <c r="B825" s="19" t="inlineStr">
        <is>
          <t>pub_spend</t>
        </is>
      </c>
      <c r="C825" s="19" t="n">
        <v>2042</v>
      </c>
      <c r="D825" s="19" t="n">
        <v>4.152</v>
      </c>
      <c r="E825" s="19" t="inlineStr">
        <is>
          <t>NMIM v0.2 via MacroFiscalModels</t>
        </is>
      </c>
    </row>
    <row r="826">
      <c r="A826" s="19" t="inlineStr">
        <is>
          <t>TCD</t>
        </is>
      </c>
      <c r="B826" s="19" t="inlineStr">
        <is>
          <t>pub_spend</t>
        </is>
      </c>
      <c r="C826" s="19" t="n">
        <v>2043</v>
      </c>
      <c r="D826" s="19" t="n">
        <v>4.035</v>
      </c>
      <c r="E826" s="19" t="inlineStr">
        <is>
          <t>NMIM v0.2 via MacroFiscalModels</t>
        </is>
      </c>
    </row>
    <row r="827">
      <c r="A827" s="19" t="inlineStr">
        <is>
          <t>TCD</t>
        </is>
      </c>
      <c r="B827" s="19" t="inlineStr">
        <is>
          <t>pub_spend</t>
        </is>
      </c>
      <c r="C827" s="19" t="n">
        <v>2044</v>
      </c>
      <c r="D827" s="19" t="n">
        <v>3.922</v>
      </c>
      <c r="E827" s="19" t="inlineStr">
        <is>
          <t>NMIM v0.2 via MacroFiscalModels</t>
        </is>
      </c>
    </row>
    <row r="828">
      <c r="A828" s="19" t="inlineStr">
        <is>
          <t>TCD</t>
        </is>
      </c>
      <c r="B828" s="19" t="inlineStr">
        <is>
          <t>pub_spend</t>
        </is>
      </c>
      <c r="C828" s="19" t="n">
        <v>2045</v>
      </c>
      <c r="D828" s="19" t="n">
        <v>3.81</v>
      </c>
      <c r="E828" s="19" t="inlineStr">
        <is>
          <t>NMIM v0.2 via MacroFiscalModels</t>
        </is>
      </c>
    </row>
    <row r="829">
      <c r="A829" s="19" t="inlineStr">
        <is>
          <t>TCD</t>
        </is>
      </c>
      <c r="B829" s="19" t="inlineStr">
        <is>
          <t>pub_spend</t>
        </is>
      </c>
      <c r="C829" s="19" t="n">
        <v>2046</v>
      </c>
      <c r="D829" s="19" t="n">
        <v>3.701</v>
      </c>
      <c r="E829" s="19" t="inlineStr">
        <is>
          <t>NMIM v0.2 via MacroFiscalModels</t>
        </is>
      </c>
    </row>
    <row r="830">
      <c r="A830" s="19" t="inlineStr">
        <is>
          <t>TCD</t>
        </is>
      </c>
      <c r="B830" s="19" t="inlineStr">
        <is>
          <t>pub_spend</t>
        </is>
      </c>
      <c r="C830" s="19" t="n">
        <v>2047</v>
      </c>
      <c r="D830" s="19" t="n">
        <v>3.594</v>
      </c>
      <c r="E830" s="19" t="inlineStr">
        <is>
          <t>NMIM v0.2 via MacroFiscalModels</t>
        </is>
      </c>
    </row>
    <row r="831">
      <c r="A831" s="19" t="inlineStr">
        <is>
          <t>TCD</t>
        </is>
      </c>
      <c r="B831" s="19" t="inlineStr">
        <is>
          <t>pub_spend</t>
        </is>
      </c>
      <c r="C831" s="19" t="n">
        <v>2048</v>
      </c>
      <c r="D831" s="19" t="n">
        <v>3.49</v>
      </c>
      <c r="E831" s="19" t="inlineStr">
        <is>
          <t>NMIM v0.2 via MacroFiscalModels</t>
        </is>
      </c>
    </row>
    <row r="832">
      <c r="A832" s="19" t="inlineStr">
        <is>
          <t>TCD</t>
        </is>
      </c>
      <c r="B832" s="19" t="inlineStr">
        <is>
          <t>pub_spend</t>
        </is>
      </c>
      <c r="C832" s="19" t="n">
        <v>2049</v>
      </c>
      <c r="D832" s="19" t="n">
        <v>3.388</v>
      </c>
      <c r="E832" s="19" t="inlineStr">
        <is>
          <t>NMIM v0.2 via MacroFiscalModels</t>
        </is>
      </c>
    </row>
    <row r="833">
      <c r="A833" s="19" t="inlineStr">
        <is>
          <t>TCD</t>
        </is>
      </c>
      <c r="B833" s="19" t="inlineStr">
        <is>
          <t>pub_spend</t>
        </is>
      </c>
      <c r="C833" s="19" t="n">
        <v>2050</v>
      </c>
      <c r="D833" s="19" t="n">
        <v>3.288</v>
      </c>
      <c r="E833" s="19" t="inlineStr">
        <is>
          <t>NMIM v0.2 via MacroFiscalModels</t>
        </is>
      </c>
    </row>
    <row r="834">
      <c r="A834" s="19" t="inlineStr">
        <is>
          <t>TCD</t>
        </is>
      </c>
      <c r="B834" s="19" t="inlineStr">
        <is>
          <t>rev</t>
        </is>
      </c>
      <c r="C834" s="19" t="n">
        <v>2025</v>
      </c>
      <c r="D834" s="19" t="n">
        <v>0.02379</v>
      </c>
      <c r="E834" s="19" t="inlineStr">
        <is>
          <t>PriceFeasibility v0.1 x NMIM power CO2</t>
        </is>
      </c>
    </row>
    <row r="835">
      <c r="A835" s="19" t="inlineStr">
        <is>
          <t>TCD</t>
        </is>
      </c>
      <c r="B835" s="19" t="inlineStr">
        <is>
          <t>rev</t>
        </is>
      </c>
      <c r="C835" s="19" t="n">
        <v>2026</v>
      </c>
      <c r="D835" s="19" t="n">
        <v>0.02746</v>
      </c>
      <c r="E835" s="19" t="inlineStr">
        <is>
          <t>PriceFeasibility v0.1 x NMIM power CO2</t>
        </is>
      </c>
    </row>
    <row r="836">
      <c r="A836" s="19" t="inlineStr">
        <is>
          <t>TCD</t>
        </is>
      </c>
      <c r="B836" s="19" t="inlineStr">
        <is>
          <t>rev</t>
        </is>
      </c>
      <c r="C836" s="19" t="n">
        <v>2027</v>
      </c>
      <c r="D836" s="19" t="n">
        <v>0.03054</v>
      </c>
      <c r="E836" s="19" t="inlineStr">
        <is>
          <t>PriceFeasibility v0.1 x NMIM power CO2</t>
        </is>
      </c>
    </row>
    <row r="837">
      <c r="A837" s="19" t="inlineStr">
        <is>
          <t>TCD</t>
        </is>
      </c>
      <c r="B837" s="19" t="inlineStr">
        <is>
          <t>rev</t>
        </is>
      </c>
      <c r="C837" s="19" t="n">
        <v>2028</v>
      </c>
      <c r="D837" s="19" t="n">
        <v>0.03303</v>
      </c>
      <c r="E837" s="19" t="inlineStr">
        <is>
          <t>PriceFeasibility v0.1 x NMIM power CO2</t>
        </is>
      </c>
    </row>
    <row r="838">
      <c r="A838" s="19" t="inlineStr">
        <is>
          <t>TCD</t>
        </is>
      </c>
      <c r="B838" s="19" t="inlineStr">
        <is>
          <t>rev</t>
        </is>
      </c>
      <c r="C838" s="19" t="n">
        <v>2029</v>
      </c>
      <c r="D838" s="19" t="n">
        <v>0.03494</v>
      </c>
      <c r="E838" s="19" t="inlineStr">
        <is>
          <t>PriceFeasibility v0.1 x NMIM power CO2</t>
        </is>
      </c>
    </row>
    <row r="839">
      <c r="A839" s="19" t="inlineStr">
        <is>
          <t>TCD</t>
        </is>
      </c>
      <c r="B839" s="19" t="inlineStr">
        <is>
          <t>rev</t>
        </is>
      </c>
      <c r="C839" s="19" t="n">
        <v>2030</v>
      </c>
      <c r="D839" s="19" t="n">
        <v>0.03629</v>
      </c>
      <c r="E839" s="19" t="inlineStr">
        <is>
          <t>PriceFeasibility v0.1 x NMIM power CO2</t>
        </is>
      </c>
    </row>
    <row r="840">
      <c r="A840" s="19" t="inlineStr">
        <is>
          <t>TCD</t>
        </is>
      </c>
      <c r="B840" s="19" t="inlineStr">
        <is>
          <t>rev</t>
        </is>
      </c>
      <c r="C840" s="19" t="n">
        <v>2031</v>
      </c>
      <c r="D840" s="19" t="n">
        <v>0.03708</v>
      </c>
      <c r="E840" s="19" t="inlineStr">
        <is>
          <t>PriceFeasibility v0.1 x NMIM power CO2</t>
        </is>
      </c>
    </row>
    <row r="841">
      <c r="A841" s="19" t="inlineStr">
        <is>
          <t>TCD</t>
        </is>
      </c>
      <c r="B841" s="19" t="inlineStr">
        <is>
          <t>rev</t>
        </is>
      </c>
      <c r="C841" s="19" t="n">
        <v>2032</v>
      </c>
      <c r="D841" s="19" t="n">
        <v>0.03734</v>
      </c>
      <c r="E841" s="19" t="inlineStr">
        <is>
          <t>PriceFeasibility v0.1 x NMIM power CO2</t>
        </is>
      </c>
    </row>
    <row r="842">
      <c r="A842" s="19" t="inlineStr">
        <is>
          <t>TCD</t>
        </is>
      </c>
      <c r="B842" s="19" t="inlineStr">
        <is>
          <t>rev</t>
        </is>
      </c>
      <c r="C842" s="19" t="n">
        <v>2033</v>
      </c>
      <c r="D842" s="19" t="n">
        <v>0.03707</v>
      </c>
      <c r="E842" s="19" t="inlineStr">
        <is>
          <t>PriceFeasibility v0.1 x NMIM power CO2</t>
        </is>
      </c>
    </row>
    <row r="843">
      <c r="A843" s="19" t="inlineStr">
        <is>
          <t>TCD</t>
        </is>
      </c>
      <c r="B843" s="19" t="inlineStr">
        <is>
          <t>rev</t>
        </is>
      </c>
      <c r="C843" s="19" t="n">
        <v>2034</v>
      </c>
      <c r="D843" s="19" t="n">
        <v>0.03631</v>
      </c>
      <c r="E843" s="19" t="inlineStr">
        <is>
          <t>PriceFeasibility v0.1 x NMIM power CO2</t>
        </is>
      </c>
    </row>
    <row r="844">
      <c r="A844" s="19" t="inlineStr">
        <is>
          <t>TCD</t>
        </is>
      </c>
      <c r="B844" s="19" t="inlineStr">
        <is>
          <t>rev</t>
        </is>
      </c>
      <c r="C844" s="19" t="n">
        <v>2035</v>
      </c>
      <c r="D844" s="19" t="n">
        <v>0.03507</v>
      </c>
      <c r="E844" s="19" t="inlineStr">
        <is>
          <t>PriceFeasibility v0.1 x NMIM power CO2</t>
        </is>
      </c>
    </row>
    <row r="845">
      <c r="A845" s="19" t="inlineStr">
        <is>
          <t>TCD</t>
        </is>
      </c>
      <c r="B845" s="19" t="inlineStr">
        <is>
          <t>rev</t>
        </is>
      </c>
      <c r="C845" s="19" t="n">
        <v>2036</v>
      </c>
      <c r="D845" s="19" t="n">
        <v>0.03336</v>
      </c>
      <c r="E845" s="19" t="inlineStr">
        <is>
          <t>PriceFeasibility v0.1 x NMIM power CO2</t>
        </is>
      </c>
    </row>
    <row r="846">
      <c r="A846" s="19" t="inlineStr">
        <is>
          <t>TCD</t>
        </is>
      </c>
      <c r="B846" s="19" t="inlineStr">
        <is>
          <t>rev</t>
        </is>
      </c>
      <c r="C846" s="19" t="n">
        <v>2037</v>
      </c>
      <c r="D846" s="19" t="n">
        <v>0.0312</v>
      </c>
      <c r="E846" s="19" t="inlineStr">
        <is>
          <t>PriceFeasibility v0.1 x NMIM power CO2</t>
        </is>
      </c>
    </row>
    <row r="847">
      <c r="A847" s="19" t="inlineStr">
        <is>
          <t>TCD</t>
        </is>
      </c>
      <c r="B847" s="19" t="inlineStr">
        <is>
          <t>rev</t>
        </is>
      </c>
      <c r="C847" s="19" t="n">
        <v>2038</v>
      </c>
      <c r="D847" s="19" t="n">
        <v>0.02862</v>
      </c>
      <c r="E847" s="19" t="inlineStr">
        <is>
          <t>PriceFeasibility v0.1 x NMIM power CO2</t>
        </is>
      </c>
    </row>
    <row r="848">
      <c r="A848" s="19" t="inlineStr">
        <is>
          <t>TCD</t>
        </is>
      </c>
      <c r="B848" s="19" t="inlineStr">
        <is>
          <t>rev</t>
        </is>
      </c>
      <c r="C848" s="19" t="n">
        <v>2039</v>
      </c>
      <c r="D848" s="19" t="n">
        <v>0.02562</v>
      </c>
      <c r="E848" s="19" t="inlineStr">
        <is>
          <t>PriceFeasibility v0.1 x NMIM power CO2</t>
        </is>
      </c>
    </row>
    <row r="849">
      <c r="A849" s="19" t="inlineStr">
        <is>
          <t>TCD</t>
        </is>
      </c>
      <c r="B849" s="19" t="inlineStr">
        <is>
          <t>rev</t>
        </is>
      </c>
      <c r="C849" s="19" t="n">
        <v>2040</v>
      </c>
      <c r="D849" s="19" t="n">
        <v>0.02223</v>
      </c>
      <c r="E849" s="19" t="inlineStr">
        <is>
          <t>PriceFeasibility v0.1 x NMIM power CO2</t>
        </is>
      </c>
    </row>
    <row r="850">
      <c r="A850" s="19" t="inlineStr">
        <is>
          <t>TCD</t>
        </is>
      </c>
      <c r="B850" s="19" t="inlineStr">
        <is>
          <t>rev</t>
        </is>
      </c>
      <c r="C850" s="19" t="n">
        <v>2041</v>
      </c>
      <c r="D850" s="19" t="n">
        <v>0.01845</v>
      </c>
      <c r="E850" s="19" t="inlineStr">
        <is>
          <t>PriceFeasibility v0.1 x NMIM power CO2</t>
        </is>
      </c>
    </row>
    <row r="851">
      <c r="A851" s="19" t="inlineStr">
        <is>
          <t>TCD</t>
        </is>
      </c>
      <c r="B851" s="19" t="inlineStr">
        <is>
          <t>rev</t>
        </is>
      </c>
      <c r="C851" s="19" t="n">
        <v>2042</v>
      </c>
      <c r="D851" s="19" t="n">
        <v>0.01431</v>
      </c>
      <c r="E851" s="19" t="inlineStr">
        <is>
          <t>PriceFeasibility v0.1 x NMIM power CO2</t>
        </is>
      </c>
    </row>
    <row r="852">
      <c r="A852" s="19" t="inlineStr">
        <is>
          <t>TCD</t>
        </is>
      </c>
      <c r="B852" s="19" t="inlineStr">
        <is>
          <t>rev</t>
        </is>
      </c>
      <c r="C852" s="19" t="n">
        <v>2043</v>
      </c>
      <c r="D852" s="19" t="n">
        <v>0.009841000000000001</v>
      </c>
      <c r="E852" s="19" t="inlineStr">
        <is>
          <t>PriceFeasibility v0.1 x NMIM power CO2</t>
        </is>
      </c>
    </row>
    <row r="853">
      <c r="A853" s="19" t="inlineStr">
        <is>
          <t>TCD</t>
        </is>
      </c>
      <c r="B853" s="19" t="inlineStr">
        <is>
          <t>rev</t>
        </is>
      </c>
      <c r="C853" s="19" t="n">
        <v>2044</v>
      </c>
      <c r="D853" s="19" t="n">
        <v>0.005062</v>
      </c>
      <c r="E853" s="19" t="inlineStr">
        <is>
          <t>PriceFeasibility v0.1 x NMIM power CO2</t>
        </is>
      </c>
    </row>
    <row r="854">
      <c r="A854" s="19" t="inlineStr">
        <is>
          <t>TCD</t>
        </is>
      </c>
      <c r="B854" s="19" t="inlineStr">
        <is>
          <t>rev</t>
        </is>
      </c>
      <c r="C854" s="19" t="n">
        <v>2045</v>
      </c>
      <c r="D854" s="19" t="n">
        <v>0</v>
      </c>
      <c r="E854" s="19" t="inlineStr">
        <is>
          <t>PriceFeasibility v0.1 x NMIM power CO2</t>
        </is>
      </c>
    </row>
    <row r="855">
      <c r="A855" s="19" t="inlineStr">
        <is>
          <t>TCD</t>
        </is>
      </c>
      <c r="B855" s="19" t="inlineStr">
        <is>
          <t>rev</t>
        </is>
      </c>
      <c r="C855" s="19" t="n">
        <v>2046</v>
      </c>
      <c r="D855" s="19" t="n">
        <v>0</v>
      </c>
      <c r="E855" s="19" t="inlineStr">
        <is>
          <t>PriceFeasibility v0.1 x NMIM power CO2</t>
        </is>
      </c>
    </row>
    <row r="856">
      <c r="A856" s="19" t="inlineStr">
        <is>
          <t>TCD</t>
        </is>
      </c>
      <c r="B856" s="19" t="inlineStr">
        <is>
          <t>rev</t>
        </is>
      </c>
      <c r="C856" s="19" t="n">
        <v>2047</v>
      </c>
      <c r="D856" s="19" t="n">
        <v>0</v>
      </c>
      <c r="E856" s="19" t="inlineStr">
        <is>
          <t>PriceFeasibility v0.1 x NMIM power CO2</t>
        </is>
      </c>
    </row>
    <row r="857">
      <c r="A857" s="19" t="inlineStr">
        <is>
          <t>TCD</t>
        </is>
      </c>
      <c r="B857" s="19" t="inlineStr">
        <is>
          <t>rev</t>
        </is>
      </c>
      <c r="C857" s="19" t="n">
        <v>2048</v>
      </c>
      <c r="D857" s="19" t="n">
        <v>0</v>
      </c>
      <c r="E857" s="19" t="inlineStr">
        <is>
          <t>PriceFeasibility v0.1 x NMIM power CO2</t>
        </is>
      </c>
    </row>
    <row r="858">
      <c r="A858" s="19" t="inlineStr">
        <is>
          <t>TCD</t>
        </is>
      </c>
      <c r="B858" s="19" t="inlineStr">
        <is>
          <t>rev</t>
        </is>
      </c>
      <c r="C858" s="19" t="n">
        <v>2049</v>
      </c>
      <c r="D858" s="19" t="n">
        <v>0</v>
      </c>
      <c r="E858" s="19" t="inlineStr">
        <is>
          <t>PriceFeasibility v0.1 x NMIM power CO2</t>
        </is>
      </c>
    </row>
    <row r="859">
      <c r="A859" s="19" t="inlineStr">
        <is>
          <t>TCD</t>
        </is>
      </c>
      <c r="B859" s="19" t="inlineStr">
        <is>
          <t>rev</t>
        </is>
      </c>
      <c r="C859" s="19" t="n">
        <v>2050</v>
      </c>
      <c r="D859" s="19" t="n">
        <v>0</v>
      </c>
      <c r="E859" s="19" t="inlineStr">
        <is>
          <t>PriceFeasibility v0.1 x NMIM power CO2</t>
        </is>
      </c>
    </row>
    <row r="860">
      <c r="A860" s="19" t="inlineStr">
        <is>
          <t>UGA</t>
        </is>
      </c>
      <c r="B860" s="19" t="inlineStr">
        <is>
          <t>pub_cap</t>
        </is>
      </c>
      <c r="C860" s="19" t="n">
        <v>2025</v>
      </c>
      <c r="D860" s="19" t="n">
        <v>0.08810999999999999</v>
      </c>
      <c r="E860" s="19" t="inlineStr">
        <is>
          <t>NMIM v0.2 via MacroFiscalModels</t>
        </is>
      </c>
    </row>
    <row r="861">
      <c r="A861" s="19" t="inlineStr">
        <is>
          <t>UGA</t>
        </is>
      </c>
      <c r="B861" s="19" t="inlineStr">
        <is>
          <t>pub_cap</t>
        </is>
      </c>
      <c r="C861" s="19" t="n">
        <v>2026</v>
      </c>
      <c r="D861" s="19" t="n">
        <v>0.1081</v>
      </c>
      <c r="E861" s="19" t="inlineStr">
        <is>
          <t>NMIM v0.2 via MacroFiscalModels</t>
        </is>
      </c>
    </row>
    <row r="862">
      <c r="A862" s="19" t="inlineStr">
        <is>
          <t>UGA</t>
        </is>
      </c>
      <c r="B862" s="19" t="inlineStr">
        <is>
          <t>pub_cap</t>
        </is>
      </c>
      <c r="C862" s="19" t="n">
        <v>2027</v>
      </c>
      <c r="D862" s="19" t="n">
        <v>0.1264</v>
      </c>
      <c r="E862" s="19" t="inlineStr">
        <is>
          <t>NMIM v0.2 via MacroFiscalModels</t>
        </is>
      </c>
    </row>
    <row r="863">
      <c r="A863" s="19" t="inlineStr">
        <is>
          <t>UGA</t>
        </is>
      </c>
      <c r="B863" s="19" t="inlineStr">
        <is>
          <t>pub_cap</t>
        </is>
      </c>
      <c r="C863" s="19" t="n">
        <v>2028</v>
      </c>
      <c r="D863" s="19" t="n">
        <v>0.1397</v>
      </c>
      <c r="E863" s="19" t="inlineStr">
        <is>
          <t>NMIM v0.2 via MacroFiscalModels</t>
        </is>
      </c>
    </row>
    <row r="864">
      <c r="A864" s="19" t="inlineStr">
        <is>
          <t>UGA</t>
        </is>
      </c>
      <c r="B864" s="19" t="inlineStr">
        <is>
          <t>pub_cap</t>
        </is>
      </c>
      <c r="C864" s="19" t="n">
        <v>2029</v>
      </c>
      <c r="D864" s="19" t="n">
        <v>0.1452</v>
      </c>
      <c r="E864" s="19" t="inlineStr">
        <is>
          <t>NMIM v0.2 via MacroFiscalModels</t>
        </is>
      </c>
    </row>
    <row r="865">
      <c r="A865" s="19" t="inlineStr">
        <is>
          <t>UGA</t>
        </is>
      </c>
      <c r="B865" s="19" t="inlineStr">
        <is>
          <t>pub_cap</t>
        </is>
      </c>
      <c r="C865" s="19" t="n">
        <v>2030</v>
      </c>
      <c r="D865" s="19" t="n">
        <v>0.1456</v>
      </c>
      <c r="E865" s="19" t="inlineStr">
        <is>
          <t>NMIM v0.2 via MacroFiscalModels</t>
        </is>
      </c>
    </row>
    <row r="866">
      <c r="A866" s="19" t="inlineStr">
        <is>
          <t>UGA</t>
        </is>
      </c>
      <c r="B866" s="19" t="inlineStr">
        <is>
          <t>pub_cap</t>
        </is>
      </c>
      <c r="C866" s="19" t="n">
        <v>2031</v>
      </c>
      <c r="D866" s="19" t="n">
        <v>0.1414</v>
      </c>
      <c r="E866" s="19" t="inlineStr">
        <is>
          <t>NMIM v0.2 via MacroFiscalModels</t>
        </is>
      </c>
    </row>
    <row r="867">
      <c r="A867" s="19" t="inlineStr">
        <is>
          <t>UGA</t>
        </is>
      </c>
      <c r="B867" s="19" t="inlineStr">
        <is>
          <t>pub_cap</t>
        </is>
      </c>
      <c r="C867" s="19" t="n">
        <v>2032</v>
      </c>
      <c r="D867" s="19" t="n">
        <v>0.1332</v>
      </c>
      <c r="E867" s="19" t="inlineStr">
        <is>
          <t>NMIM v0.2 via MacroFiscalModels</t>
        </is>
      </c>
    </row>
    <row r="868">
      <c r="A868" s="19" t="inlineStr">
        <is>
          <t>UGA</t>
        </is>
      </c>
      <c r="B868" s="19" t="inlineStr">
        <is>
          <t>pub_cap</t>
        </is>
      </c>
      <c r="C868" s="19" t="n">
        <v>2033</v>
      </c>
      <c r="D868" s="19" t="n">
        <v>0.138</v>
      </c>
      <c r="E868" s="19" t="inlineStr">
        <is>
          <t>NMIM v0.2 via MacroFiscalModels</t>
        </is>
      </c>
    </row>
    <row r="869">
      <c r="A869" s="19" t="inlineStr">
        <is>
          <t>UGA</t>
        </is>
      </c>
      <c r="B869" s="19" t="inlineStr">
        <is>
          <t>pub_cap</t>
        </is>
      </c>
      <c r="C869" s="19" t="n">
        <v>2034</v>
      </c>
      <c r="D869" s="19" t="n">
        <v>0.1419</v>
      </c>
      <c r="E869" s="19" t="inlineStr">
        <is>
          <t>NMIM v0.2 via MacroFiscalModels</t>
        </is>
      </c>
    </row>
    <row r="870">
      <c r="A870" s="19" t="inlineStr">
        <is>
          <t>UGA</t>
        </is>
      </c>
      <c r="B870" s="19" t="inlineStr">
        <is>
          <t>pub_cap</t>
        </is>
      </c>
      <c r="C870" s="19" t="n">
        <v>2035</v>
      </c>
      <c r="D870" s="19" t="n">
        <v>0.1449</v>
      </c>
      <c r="E870" s="19" t="inlineStr">
        <is>
          <t>NMIM v0.2 via MacroFiscalModels</t>
        </is>
      </c>
    </row>
    <row r="871">
      <c r="A871" s="19" t="inlineStr">
        <is>
          <t>UGA</t>
        </is>
      </c>
      <c r="B871" s="19" t="inlineStr">
        <is>
          <t>pub_cap</t>
        </is>
      </c>
      <c r="C871" s="19" t="n">
        <v>2036</v>
      </c>
      <c r="D871" s="19" t="n">
        <v>0.148</v>
      </c>
      <c r="E871" s="19" t="inlineStr">
        <is>
          <t>NMIM v0.2 via MacroFiscalModels</t>
        </is>
      </c>
    </row>
    <row r="872">
      <c r="A872" s="19" t="inlineStr">
        <is>
          <t>UGA</t>
        </is>
      </c>
      <c r="B872" s="19" t="inlineStr">
        <is>
          <t>pub_cap</t>
        </is>
      </c>
      <c r="C872" s="19" t="n">
        <v>2037</v>
      </c>
      <c r="D872" s="19" t="n">
        <v>0.1508</v>
      </c>
      <c r="E872" s="19" t="inlineStr">
        <is>
          <t>NMIM v0.2 via MacroFiscalModels</t>
        </is>
      </c>
    </row>
    <row r="873">
      <c r="A873" s="19" t="inlineStr">
        <is>
          <t>UGA</t>
        </is>
      </c>
      <c r="B873" s="19" t="inlineStr">
        <is>
          <t>pub_cap</t>
        </is>
      </c>
      <c r="C873" s="19" t="n">
        <v>2038</v>
      </c>
      <c r="D873" s="19" t="n">
        <v>0.1529</v>
      </c>
      <c r="E873" s="19" t="inlineStr">
        <is>
          <t>NMIM v0.2 via MacroFiscalModels</t>
        </is>
      </c>
    </row>
    <row r="874">
      <c r="A874" s="19" t="inlineStr">
        <is>
          <t>UGA</t>
        </is>
      </c>
      <c r="B874" s="19" t="inlineStr">
        <is>
          <t>pub_cap</t>
        </is>
      </c>
      <c r="C874" s="19" t="n">
        <v>2039</v>
      </c>
      <c r="D874" s="19" t="n">
        <v>0.1543</v>
      </c>
      <c r="E874" s="19" t="inlineStr">
        <is>
          <t>NMIM v0.2 via MacroFiscalModels</t>
        </is>
      </c>
    </row>
    <row r="875">
      <c r="A875" s="19" t="inlineStr">
        <is>
          <t>UGA</t>
        </is>
      </c>
      <c r="B875" s="19" t="inlineStr">
        <is>
          <t>pub_cap</t>
        </is>
      </c>
      <c r="C875" s="19" t="n">
        <v>2040</v>
      </c>
      <c r="D875" s="19" t="n">
        <v>0.1552</v>
      </c>
      <c r="E875" s="19" t="inlineStr">
        <is>
          <t>NMIM v0.2 via MacroFiscalModels</t>
        </is>
      </c>
    </row>
    <row r="876">
      <c r="A876" s="19" t="inlineStr">
        <is>
          <t>UGA</t>
        </is>
      </c>
      <c r="B876" s="19" t="inlineStr">
        <is>
          <t>pub_cap</t>
        </is>
      </c>
      <c r="C876" s="19" t="n">
        <v>2041</v>
      </c>
      <c r="D876" s="19" t="n">
        <v>0.1527</v>
      </c>
      <c r="E876" s="19" t="inlineStr">
        <is>
          <t>NMIM v0.2 via MacroFiscalModels</t>
        </is>
      </c>
    </row>
    <row r="877">
      <c r="A877" s="19" t="inlineStr">
        <is>
          <t>UGA</t>
        </is>
      </c>
      <c r="B877" s="19" t="inlineStr">
        <is>
          <t>pub_cap</t>
        </is>
      </c>
      <c r="C877" s="19" t="n">
        <v>2042</v>
      </c>
      <c r="D877" s="19" t="n">
        <v>0.1501</v>
      </c>
      <c r="E877" s="19" t="inlineStr">
        <is>
          <t>NMIM v0.2 via MacroFiscalModels</t>
        </is>
      </c>
    </row>
    <row r="878">
      <c r="A878" s="19" t="inlineStr">
        <is>
          <t>UGA</t>
        </is>
      </c>
      <c r="B878" s="19" t="inlineStr">
        <is>
          <t>pub_cap</t>
        </is>
      </c>
      <c r="C878" s="19" t="n">
        <v>2043</v>
      </c>
      <c r="D878" s="19" t="n">
        <v>0.1476</v>
      </c>
      <c r="E878" s="19" t="inlineStr">
        <is>
          <t>NMIM v0.2 via MacroFiscalModels</t>
        </is>
      </c>
    </row>
    <row r="879">
      <c r="A879" s="19" t="inlineStr">
        <is>
          <t>UGA</t>
        </is>
      </c>
      <c r="B879" s="19" t="inlineStr">
        <is>
          <t>pub_cap</t>
        </is>
      </c>
      <c r="C879" s="19" t="n">
        <v>2044</v>
      </c>
      <c r="D879" s="19" t="n">
        <v>0.145</v>
      </c>
      <c r="E879" s="19" t="inlineStr">
        <is>
          <t>NMIM v0.2 via MacroFiscalModels</t>
        </is>
      </c>
    </row>
    <row r="880">
      <c r="A880" s="19" t="inlineStr">
        <is>
          <t>UGA</t>
        </is>
      </c>
      <c r="B880" s="19" t="inlineStr">
        <is>
          <t>pub_cap</t>
        </is>
      </c>
      <c r="C880" s="19" t="n">
        <v>2045</v>
      </c>
      <c r="D880" s="19" t="n">
        <v>0.1425</v>
      </c>
      <c r="E880" s="19" t="inlineStr">
        <is>
          <t>NMIM v0.2 via MacroFiscalModels</t>
        </is>
      </c>
    </row>
    <row r="881">
      <c r="A881" s="19" t="inlineStr">
        <is>
          <t>UGA</t>
        </is>
      </c>
      <c r="B881" s="19" t="inlineStr">
        <is>
          <t>pub_cap</t>
        </is>
      </c>
      <c r="C881" s="19" t="n">
        <v>2046</v>
      </c>
      <c r="D881" s="19" t="n">
        <v>0.1368</v>
      </c>
      <c r="E881" s="19" t="inlineStr">
        <is>
          <t>NMIM v0.2 via MacroFiscalModels</t>
        </is>
      </c>
    </row>
    <row r="882">
      <c r="A882" s="19" t="inlineStr">
        <is>
          <t>UGA</t>
        </is>
      </c>
      <c r="B882" s="19" t="inlineStr">
        <is>
          <t>pub_cap</t>
        </is>
      </c>
      <c r="C882" s="19" t="n">
        <v>2047</v>
      </c>
      <c r="D882" s="19" t="n">
        <v>0.1334</v>
      </c>
      <c r="E882" s="19" t="inlineStr">
        <is>
          <t>NMIM v0.2 via MacroFiscalModels</t>
        </is>
      </c>
    </row>
    <row r="883">
      <c r="A883" s="19" t="inlineStr">
        <is>
          <t>UGA</t>
        </is>
      </c>
      <c r="B883" s="19" t="inlineStr">
        <is>
          <t>pub_cap</t>
        </is>
      </c>
      <c r="C883" s="19" t="n">
        <v>2048</v>
      </c>
      <c r="D883" s="19" t="n">
        <v>0.1301</v>
      </c>
      <c r="E883" s="19" t="inlineStr">
        <is>
          <t>NMIM v0.2 via MacroFiscalModels</t>
        </is>
      </c>
    </row>
    <row r="884">
      <c r="A884" s="19" t="inlineStr">
        <is>
          <t>UGA</t>
        </is>
      </c>
      <c r="B884" s="19" t="inlineStr">
        <is>
          <t>pub_cap</t>
        </is>
      </c>
      <c r="C884" s="19" t="n">
        <v>2049</v>
      </c>
      <c r="D884" s="19" t="n">
        <v>0.127</v>
      </c>
      <c r="E884" s="19" t="inlineStr">
        <is>
          <t>NMIM v0.2 via MacroFiscalModels</t>
        </is>
      </c>
    </row>
    <row r="885">
      <c r="A885" s="19" t="inlineStr">
        <is>
          <t>UGA</t>
        </is>
      </c>
      <c r="B885" s="19" t="inlineStr">
        <is>
          <t>pub_cap</t>
        </is>
      </c>
      <c r="C885" s="19" t="n">
        <v>2050</v>
      </c>
      <c r="D885" s="19" t="n">
        <v>0.1239</v>
      </c>
      <c r="E885" s="19" t="inlineStr">
        <is>
          <t>NMIM v0.2 via MacroFiscalModels</t>
        </is>
      </c>
    </row>
    <row r="886">
      <c r="A886" s="19" t="inlineStr">
        <is>
          <t>UGA</t>
        </is>
      </c>
      <c r="B886" s="19" t="inlineStr">
        <is>
          <t>pub_spend</t>
        </is>
      </c>
      <c r="C886" s="19" t="n">
        <v>2025</v>
      </c>
      <c r="D886" s="19" t="n">
        <v>0.2557</v>
      </c>
      <c r="E886" s="19" t="inlineStr">
        <is>
          <t>NMIM v0.2 via MacroFiscalModels</t>
        </is>
      </c>
    </row>
    <row r="887">
      <c r="A887" s="19" t="inlineStr">
        <is>
          <t>UGA</t>
        </is>
      </c>
      <c r="B887" s="19" t="inlineStr">
        <is>
          <t>pub_spend</t>
        </is>
      </c>
      <c r="C887" s="19" t="n">
        <v>2026</v>
      </c>
      <c r="D887" s="19" t="n">
        <v>0.4758</v>
      </c>
      <c r="E887" s="19" t="inlineStr">
        <is>
          <t>NMIM v0.2 via MacroFiscalModels</t>
        </is>
      </c>
    </row>
    <row r="888">
      <c r="A888" s="19" t="inlineStr">
        <is>
          <t>UGA</t>
        </is>
      </c>
      <c r="B888" s="19" t="inlineStr">
        <is>
          <t>pub_spend</t>
        </is>
      </c>
      <c r="C888" s="19" t="n">
        <v>2027</v>
      </c>
      <c r="D888" s="19" t="n">
        <v>0.6651</v>
      </c>
      <c r="E888" s="19" t="inlineStr">
        <is>
          <t>NMIM v0.2 via MacroFiscalModels</t>
        </is>
      </c>
    </row>
    <row r="889">
      <c r="A889" s="19" t="inlineStr">
        <is>
          <t>UGA</t>
        </is>
      </c>
      <c r="B889" s="19" t="inlineStr">
        <is>
          <t>pub_spend</t>
        </is>
      </c>
      <c r="C889" s="19" t="n">
        <v>2028</v>
      </c>
      <c r="D889" s="19" t="n">
        <v>0.8282</v>
      </c>
      <c r="E889" s="19" t="inlineStr">
        <is>
          <t>NMIM v0.2 via MacroFiscalModels</t>
        </is>
      </c>
    </row>
    <row r="890">
      <c r="A890" s="19" t="inlineStr">
        <is>
          <t>UGA</t>
        </is>
      </c>
      <c r="B890" s="19" t="inlineStr">
        <is>
          <t>pub_spend</t>
        </is>
      </c>
      <c r="C890" s="19" t="n">
        <v>2029</v>
      </c>
      <c r="D890" s="19" t="n">
        <v>0.9688</v>
      </c>
      <c r="E890" s="19" t="inlineStr">
        <is>
          <t>NMIM v0.2 via MacroFiscalModels</t>
        </is>
      </c>
    </row>
    <row r="891">
      <c r="A891" s="19" t="inlineStr">
        <is>
          <t>UGA</t>
        </is>
      </c>
      <c r="B891" s="19" t="inlineStr">
        <is>
          <t>pub_spend</t>
        </is>
      </c>
      <c r="C891" s="19" t="n">
        <v>2030</v>
      </c>
      <c r="D891" s="19" t="n">
        <v>1.09</v>
      </c>
      <c r="E891" s="19" t="inlineStr">
        <is>
          <t>NMIM v0.2 via MacroFiscalModels</t>
        </is>
      </c>
    </row>
    <row r="892">
      <c r="A892" s="19" t="inlineStr">
        <is>
          <t>UGA</t>
        </is>
      </c>
      <c r="B892" s="19" t="inlineStr">
        <is>
          <t>pub_spend</t>
        </is>
      </c>
      <c r="C892" s="19" t="n">
        <v>2031</v>
      </c>
      <c r="D892" s="19" t="n">
        <v>1.044</v>
      </c>
      <c r="E892" s="19" t="inlineStr">
        <is>
          <t>NMIM v0.2 via MacroFiscalModels</t>
        </is>
      </c>
    </row>
    <row r="893">
      <c r="A893" s="19" t="inlineStr">
        <is>
          <t>UGA</t>
        </is>
      </c>
      <c r="B893" s="19" t="inlineStr">
        <is>
          <t>pub_spend</t>
        </is>
      </c>
      <c r="C893" s="19" t="n">
        <v>2032</v>
      </c>
      <c r="D893" s="19" t="n">
        <v>1.002</v>
      </c>
      <c r="E893" s="19" t="inlineStr">
        <is>
          <t>NMIM v0.2 via MacroFiscalModels</t>
        </is>
      </c>
    </row>
    <row r="894">
      <c r="A894" s="19" t="inlineStr">
        <is>
          <t>UGA</t>
        </is>
      </c>
      <c r="B894" s="19" t="inlineStr">
        <is>
          <t>pub_spend</t>
        </is>
      </c>
      <c r="C894" s="19" t="n">
        <v>2033</v>
      </c>
      <c r="D894" s="19" t="n">
        <v>0.9627</v>
      </c>
      <c r="E894" s="19" t="inlineStr">
        <is>
          <t>NMIM v0.2 via MacroFiscalModels</t>
        </is>
      </c>
    </row>
    <row r="895">
      <c r="A895" s="19" t="inlineStr">
        <is>
          <t>UGA</t>
        </is>
      </c>
      <c r="B895" s="19" t="inlineStr">
        <is>
          <t>pub_spend</t>
        </is>
      </c>
      <c r="C895" s="19" t="n">
        <v>2034</v>
      </c>
      <c r="D895" s="19" t="n">
        <v>0.9267</v>
      </c>
      <c r="E895" s="19" t="inlineStr">
        <is>
          <t>NMIM v0.2 via MacroFiscalModels</t>
        </is>
      </c>
    </row>
    <row r="896">
      <c r="A896" s="19" t="inlineStr">
        <is>
          <t>UGA</t>
        </is>
      </c>
      <c r="B896" s="19" t="inlineStr">
        <is>
          <t>pub_spend</t>
        </is>
      </c>
      <c r="C896" s="19" t="n">
        <v>2035</v>
      </c>
      <c r="D896" s="19" t="n">
        <v>0.8935999999999999</v>
      </c>
      <c r="E896" s="19" t="inlineStr">
        <is>
          <t>NMIM v0.2 via MacroFiscalModels</t>
        </is>
      </c>
    </row>
    <row r="897">
      <c r="A897" s="19" t="inlineStr">
        <is>
          <t>UGA</t>
        </is>
      </c>
      <c r="B897" s="19" t="inlineStr">
        <is>
          <t>pub_spend</t>
        </is>
      </c>
      <c r="C897" s="19" t="n">
        <v>2036</v>
      </c>
      <c r="D897" s="19" t="n">
        <v>0.8632</v>
      </c>
      <c r="E897" s="19" t="inlineStr">
        <is>
          <t>NMIM v0.2 via MacroFiscalModels</t>
        </is>
      </c>
    </row>
    <row r="898">
      <c r="A898" s="19" t="inlineStr">
        <is>
          <t>UGA</t>
        </is>
      </c>
      <c r="B898" s="19" t="inlineStr">
        <is>
          <t>pub_spend</t>
        </is>
      </c>
      <c r="C898" s="19" t="n">
        <v>2037</v>
      </c>
      <c r="D898" s="19" t="n">
        <v>0.8353</v>
      </c>
      <c r="E898" s="19" t="inlineStr">
        <is>
          <t>NMIM v0.2 via MacroFiscalModels</t>
        </is>
      </c>
    </row>
    <row r="899">
      <c r="A899" s="19" t="inlineStr">
        <is>
          <t>UGA</t>
        </is>
      </c>
      <c r="B899" s="19" t="inlineStr">
        <is>
          <t>pub_spend</t>
        </is>
      </c>
      <c r="C899" s="19" t="n">
        <v>2038</v>
      </c>
      <c r="D899" s="19" t="n">
        <v>0.8097</v>
      </c>
      <c r="E899" s="19" t="inlineStr">
        <is>
          <t>NMIM v0.2 via MacroFiscalModels</t>
        </is>
      </c>
    </row>
    <row r="900">
      <c r="A900" s="19" t="inlineStr">
        <is>
          <t>UGA</t>
        </is>
      </c>
      <c r="B900" s="19" t="inlineStr">
        <is>
          <t>pub_spend</t>
        </is>
      </c>
      <c r="C900" s="19" t="n">
        <v>2039</v>
      </c>
      <c r="D900" s="19" t="n">
        <v>0.7862</v>
      </c>
      <c r="E900" s="19" t="inlineStr">
        <is>
          <t>NMIM v0.2 via MacroFiscalModels</t>
        </is>
      </c>
    </row>
    <row r="901">
      <c r="A901" s="19" t="inlineStr">
        <is>
          <t>UGA</t>
        </is>
      </c>
      <c r="B901" s="19" t="inlineStr">
        <is>
          <t>pub_spend</t>
        </is>
      </c>
      <c r="C901" s="19" t="n">
        <v>2040</v>
      </c>
      <c r="D901" s="19" t="n">
        <v>0.7648</v>
      </c>
      <c r="E901" s="19" t="inlineStr">
        <is>
          <t>NMIM v0.2 via MacroFiscalModels</t>
        </is>
      </c>
    </row>
    <row r="902">
      <c r="A902" s="19" t="inlineStr">
        <is>
          <t>UGA</t>
        </is>
      </c>
      <c r="B902" s="19" t="inlineStr">
        <is>
          <t>pub_spend</t>
        </is>
      </c>
      <c r="C902" s="19" t="n">
        <v>2041</v>
      </c>
      <c r="D902" s="19" t="n">
        <v>0.7438</v>
      </c>
      <c r="E902" s="19" t="inlineStr">
        <is>
          <t>NMIM v0.2 via MacroFiscalModels</t>
        </is>
      </c>
    </row>
    <row r="903">
      <c r="A903" s="19" t="inlineStr">
        <is>
          <t>UGA</t>
        </is>
      </c>
      <c r="B903" s="19" t="inlineStr">
        <is>
          <t>pub_spend</t>
        </is>
      </c>
      <c r="C903" s="19" t="n">
        <v>2042</v>
      </c>
      <c r="D903" s="19" t="n">
        <v>0.7232</v>
      </c>
      <c r="E903" s="19" t="inlineStr">
        <is>
          <t>NMIM v0.2 via MacroFiscalModels</t>
        </is>
      </c>
    </row>
    <row r="904">
      <c r="A904" s="19" t="inlineStr">
        <is>
          <t>UGA</t>
        </is>
      </c>
      <c r="B904" s="19" t="inlineStr">
        <is>
          <t>pub_spend</t>
        </is>
      </c>
      <c r="C904" s="19" t="n">
        <v>2043</v>
      </c>
      <c r="D904" s="19" t="n">
        <v>0.703</v>
      </c>
      <c r="E904" s="19" t="inlineStr">
        <is>
          <t>NMIM v0.2 via MacroFiscalModels</t>
        </is>
      </c>
    </row>
    <row r="905">
      <c r="A905" s="19" t="inlineStr">
        <is>
          <t>UGA</t>
        </is>
      </c>
      <c r="B905" s="19" t="inlineStr">
        <is>
          <t>pub_spend</t>
        </is>
      </c>
      <c r="C905" s="19" t="n">
        <v>2044</v>
      </c>
      <c r="D905" s="19" t="n">
        <v>0.6831</v>
      </c>
      <c r="E905" s="19" t="inlineStr">
        <is>
          <t>NMIM v0.2 via MacroFiscalModels</t>
        </is>
      </c>
    </row>
    <row r="906">
      <c r="A906" s="19" t="inlineStr">
        <is>
          <t>UGA</t>
        </is>
      </c>
      <c r="B906" s="19" t="inlineStr">
        <is>
          <t>pub_spend</t>
        </is>
      </c>
      <c r="C906" s="19" t="n">
        <v>2045</v>
      </c>
      <c r="D906" s="19" t="n">
        <v>0.6637</v>
      </c>
      <c r="E906" s="19" t="inlineStr">
        <is>
          <t>NMIM v0.2 via MacroFiscalModels</t>
        </is>
      </c>
    </row>
    <row r="907">
      <c r="A907" s="19" t="inlineStr">
        <is>
          <t>UGA</t>
        </is>
      </c>
      <c r="B907" s="19" t="inlineStr">
        <is>
          <t>pub_spend</t>
        </is>
      </c>
      <c r="C907" s="19" t="n">
        <v>2046</v>
      </c>
      <c r="D907" s="19" t="n">
        <v>0.6447000000000001</v>
      </c>
      <c r="E907" s="19" t="inlineStr">
        <is>
          <t>NMIM v0.2 via MacroFiscalModels</t>
        </is>
      </c>
    </row>
    <row r="908">
      <c r="A908" s="19" t="inlineStr">
        <is>
          <t>UGA</t>
        </is>
      </c>
      <c r="B908" s="19" t="inlineStr">
        <is>
          <t>pub_spend</t>
        </is>
      </c>
      <c r="C908" s="19" t="n">
        <v>2047</v>
      </c>
      <c r="D908" s="19" t="n">
        <v>0.6261</v>
      </c>
      <c r="E908" s="19" t="inlineStr">
        <is>
          <t>NMIM v0.2 via MacroFiscalModels</t>
        </is>
      </c>
    </row>
    <row r="909">
      <c r="A909" s="19" t="inlineStr">
        <is>
          <t>UGA</t>
        </is>
      </c>
      <c r="B909" s="19" t="inlineStr">
        <is>
          <t>pub_spend</t>
        </is>
      </c>
      <c r="C909" s="19" t="n">
        <v>2048</v>
      </c>
      <c r="D909" s="19" t="n">
        <v>0.6079</v>
      </c>
      <c r="E909" s="19" t="inlineStr">
        <is>
          <t>NMIM v0.2 via MacroFiscalModels</t>
        </is>
      </c>
    </row>
    <row r="910">
      <c r="A910" s="19" t="inlineStr">
        <is>
          <t>UGA</t>
        </is>
      </c>
      <c r="B910" s="19" t="inlineStr">
        <is>
          <t>pub_spend</t>
        </is>
      </c>
      <c r="C910" s="19" t="n">
        <v>2049</v>
      </c>
      <c r="D910" s="19" t="n">
        <v>0.5901</v>
      </c>
      <c r="E910" s="19" t="inlineStr">
        <is>
          <t>NMIM v0.2 via MacroFiscalModels</t>
        </is>
      </c>
    </row>
    <row r="911">
      <c r="A911" s="19" t="inlineStr">
        <is>
          <t>UGA</t>
        </is>
      </c>
      <c r="B911" s="19" t="inlineStr">
        <is>
          <t>pub_spend</t>
        </is>
      </c>
      <c r="C911" s="19" t="n">
        <v>2050</v>
      </c>
      <c r="D911" s="19" t="n">
        <v>0.5727</v>
      </c>
      <c r="E911" s="19" t="inlineStr">
        <is>
          <t>NMIM v0.2 via MacroFiscalModels</t>
        </is>
      </c>
    </row>
    <row r="912">
      <c r="A912" s="19" t="inlineStr">
        <is>
          <t>UGA</t>
        </is>
      </c>
      <c r="B912" s="19" t="inlineStr">
        <is>
          <t>rev</t>
        </is>
      </c>
      <c r="C912" s="19" t="n">
        <v>2025</v>
      </c>
      <c r="D912" s="19" t="n">
        <v>0.01563</v>
      </c>
      <c r="E912" s="19" t="inlineStr">
        <is>
          <t>PriceFeasibility v0.1 x NMIM power CO2</t>
        </is>
      </c>
    </row>
    <row r="913">
      <c r="A913" s="19" t="inlineStr">
        <is>
          <t>UGA</t>
        </is>
      </c>
      <c r="B913" s="19" t="inlineStr">
        <is>
          <t>rev</t>
        </is>
      </c>
      <c r="C913" s="19" t="n">
        <v>2026</v>
      </c>
      <c r="D913" s="19" t="n">
        <v>0.01512</v>
      </c>
      <c r="E913" s="19" t="inlineStr">
        <is>
          <t>PriceFeasibility v0.1 x NMIM power CO2</t>
        </is>
      </c>
    </row>
    <row r="914">
      <c r="A914" s="19" t="inlineStr">
        <is>
          <t>UGA</t>
        </is>
      </c>
      <c r="B914" s="19" t="inlineStr">
        <is>
          <t>rev</t>
        </is>
      </c>
      <c r="C914" s="19" t="n">
        <v>2027</v>
      </c>
      <c r="D914" s="19" t="n">
        <v>0.01461</v>
      </c>
      <c r="E914" s="19" t="inlineStr">
        <is>
          <t>PriceFeasibility v0.1 x NMIM power CO2</t>
        </is>
      </c>
    </row>
    <row r="915">
      <c r="A915" s="19" t="inlineStr">
        <is>
          <t>UGA</t>
        </is>
      </c>
      <c r="B915" s="19" t="inlineStr">
        <is>
          <t>rev</t>
        </is>
      </c>
      <c r="C915" s="19" t="n">
        <v>2028</v>
      </c>
      <c r="D915" s="19" t="n">
        <v>0.0141</v>
      </c>
      <c r="E915" s="19" t="inlineStr">
        <is>
          <t>PriceFeasibility v0.1 x NMIM power CO2</t>
        </is>
      </c>
    </row>
    <row r="916">
      <c r="A916" s="19" t="inlineStr">
        <is>
          <t>UGA</t>
        </is>
      </c>
      <c r="B916" s="19" t="inlineStr">
        <is>
          <t>rev</t>
        </is>
      </c>
      <c r="C916" s="19" t="n">
        <v>2029</v>
      </c>
      <c r="D916" s="19" t="n">
        <v>0.01356</v>
      </c>
      <c r="E916" s="19" t="inlineStr">
        <is>
          <t>PriceFeasibility v0.1 x NMIM power CO2</t>
        </is>
      </c>
    </row>
    <row r="917">
      <c r="A917" s="19" t="inlineStr">
        <is>
          <t>UGA</t>
        </is>
      </c>
      <c r="B917" s="19" t="inlineStr">
        <is>
          <t>rev</t>
        </is>
      </c>
      <c r="C917" s="19" t="n">
        <v>2030</v>
      </c>
      <c r="D917" s="19" t="n">
        <v>0.013</v>
      </c>
      <c r="E917" s="19" t="inlineStr">
        <is>
          <t>PriceFeasibility v0.1 x NMIM power CO2</t>
        </is>
      </c>
    </row>
    <row r="918">
      <c r="A918" s="19" t="inlineStr">
        <is>
          <t>UGA</t>
        </is>
      </c>
      <c r="B918" s="19" t="inlineStr">
        <is>
          <t>rev</t>
        </is>
      </c>
      <c r="C918" s="19" t="n">
        <v>2031</v>
      </c>
      <c r="D918" s="19" t="n">
        <v>0.01241</v>
      </c>
      <c r="E918" s="19" t="inlineStr">
        <is>
          <t>PriceFeasibility v0.1 x NMIM power CO2</t>
        </is>
      </c>
    </row>
    <row r="919">
      <c r="A919" s="19" t="inlineStr">
        <is>
          <t>UGA</t>
        </is>
      </c>
      <c r="B919" s="19" t="inlineStr">
        <is>
          <t>rev</t>
        </is>
      </c>
      <c r="C919" s="19" t="n">
        <v>2032</v>
      </c>
      <c r="D919" s="19" t="n">
        <v>0.01178</v>
      </c>
      <c r="E919" s="19" t="inlineStr">
        <is>
          <t>PriceFeasibility v0.1 x NMIM power CO2</t>
        </is>
      </c>
    </row>
    <row r="920">
      <c r="A920" s="19" t="inlineStr">
        <is>
          <t>UGA</t>
        </is>
      </c>
      <c r="B920" s="19" t="inlineStr">
        <is>
          <t>rev</t>
        </is>
      </c>
      <c r="C920" s="19" t="n">
        <v>2033</v>
      </c>
      <c r="D920" s="19" t="n">
        <v>0.01112</v>
      </c>
      <c r="E920" s="19" t="inlineStr">
        <is>
          <t>PriceFeasibility v0.1 x NMIM power CO2</t>
        </is>
      </c>
    </row>
    <row r="921">
      <c r="A921" s="19" t="inlineStr">
        <is>
          <t>UGA</t>
        </is>
      </c>
      <c r="B921" s="19" t="inlineStr">
        <is>
          <t>rev</t>
        </is>
      </c>
      <c r="C921" s="19" t="n">
        <v>2034</v>
      </c>
      <c r="D921" s="19" t="n">
        <v>0.01041</v>
      </c>
      <c r="E921" s="19" t="inlineStr">
        <is>
          <t>PriceFeasibility v0.1 x NMIM power CO2</t>
        </is>
      </c>
    </row>
    <row r="922">
      <c r="A922" s="19" t="inlineStr">
        <is>
          <t>UGA</t>
        </is>
      </c>
      <c r="B922" s="19" t="inlineStr">
        <is>
          <t>rev</t>
        </is>
      </c>
      <c r="C922" s="19" t="n">
        <v>2035</v>
      </c>
      <c r="D922" s="19" t="n">
        <v>0.009669000000000001</v>
      </c>
      <c r="E922" s="19" t="inlineStr">
        <is>
          <t>PriceFeasibility v0.1 x NMIM power CO2</t>
        </is>
      </c>
    </row>
    <row r="923">
      <c r="A923" s="19" t="inlineStr">
        <is>
          <t>UGA</t>
        </is>
      </c>
      <c r="B923" s="19" t="inlineStr">
        <is>
          <t>rev</t>
        </is>
      </c>
      <c r="C923" s="19" t="n">
        <v>2036</v>
      </c>
      <c r="D923" s="19" t="n">
        <v>0.008884</v>
      </c>
      <c r="E923" s="19" t="inlineStr">
        <is>
          <t>PriceFeasibility v0.1 x NMIM power CO2</t>
        </is>
      </c>
    </row>
    <row r="924">
      <c r="A924" s="19" t="inlineStr">
        <is>
          <t>UGA</t>
        </is>
      </c>
      <c r="B924" s="19" t="inlineStr">
        <is>
          <t>rev</t>
        </is>
      </c>
      <c r="C924" s="19" t="n">
        <v>2037</v>
      </c>
      <c r="D924" s="19" t="n">
        <v>0.008057999999999999</v>
      </c>
      <c r="E924" s="19" t="inlineStr">
        <is>
          <t>PriceFeasibility v0.1 x NMIM power CO2</t>
        </is>
      </c>
    </row>
    <row r="925">
      <c r="A925" s="19" t="inlineStr">
        <is>
          <t>UGA</t>
        </is>
      </c>
      <c r="B925" s="19" t="inlineStr">
        <is>
          <t>rev</t>
        </is>
      </c>
      <c r="C925" s="19" t="n">
        <v>2038</v>
      </c>
      <c r="D925" s="19" t="n">
        <v>0.007191</v>
      </c>
      <c r="E925" s="19" t="inlineStr">
        <is>
          <t>PriceFeasibility v0.1 x NMIM power CO2</t>
        </is>
      </c>
    </row>
    <row r="926">
      <c r="A926" s="19" t="inlineStr">
        <is>
          <t>UGA</t>
        </is>
      </c>
      <c r="B926" s="19" t="inlineStr">
        <is>
          <t>rev</t>
        </is>
      </c>
      <c r="C926" s="19" t="n">
        <v>2039</v>
      </c>
      <c r="D926" s="19" t="n">
        <v>0.006283</v>
      </c>
      <c r="E926" s="19" t="inlineStr">
        <is>
          <t>PriceFeasibility v0.1 x NMIM power CO2</t>
        </is>
      </c>
    </row>
    <row r="927">
      <c r="A927" s="19" t="inlineStr">
        <is>
          <t>UGA</t>
        </is>
      </c>
      <c r="B927" s="19" t="inlineStr">
        <is>
          <t>rev</t>
        </is>
      </c>
      <c r="C927" s="19" t="n">
        <v>2040</v>
      </c>
      <c r="D927" s="19" t="n">
        <v>0.005335</v>
      </c>
      <c r="E927" s="19" t="inlineStr">
        <is>
          <t>PriceFeasibility v0.1 x NMIM power CO2</t>
        </is>
      </c>
    </row>
    <row r="928">
      <c r="A928" s="19" t="inlineStr">
        <is>
          <t>UGA</t>
        </is>
      </c>
      <c r="B928" s="19" t="inlineStr">
        <is>
          <t>rev</t>
        </is>
      </c>
      <c r="C928" s="19" t="n">
        <v>2041</v>
      </c>
      <c r="D928" s="19" t="n">
        <v>0.004336</v>
      </c>
      <c r="E928" s="19" t="inlineStr">
        <is>
          <t>PriceFeasibility v0.1 x NMIM power CO2</t>
        </is>
      </c>
    </row>
    <row r="929">
      <c r="A929" s="19" t="inlineStr">
        <is>
          <t>UGA</t>
        </is>
      </c>
      <c r="B929" s="19" t="inlineStr">
        <is>
          <t>rev</t>
        </is>
      </c>
      <c r="C929" s="19" t="n">
        <v>2042</v>
      </c>
      <c r="D929" s="19" t="n">
        <v>0.003295</v>
      </c>
      <c r="E929" s="19" t="inlineStr">
        <is>
          <t>PriceFeasibility v0.1 x NMIM power CO2</t>
        </is>
      </c>
    </row>
    <row r="930">
      <c r="A930" s="19" t="inlineStr">
        <is>
          <t>UGA</t>
        </is>
      </c>
      <c r="B930" s="19" t="inlineStr">
        <is>
          <t>rev</t>
        </is>
      </c>
      <c r="C930" s="19" t="n">
        <v>2043</v>
      </c>
      <c r="D930" s="19" t="n">
        <v>0.002221</v>
      </c>
      <c r="E930" s="19" t="inlineStr">
        <is>
          <t>PriceFeasibility v0.1 x NMIM power CO2</t>
        </is>
      </c>
    </row>
    <row r="931">
      <c r="A931" s="19" t="inlineStr">
        <is>
          <t>UGA</t>
        </is>
      </c>
      <c r="B931" s="19" t="inlineStr">
        <is>
          <t>rev</t>
        </is>
      </c>
      <c r="C931" s="19" t="n">
        <v>2044</v>
      </c>
      <c r="D931" s="19" t="n">
        <v>0.001121</v>
      </c>
      <c r="E931" s="19" t="inlineStr">
        <is>
          <t>PriceFeasibility v0.1 x NMIM power CO2</t>
        </is>
      </c>
    </row>
    <row r="932">
      <c r="A932" s="19" t="inlineStr">
        <is>
          <t>UGA</t>
        </is>
      </c>
      <c r="B932" s="19" t="inlineStr">
        <is>
          <t>rev</t>
        </is>
      </c>
      <c r="C932" s="19" t="n">
        <v>2045</v>
      </c>
      <c r="D932" s="19" t="n">
        <v>0</v>
      </c>
      <c r="E932" s="19" t="inlineStr">
        <is>
          <t>PriceFeasibility v0.1 x NMIM power CO2</t>
        </is>
      </c>
    </row>
    <row r="933">
      <c r="A933" s="19" t="inlineStr">
        <is>
          <t>UGA</t>
        </is>
      </c>
      <c r="B933" s="19" t="inlineStr">
        <is>
          <t>rev</t>
        </is>
      </c>
      <c r="C933" s="19" t="n">
        <v>2046</v>
      </c>
      <c r="D933" s="19" t="n">
        <v>0</v>
      </c>
      <c r="E933" s="19" t="inlineStr">
        <is>
          <t>PriceFeasibility v0.1 x NMIM power CO2</t>
        </is>
      </c>
    </row>
    <row r="934">
      <c r="A934" s="19" t="inlineStr">
        <is>
          <t>UGA</t>
        </is>
      </c>
      <c r="B934" s="19" t="inlineStr">
        <is>
          <t>rev</t>
        </is>
      </c>
      <c r="C934" s="19" t="n">
        <v>2047</v>
      </c>
      <c r="D934" s="19" t="n">
        <v>0</v>
      </c>
      <c r="E934" s="19" t="inlineStr">
        <is>
          <t>PriceFeasibility v0.1 x NMIM power CO2</t>
        </is>
      </c>
    </row>
    <row r="935">
      <c r="A935" s="19" t="inlineStr">
        <is>
          <t>UGA</t>
        </is>
      </c>
      <c r="B935" s="19" t="inlineStr">
        <is>
          <t>rev</t>
        </is>
      </c>
      <c r="C935" s="19" t="n">
        <v>2048</v>
      </c>
      <c r="D935" s="19" t="n">
        <v>0</v>
      </c>
      <c r="E935" s="19" t="inlineStr">
        <is>
          <t>PriceFeasibility v0.1 x NMIM power CO2</t>
        </is>
      </c>
    </row>
    <row r="936">
      <c r="A936" s="19" t="inlineStr">
        <is>
          <t>UGA</t>
        </is>
      </c>
      <c r="B936" s="19" t="inlineStr">
        <is>
          <t>rev</t>
        </is>
      </c>
      <c r="C936" s="19" t="n">
        <v>2049</v>
      </c>
      <c r="D936" s="19" t="n">
        <v>0</v>
      </c>
      <c r="E936" s="19" t="inlineStr">
        <is>
          <t>PriceFeasibility v0.1 x NMIM power CO2</t>
        </is>
      </c>
    </row>
    <row r="937">
      <c r="A937" s="19" t="inlineStr">
        <is>
          <t>UGA</t>
        </is>
      </c>
      <c r="B937" s="19" t="inlineStr">
        <is>
          <t>rev</t>
        </is>
      </c>
      <c r="C937" s="19" t="n">
        <v>2050</v>
      </c>
      <c r="D937" s="19" t="n">
        <v>0</v>
      </c>
      <c r="E937" s="19" t="inlineStr">
        <is>
          <t>PriceFeasibility v0.1 x NMIM power 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  <col width="60" customWidth="1" min="4" max="4"/>
  </cols>
  <sheetData>
    <row r="1">
      <c r="A1" s="16" t="inlineStr">
        <is>
          <t>Name</t>
        </is>
      </c>
      <c r="B1" s="16" t="inlineStr">
        <is>
          <t>Value</t>
        </is>
      </c>
      <c r="C1" s="16" t="inlineStr">
        <is>
          <t>Description</t>
        </is>
      </c>
      <c r="D1" s="16" t="inlineStr">
        <is>
          <t>Source</t>
        </is>
      </c>
    </row>
    <row r="2">
      <c r="A2" s="20" t="inlineStr">
        <is>
          <t>p_alpha</t>
        </is>
      </c>
      <c r="B2" s="21" t="n">
        <v>0.33</v>
      </c>
      <c r="C2" s="19" t="inlineStr">
        <is>
          <t>Private capital share</t>
        </is>
      </c>
      <c r="D2" s="22" t="inlineStr">
        <is>
          <t>Standard</t>
        </is>
      </c>
    </row>
    <row r="3">
      <c r="A3" s="20" t="inlineStr">
        <is>
          <t>p_delta</t>
        </is>
      </c>
      <c r="B3" s="21" t="n">
        <v>0.07000000000000001</v>
      </c>
      <c r="C3" s="19" t="inlineStr">
        <is>
          <t>Private depreciation</t>
        </is>
      </c>
      <c r="D3" s="22" t="inlineStr">
        <is>
          <t>Standard</t>
        </is>
      </c>
    </row>
    <row r="4">
      <c r="A4" s="20" t="inlineStr">
        <is>
          <t>p_delta_g</t>
        </is>
      </c>
      <c r="B4" s="21" t="n">
        <v>0.04</v>
      </c>
      <c r="C4" s="19" t="inlineStr">
        <is>
          <t>Public depreciation</t>
        </is>
      </c>
      <c r="D4" s="22" t="inlineStr">
        <is>
          <t>Standard</t>
        </is>
      </c>
    </row>
    <row r="5">
      <c r="A5" s="20" t="inlineStr">
        <is>
          <t>p_lambda_k</t>
        </is>
      </c>
      <c r="B5" s="21" t="n">
        <v>0.3</v>
      </c>
      <c r="C5" s="19" t="inlineStr">
        <is>
          <t>Private capital: share of the gap to desired capital closed each year</t>
        </is>
      </c>
      <c r="D5" s="22" t="inlineStr">
        <is>
          <t>Assumption (stands in for DIGNAD's forward-looking investment)</t>
        </is>
      </c>
    </row>
    <row r="6">
      <c r="A6" s="20" t="inlineStr">
        <is>
          <t>p_lambda_f</t>
        </is>
      </c>
      <c r="B6" s="21" t="n">
        <v>0.05</v>
      </c>
      <c r="C6" s="19" t="inlineStr">
        <is>
          <t>Fiscal rule: primary-balance adjustment per unit of debt ratio above its start, if Data_wide has no fiscal_rule_speed</t>
        </is>
      </c>
      <c r="D6" s="22" t="inlineStr">
        <is>
          <t>As DIGNAD-lite</t>
        </is>
      </c>
    </row>
    <row r="7">
      <c r="A7" s="20" t="inlineStr">
        <is>
          <t>p_lambda_f_res</t>
        </is>
      </c>
      <c r="B7" s="21" t="n">
        <v>0.2</v>
      </c>
      <c r="C7" s="19" t="inlineStr">
        <is>
          <t>Same, resource-rich countries (rents &gt;= threshold)</t>
        </is>
      </c>
      <c r="D7" s="22" t="inlineStr">
        <is>
          <t>As DIGNAR-lite</t>
        </is>
      </c>
    </row>
    <row r="8">
      <c r="A8" s="20" t="inlineStr">
        <is>
          <t>p_res_threshold</t>
        </is>
      </c>
      <c r="B8" s="21" t="n">
        <v>0.1</v>
      </c>
      <c r="C8" s="19" t="inlineStr">
        <is>
          <t>Rents threshold for the resource block (share of GDP)</t>
        </is>
      </c>
      <c r="D8" s="22" t="inlineStr">
        <is>
          <t>As the integrated run</t>
        </is>
      </c>
    </row>
    <row r="9">
      <c r="A9" s="20" t="inlineStr">
        <is>
          <t>p_eta</t>
        </is>
      </c>
      <c r="B9" s="21" t="n">
        <v>0.05</v>
      </c>
      <c r="C9" s="19" t="inlineStr">
        <is>
          <t>Commercial rate premium per unit of debt ratio above its start</t>
        </is>
      </c>
      <c r="D9" s="22" t="inlineStr">
        <is>
          <t>As DIGNAD-lite</t>
        </is>
      </c>
    </row>
    <row r="10">
      <c r="A10" s="20" t="inlineStr">
        <is>
          <t>p_rk</t>
        </is>
      </c>
      <c r="B10" s="21" t="n">
        <v>0.01</v>
      </c>
      <c r="C10" s="19" t="inlineStr">
        <is>
          <t>Concessional real rate</t>
        </is>
      </c>
      <c r="D10" s="22" t="inlineStr">
        <is>
          <t>As DIGNAD-lite</t>
        </is>
      </c>
    </row>
    <row r="11">
      <c r="A11" s="20" t="inlineStr">
        <is>
          <t>p_amort</t>
        </is>
      </c>
      <c r="B11" s="21" t="n">
        <v>0.03</v>
      </c>
      <c r="C11" s="19" t="inlineStr">
        <is>
          <t>Repayment rate of new concessional loans</t>
        </is>
      </c>
      <c r="D11" s="22" t="inlineStr">
        <is>
          <t>As DIGNAD-lite</t>
        </is>
      </c>
    </row>
    <row r="12">
      <c r="A12" s="20" t="inlineStr">
        <is>
          <t>p_tr_target</t>
        </is>
      </c>
      <c r="B12" s="21" t="n">
        <v>0.02</v>
      </c>
      <c r="C12" s="19" t="inlineStr">
        <is>
          <t>Transfers at the start (government consumption is the residual)</t>
        </is>
      </c>
      <c r="D12" s="22" t="inlineStr">
        <is>
          <t>As calibration.py</t>
        </is>
      </c>
    </row>
    <row r="13">
      <c r="A13" s="20" t="inlineStr">
        <is>
          <t>p_gov_take</t>
        </is>
      </c>
      <c r="B13" s="21" t="n">
        <v>0.5</v>
      </c>
      <c r="C13" s="19" t="inlineStr">
        <is>
          <t>Government share of resource rents</t>
        </is>
      </c>
      <c r="D13" s="22" t="inlineStr">
        <is>
          <t>Assumption</t>
        </is>
      </c>
    </row>
    <row r="14">
      <c r="A14" s="20" t="inlineStr">
        <is>
          <t>p_rent_decline</t>
        </is>
      </c>
      <c r="B14" s="21" t="n">
        <v>0.8</v>
      </c>
      <c r="C14" s="19" t="inlineStr">
        <is>
          <t>Fall in rents by 2050 on a global net zero path</t>
        </is>
      </c>
      <c r="D14" s="22" t="inlineStr">
        <is>
          <t>Assumption (IEA NZE order of magnitude)</t>
        </is>
      </c>
    </row>
    <row r="15">
      <c r="A15" s="20" t="inlineStr">
        <is>
          <t>p_programme</t>
        </is>
      </c>
      <c r="B15" s="21" t="n">
        <v>1</v>
      </c>
      <c r="C15" s="19" t="inlineStr">
        <is>
          <t>Programme scenario includes the NMIM budget need? 1 = yes</t>
        </is>
      </c>
      <c r="D15" s="22" t="inlineStr">
        <is>
          <t>Switch</t>
        </is>
      </c>
    </row>
    <row r="16">
      <c r="A16" s="20" t="inlineStr">
        <is>
          <t>p_pricing</t>
        </is>
      </c>
      <c r="B16" s="21" t="n">
        <v>1</v>
      </c>
      <c r="C16" s="19" t="inlineStr">
        <is>
          <t>Pricing revenue earmarked for the programme? 1 = yes</t>
        </is>
      </c>
      <c r="D16" s="22" t="inlineStr">
        <is>
          <t>Switch</t>
        </is>
      </c>
    </row>
    <row r="17">
      <c r="A17" s="20" t="inlineStr">
        <is>
          <t>p_sh_grant</t>
        </is>
      </c>
      <c r="B17" s="21" t="n">
        <v>0.3</v>
      </c>
      <c r="C17" s="19" t="inlineStr">
        <is>
          <t>Share of the programme financed by grants</t>
        </is>
      </c>
      <c r="D17" s="22" t="inlineStr">
        <is>
          <t>As DIGNAD-lite</t>
        </is>
      </c>
    </row>
    <row r="18">
      <c r="A18" s="20" t="inlineStr">
        <is>
          <t>p_sh_conc</t>
        </is>
      </c>
      <c r="B18" s="21" t="n">
        <v>0.3</v>
      </c>
      <c r="C18" s="19" t="inlineStr">
        <is>
          <t>Share financed by concessional loans (rest: commercial)</t>
        </is>
      </c>
      <c r="D18" s="22" t="inlineStr">
        <is>
          <t>As DIGNAD-lite</t>
        </is>
      </c>
    </row>
    <row r="19">
      <c r="A19" s="20" t="inlineStr">
        <is>
          <t>p_dis_year</t>
        </is>
      </c>
      <c r="B19" s="21" t="n">
        <v>0</v>
      </c>
      <c r="C19" s="19" t="inlineStr">
        <is>
          <t>Disaster year (0 = none; e.g. 2030)</t>
        </is>
      </c>
      <c r="D19" s="22" t="inlineStr">
        <is>
          <t>Switch</t>
        </is>
      </c>
    </row>
    <row r="20">
      <c r="A20" s="20" t="inlineStr">
        <is>
          <t>p_eps_k</t>
        </is>
      </c>
      <c r="B20" s="21" t="n">
        <v>0.1</v>
      </c>
      <c r="C20" s="19" t="inlineStr">
        <is>
          <t>Disaster: private capital destroyed</t>
        </is>
      </c>
      <c r="D20" s="22" t="inlineStr">
        <is>
          <t>As DIGNAD-lite</t>
        </is>
      </c>
    </row>
    <row r="21">
      <c r="A21" s="20" t="inlineStr">
        <is>
          <t>p_eps_g</t>
        </is>
      </c>
      <c r="B21" s="21" t="n">
        <v>0.1</v>
      </c>
      <c r="C21" s="19" t="inlineStr">
        <is>
          <t>Disaster: public capital destroyed</t>
        </is>
      </c>
      <c r="D21" s="22" t="inlineStr">
        <is>
          <t>As DIGNAD-lite</t>
        </is>
      </c>
    </row>
    <row r="22">
      <c r="A22" s="20" t="inlineStr">
        <is>
          <t>p_eps_a</t>
        </is>
      </c>
      <c r="B22" s="21" t="n">
        <v>0.03</v>
      </c>
      <c r="C22" s="19" t="inlineStr">
        <is>
          <t>Disaster: TFP loss</t>
        </is>
      </c>
      <c r="D22" s="22" t="inlineStr">
        <is>
          <t>As DIGNAD-lite</t>
        </is>
      </c>
    </row>
    <row r="23">
      <c r="A23" s="20" t="inlineStr">
        <is>
          <t>p_rho_a</t>
        </is>
      </c>
      <c r="B23" s="21" t="n">
        <v>0.6</v>
      </c>
      <c r="C23" s="19" t="inlineStr">
        <is>
          <t>Disaster: TFP loss persistence</t>
        </is>
      </c>
      <c r="D23" s="22" t="inlineStr">
        <is>
          <t>As DIGNAD-lite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12" customWidth="1" min="4" max="4"/>
    <col width="80" customWidth="1" min="5" max="5"/>
  </cols>
  <sheetData>
    <row r="1">
      <c r="A1" s="16" t="inlineStr">
        <is>
          <t>block</t>
        </is>
      </c>
      <c r="B1" s="16" t="inlineStr">
        <is>
          <t>code</t>
        </is>
      </c>
      <c r="C1" s="16" t="inlineStr">
        <is>
          <t>label</t>
        </is>
      </c>
      <c r="D1" s="16" t="inlineStr">
        <is>
          <t>where</t>
        </is>
      </c>
      <c r="E1" s="16" t="inlineStr">
        <is>
          <t>source</t>
        </is>
      </c>
    </row>
    <row r="2">
      <c r="A2" s="19" t="inlineStr">
        <is>
          <t>Dashboard</t>
        </is>
      </c>
      <c r="B2" s="19" t="inlineStr">
        <is>
          <t>gross_debt_pct_gdp</t>
        </is>
      </c>
      <c r="C2" s="19" t="inlineStr">
        <is>
          <t>Gross debt, general govt (% GDP)</t>
        </is>
      </c>
      <c r="D2" s="19" t="inlineStr">
        <is>
          <t>Data_wide</t>
        </is>
      </c>
      <c r="E2" s="19" t="inlineStr">
        <is>
          <t>IMF WEO (via the Tax and Macro-Fiscal Dashboard panel)</t>
        </is>
      </c>
    </row>
    <row r="3">
      <c r="A3" s="19" t="inlineStr">
        <is>
          <t>Dashboard</t>
        </is>
      </c>
      <c r="B3" s="19" t="inlineStr">
        <is>
          <t>tax_revenue_pct_gdp</t>
        </is>
      </c>
      <c r="C3" s="19" t="inlineStr">
        <is>
          <t>Tax revenue (% GDP)</t>
        </is>
      </c>
      <c r="D3" s="19" t="inlineStr">
        <is>
          <t>Data_wide</t>
        </is>
      </c>
      <c r="E3" s="19" t="inlineStr">
        <is>
          <t>IMF WoRLD (via the Tax and Macro-Fiscal Dashboard panel)</t>
        </is>
      </c>
    </row>
    <row r="4">
      <c r="A4" s="19" t="inlineStr">
        <is>
          <t>Dashboard</t>
        </is>
      </c>
      <c r="B4" s="19" t="inlineStr">
        <is>
          <t>pefa_pi11_pim_score</t>
        </is>
      </c>
      <c r="C4" s="19" t="inlineStr">
        <is>
          <t>PEFA PI-11 public investment management (1-4)</t>
        </is>
      </c>
      <c r="D4" s="19" t="inlineStr">
        <is>
          <t>Data_wide</t>
        </is>
      </c>
      <c r="E4" s="19" t="inlineStr">
        <is>
          <t>PEFA (via the Tax and Macro-Fiscal Dashboard panel)</t>
        </is>
      </c>
    </row>
    <row r="5">
      <c r="A5" s="19" t="inlineStr">
        <is>
          <t>Dashboard</t>
        </is>
      </c>
      <c r="B5" s="19" t="inlineStr">
        <is>
          <t>ids_multilateral_share_pct</t>
        </is>
      </c>
      <c r="C5" s="19" t="inlineStr">
        <is>
          <t>Multilateral share of PPG external debt (%)</t>
        </is>
      </c>
      <c r="D5" s="19" t="inlineStr">
        <is>
          <t>Data_wide</t>
        </is>
      </c>
      <c r="E5" s="19" t="inlineStr">
        <is>
          <t>World Bank IDS (via the Tax and Macro-Fiscal Dashboard panel)</t>
        </is>
      </c>
    </row>
    <row r="6">
      <c r="A6" s="19" t="inlineStr">
        <is>
          <t>Dashboard</t>
        </is>
      </c>
      <c r="B6" s="19" t="inlineStr">
        <is>
          <t>ids_private_creditor_rate_pct</t>
        </is>
      </c>
      <c r="C6" s="19" t="inlineStr">
        <is>
          <t>Interest rate, private creditors (%)</t>
        </is>
      </c>
      <c r="D6" s="19" t="inlineStr">
        <is>
          <t>Data_wide</t>
        </is>
      </c>
      <c r="E6" s="19" t="inlineStr">
        <is>
          <t>World Bank IDS (via the Tax and Macro-Fiscal Dashboard panel)</t>
        </is>
      </c>
    </row>
    <row r="7">
      <c r="A7" s="19" t="inlineStr">
        <is>
          <t>Dashboard</t>
        </is>
      </c>
      <c r="B7" s="19" t="inlineStr">
        <is>
          <t>fossil_rents_total_pct_gdp</t>
        </is>
      </c>
      <c r="C7" s="19" t="inlineStr">
        <is>
          <t>Fossil rents, oil + gas + coal (% GDP)</t>
        </is>
      </c>
      <c r="D7" s="19" t="inlineStr">
        <is>
          <t>Data_wide</t>
        </is>
      </c>
      <c r="E7" s="19" t="inlineStr">
        <is>
          <t>WDI (via the Tax and Macro-Fiscal Dashboard panel)</t>
        </is>
      </c>
    </row>
    <row r="8">
      <c r="A8" s="23" t="inlineStr">
        <is>
          <t>Augmented</t>
        </is>
      </c>
      <c r="B8" s="23" t="inlineStr">
        <is>
          <t>public_investment_pct_gdp</t>
        </is>
      </c>
      <c r="C8" s="23" t="inlineStr">
        <is>
          <t>Public investment (% GDP)</t>
        </is>
      </c>
      <c r="D8" s="23" t="inlineStr">
        <is>
          <t>Data_wide</t>
        </is>
      </c>
      <c r="E8" s="23" t="inlineStr">
        <is>
          <t>Default by income group (IMF ICSD orders of magnitude); candidate for dashboard Appendix C</t>
        </is>
      </c>
    </row>
    <row r="9">
      <c r="A9" s="23" t="inlineStr">
        <is>
          <t>Augmented</t>
        </is>
      </c>
      <c r="B9" s="23" t="inlineStr">
        <is>
          <t>return_public_capital_pct</t>
        </is>
      </c>
      <c r="C9" s="23" t="inlineStr">
        <is>
          <t>Return on public capital (%)</t>
        </is>
      </c>
      <c r="D9" s="23" t="inlineStr">
        <is>
          <t>Data_wide</t>
        </is>
      </c>
      <c r="E9" s="23" t="inlineStr">
        <is>
          <t>Default by income group (IMF literature 10-25%)</t>
        </is>
      </c>
    </row>
    <row r="10">
      <c r="A10" s="23" t="inlineStr">
        <is>
          <t>Augmented</t>
        </is>
      </c>
      <c r="B10" s="23" t="inlineStr">
        <is>
          <t>hand_to_mouth_pct</t>
        </is>
      </c>
      <c r="C10" s="23" t="inlineStr">
        <is>
          <t>Hand-to-mouth households (%)</t>
        </is>
      </c>
      <c r="D10" s="23" t="inlineStr">
        <is>
          <t>Data_wide</t>
        </is>
      </c>
      <c r="E10" s="23" t="inlineStr">
        <is>
          <t>Default by income group (Findex orders of magnitude); candidate: Findex</t>
        </is>
      </c>
    </row>
    <row r="11">
      <c r="A11" s="23" t="inlineStr">
        <is>
          <t>Augmented</t>
        </is>
      </c>
      <c r="B11" s="23" t="inlineStr">
        <is>
          <t>grants_pct_gdp</t>
        </is>
      </c>
      <c r="C11" s="23" t="inlineStr">
        <is>
          <t>Grants (% GDP)</t>
        </is>
      </c>
      <c r="D11" s="23" t="inlineStr">
        <is>
          <t>Data_wide</t>
        </is>
      </c>
      <c r="E11" s="23" t="inlineStr">
        <is>
          <t>Default by income group; candidate: OECD CRS / IMF GFS</t>
        </is>
      </c>
    </row>
    <row r="12">
      <c r="A12" s="23" t="inlineStr">
        <is>
          <t>Augmented</t>
        </is>
      </c>
      <c r="B12" s="23" t="inlineStr">
        <is>
          <t>fiscal_rule_speed</t>
        </is>
      </c>
      <c r="C12" s="23" t="inlineStr">
        <is>
          <t>Fiscal rule speed needed to stabilise debt</t>
        </is>
      </c>
      <c r="D12" s="23" t="inlineStr">
        <is>
          <t>Data_wide</t>
        </is>
      </c>
      <c r="E12" s="23" t="inlineStr">
        <is>
          <t>MacroFiscalModels integrated run: 0.05 default, 0.2 / 0.4 where it had to tighten (DIGNAR-lite starts at 0.2)</t>
        </is>
      </c>
    </row>
    <row r="13">
      <c r="A13" s="23" t="inlineStr">
        <is>
          <t>Augmented</t>
        </is>
      </c>
      <c r="B13" s="23" t="inlineStr">
        <is>
          <t>pub_cap</t>
        </is>
      </c>
      <c r="C13" s="23" t="inlineStr">
        <is>
          <t>Budget need, capital (% GDP)</t>
        </is>
      </c>
      <c r="D13" s="23" t="inlineStr">
        <is>
          <t>Data_long</t>
        </is>
      </c>
      <c r="E13" s="23" t="inlineStr">
        <is>
          <t>NMIM v0.2 via MacroFiscalModels</t>
        </is>
      </c>
    </row>
    <row r="14">
      <c r="A14" s="23" t="inlineStr">
        <is>
          <t>Augmented</t>
        </is>
      </c>
      <c r="B14" s="23" t="inlineStr">
        <is>
          <t>pub_spend</t>
        </is>
      </c>
      <c r="C14" s="23" t="inlineStr">
        <is>
          <t>Budget need, spending: land use, non-CO2 (% GDP)</t>
        </is>
      </c>
      <c r="D14" s="23" t="inlineStr">
        <is>
          <t>Data_long</t>
        </is>
      </c>
      <c r="E14" s="23" t="inlineStr">
        <is>
          <t>NMIM v0.2 via MacroFiscalModels</t>
        </is>
      </c>
    </row>
    <row r="15">
      <c r="A15" s="23" t="inlineStr">
        <is>
          <t>Augmented</t>
        </is>
      </c>
      <c r="B15" s="23" t="inlineStr">
        <is>
          <t>rev</t>
        </is>
      </c>
      <c r="C15" s="23" t="inlineStr">
        <is>
          <t>Feasible power carbon-pricing revenue (% GDP)</t>
        </is>
      </c>
      <c r="D15" s="23" t="inlineStr">
        <is>
          <t>Data_long</t>
        </is>
      </c>
      <c r="E15" s="23" t="inlineStr">
        <is>
          <t>PriceFeasibility v0.1 x NMIM power CO2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16" t="inlineStr">
        <is>
          <t>iso3</t>
        </is>
      </c>
      <c r="B1" s="16" t="inlineStr">
        <is>
          <t>country</t>
        </is>
      </c>
      <c r="C1" s="16" t="inlineStr">
        <is>
          <t>income</t>
        </is>
      </c>
      <c r="D1" s="16" t="inlineStr">
        <is>
          <t>k</t>
        </is>
      </c>
      <c r="E1" s="16" t="inlineStr">
        <is>
          <t>s</t>
        </is>
      </c>
      <c r="F1" s="16" t="inlineStr">
        <is>
          <t>Rg</t>
        </is>
      </c>
      <c r="G1" s="16" t="inlineStr">
        <is>
          <t>ig</t>
        </is>
      </c>
      <c r="H1" s="16" t="inlineStr">
        <is>
          <t>tax</t>
        </is>
      </c>
      <c r="I1" s="16" t="inlineStr">
        <is>
          <t>grants0</t>
        </is>
      </c>
      <c r="J1" s="16" t="inlineStr">
        <is>
          <t>conc</t>
        </is>
      </c>
      <c r="K1" s="16" t="inlineStr">
        <is>
          <t>rstar</t>
        </is>
      </c>
      <c r="L1" s="16" t="inlineStr">
        <is>
          <t>rr</t>
        </is>
      </c>
      <c r="M1" s="16" t="inlineStr">
        <is>
          <t>res</t>
        </is>
      </c>
      <c r="N1" s="16" t="inlineStr">
        <is>
          <t>rents0</t>
        </is>
      </c>
      <c r="O1" s="16" t="inlineStr">
        <is>
          <t>K0</t>
        </is>
      </c>
      <c r="P1" s="16" t="inlineStr">
        <is>
          <t>KG0</t>
        </is>
      </c>
      <c r="Q1" s="16" t="inlineStr">
        <is>
          <t>psi</t>
        </is>
      </c>
      <c r="R1" s="16" t="inlineStr">
        <is>
          <t>A</t>
        </is>
      </c>
      <c r="S1" s="16" t="inlineStr">
        <is>
          <t>GDP0</t>
        </is>
      </c>
      <c r="T1" s="16" t="inlineStr">
        <is>
          <t>D0</t>
        </is>
      </c>
      <c r="U1" s="16" t="inlineStr">
        <is>
          <t>Dk0</t>
        </is>
      </c>
      <c r="V1" s="16" t="inlineStr">
        <is>
          <t>int0</t>
        </is>
      </c>
      <c r="W1" s="16" t="inlineStr">
        <is>
          <t>rev0</t>
        </is>
      </c>
      <c r="X1" s="16" t="inlineStr">
        <is>
          <t>g</t>
        </is>
      </c>
      <c r="Y1" s="16" t="inlineStr">
        <is>
          <t>trbar</t>
        </is>
      </c>
      <c r="Z1" s="16" t="inlineStr">
        <is>
          <t>lam_f</t>
        </is>
      </c>
      <c r="AA1" s="16" t="inlineStr">
        <is>
          <t>ratio0</t>
        </is>
      </c>
    </row>
    <row r="2">
      <c r="A2" s="19">
        <f>Data_wide!$A$2</f>
        <v/>
      </c>
      <c r="B2" s="19">
        <f>Data_wide!$B$2</f>
        <v/>
      </c>
      <c r="C2" s="19">
        <f>Data_wide!$D$2</f>
        <v/>
      </c>
      <c r="D2" s="19">
        <f>MATCH(C2,{"Low income","Lower middle income","Upper middle income","High income"},0)</f>
        <v/>
      </c>
      <c r="E2" s="24">
        <f>1-IF(ISNUMBER(Data_wide!$G$2),0.4-(Data_wide!$G$2-1)/3*0.27,CHOOSE(D2,0.4,0.27,0.27,0.13))</f>
        <v/>
      </c>
      <c r="F2" s="24">
        <f>Data_wide!$L$2/100</f>
        <v/>
      </c>
      <c r="G2" s="24">
        <f>Data_wide!$K$2/100</f>
        <v/>
      </c>
      <c r="H2" s="24">
        <f>Data_wide!$F$2/100</f>
        <v/>
      </c>
      <c r="I2" s="24">
        <f>Data_wide!$N$2/100</f>
        <v/>
      </c>
      <c r="J2" s="24">
        <f>IF(ISNUMBER(Data_wide!$H$2),Data_wide!$H$2/100,CHOOSE(D2,0.7,0.45,0.15,0))</f>
        <v/>
      </c>
      <c r="K2" s="24">
        <f>IF(ISNUMBER(Data_wide!$I$2),MIN(MAX(Data_wide!$I$2/100-0.03,0.03),0.08),IF(D2&lt;3,0.04,0.03))</f>
        <v/>
      </c>
      <c r="L2" s="24">
        <f>IF(ISNUMBER(Data_wide!$J$2),Data_wide!$J$2/100,0)</f>
        <v/>
      </c>
      <c r="M2" s="19">
        <f>IF(L2&gt;=p_res_threshold,1,0)</f>
        <v/>
      </c>
      <c r="N2" s="24">
        <f>IF(M2=1,L2/(1-L2),0)</f>
        <v/>
      </c>
      <c r="O2" s="24">
        <f>p_alpha*(1-H2)/(K2+p_delta)</f>
        <v/>
      </c>
      <c r="P2" s="24">
        <f>E2*G2/p_delta_g</f>
        <v/>
      </c>
      <c r="Q2" s="24">
        <f>F2*P2</f>
        <v/>
      </c>
      <c r="R2" s="24">
        <f>1/(P2^Q2*O2^p_alpha)</f>
        <v/>
      </c>
      <c r="S2" s="24">
        <f>1+N2</f>
        <v/>
      </c>
      <c r="T2" s="24">
        <f>Data_wide!$E$2/100*S2</f>
        <v/>
      </c>
      <c r="U2" s="24">
        <f>J2*T2</f>
        <v/>
      </c>
      <c r="V2" s="24">
        <f>p_rk*U2+K2*(T2-U2)</f>
        <v/>
      </c>
      <c r="W2" s="24">
        <f>H2+p_gov_take*N2+I2</f>
        <v/>
      </c>
      <c r="X2" s="24">
        <f>MAX(0.05,W2-G2-V2-p_tr_target)</f>
        <v/>
      </c>
      <c r="Y2" s="24">
        <f>W2-X2-G2-V2</f>
        <v/>
      </c>
      <c r="Z2" s="24">
        <f>IF(ISNUMBER(Data_wide!$O$2),Data_wide!$O$2,IF(M2=1,p_lambda_f_res,p_lambda_f))</f>
        <v/>
      </c>
      <c r="AA2" s="24">
        <f>T2/S2</f>
        <v/>
      </c>
    </row>
    <row r="3">
      <c r="A3" s="19">
        <f>Data_wide!$A$3</f>
        <v/>
      </c>
      <c r="B3" s="19">
        <f>Data_wide!$B$3</f>
        <v/>
      </c>
      <c r="C3" s="19">
        <f>Data_wide!$D$3</f>
        <v/>
      </c>
      <c r="D3" s="19">
        <f>MATCH(C3,{"Low income","Lower middle income","Upper middle income","High income"},0)</f>
        <v/>
      </c>
      <c r="E3" s="24">
        <f>1-IF(ISNUMBER(Data_wide!$G$3),0.4-(Data_wide!$G$3-1)/3*0.27,CHOOSE(D3,0.4,0.27,0.27,0.13))</f>
        <v/>
      </c>
      <c r="F3" s="24">
        <f>Data_wide!$L$3/100</f>
        <v/>
      </c>
      <c r="G3" s="24">
        <f>Data_wide!$K$3/100</f>
        <v/>
      </c>
      <c r="H3" s="24">
        <f>Data_wide!$F$3/100</f>
        <v/>
      </c>
      <c r="I3" s="24">
        <f>Data_wide!$N$3/100</f>
        <v/>
      </c>
      <c r="J3" s="24">
        <f>IF(ISNUMBER(Data_wide!$H$3),Data_wide!$H$3/100,CHOOSE(D3,0.7,0.45,0.15,0))</f>
        <v/>
      </c>
      <c r="K3" s="24">
        <f>IF(ISNUMBER(Data_wide!$I$3),MIN(MAX(Data_wide!$I$3/100-0.03,0.03),0.08),IF(D3&lt;3,0.04,0.03))</f>
        <v/>
      </c>
      <c r="L3" s="24">
        <f>IF(ISNUMBER(Data_wide!$J$3),Data_wide!$J$3/100,0)</f>
        <v/>
      </c>
      <c r="M3" s="19">
        <f>IF(L3&gt;=p_res_threshold,1,0)</f>
        <v/>
      </c>
      <c r="N3" s="24">
        <f>IF(M3=1,L3/(1-L3),0)</f>
        <v/>
      </c>
      <c r="O3" s="24">
        <f>p_alpha*(1-H3)/(K3+p_delta)</f>
        <v/>
      </c>
      <c r="P3" s="24">
        <f>E3*G3/p_delta_g</f>
        <v/>
      </c>
      <c r="Q3" s="24">
        <f>F3*P3</f>
        <v/>
      </c>
      <c r="R3" s="24">
        <f>1/(P3^Q3*O3^p_alpha)</f>
        <v/>
      </c>
      <c r="S3" s="24">
        <f>1+N3</f>
        <v/>
      </c>
      <c r="T3" s="24">
        <f>Data_wide!$E$3/100*S3</f>
        <v/>
      </c>
      <c r="U3" s="24">
        <f>J3*T3</f>
        <v/>
      </c>
      <c r="V3" s="24">
        <f>p_rk*U3+K3*(T3-U3)</f>
        <v/>
      </c>
      <c r="W3" s="24">
        <f>H3+p_gov_take*N3+I3</f>
        <v/>
      </c>
      <c r="X3" s="24">
        <f>MAX(0.05,W3-G3-V3-p_tr_target)</f>
        <v/>
      </c>
      <c r="Y3" s="24">
        <f>W3-X3-G3-V3</f>
        <v/>
      </c>
      <c r="Z3" s="24">
        <f>IF(ISNUMBER(Data_wide!$O$3),Data_wide!$O$3,IF(M3=1,p_lambda_f_res,p_lambda_f))</f>
        <v/>
      </c>
      <c r="AA3" s="24">
        <f>T3/S3</f>
        <v/>
      </c>
    </row>
    <row r="4">
      <c r="A4" s="19">
        <f>Data_wide!$A$4</f>
        <v/>
      </c>
      <c r="B4" s="19">
        <f>Data_wide!$B$4</f>
        <v/>
      </c>
      <c r="C4" s="19">
        <f>Data_wide!$D$4</f>
        <v/>
      </c>
      <c r="D4" s="19">
        <f>MATCH(C4,{"Low income","Lower middle income","Upper middle income","High income"},0)</f>
        <v/>
      </c>
      <c r="E4" s="24">
        <f>1-IF(ISNUMBER(Data_wide!$G$4),0.4-(Data_wide!$G$4-1)/3*0.27,CHOOSE(D4,0.4,0.27,0.27,0.13))</f>
        <v/>
      </c>
      <c r="F4" s="24">
        <f>Data_wide!$L$4/100</f>
        <v/>
      </c>
      <c r="G4" s="24">
        <f>Data_wide!$K$4/100</f>
        <v/>
      </c>
      <c r="H4" s="24">
        <f>Data_wide!$F$4/100</f>
        <v/>
      </c>
      <c r="I4" s="24">
        <f>Data_wide!$N$4/100</f>
        <v/>
      </c>
      <c r="J4" s="24">
        <f>IF(ISNUMBER(Data_wide!$H$4),Data_wide!$H$4/100,CHOOSE(D4,0.7,0.45,0.15,0))</f>
        <v/>
      </c>
      <c r="K4" s="24">
        <f>IF(ISNUMBER(Data_wide!$I$4),MIN(MAX(Data_wide!$I$4/100-0.03,0.03),0.08),IF(D4&lt;3,0.04,0.03))</f>
        <v/>
      </c>
      <c r="L4" s="24">
        <f>IF(ISNUMBER(Data_wide!$J$4),Data_wide!$J$4/100,0)</f>
        <v/>
      </c>
      <c r="M4" s="19">
        <f>IF(L4&gt;=p_res_threshold,1,0)</f>
        <v/>
      </c>
      <c r="N4" s="24">
        <f>IF(M4=1,L4/(1-L4),0)</f>
        <v/>
      </c>
      <c r="O4" s="24">
        <f>p_alpha*(1-H4)/(K4+p_delta)</f>
        <v/>
      </c>
      <c r="P4" s="24">
        <f>E4*G4/p_delta_g</f>
        <v/>
      </c>
      <c r="Q4" s="24">
        <f>F4*P4</f>
        <v/>
      </c>
      <c r="R4" s="24">
        <f>1/(P4^Q4*O4^p_alpha)</f>
        <v/>
      </c>
      <c r="S4" s="24">
        <f>1+N4</f>
        <v/>
      </c>
      <c r="T4" s="24">
        <f>Data_wide!$E$4/100*S4</f>
        <v/>
      </c>
      <c r="U4" s="24">
        <f>J4*T4</f>
        <v/>
      </c>
      <c r="V4" s="24">
        <f>p_rk*U4+K4*(T4-U4)</f>
        <v/>
      </c>
      <c r="W4" s="24">
        <f>H4+p_gov_take*N4+I4</f>
        <v/>
      </c>
      <c r="X4" s="24">
        <f>MAX(0.05,W4-G4-V4-p_tr_target)</f>
        <v/>
      </c>
      <c r="Y4" s="24">
        <f>W4-X4-G4-V4</f>
        <v/>
      </c>
      <c r="Z4" s="24">
        <f>IF(ISNUMBER(Data_wide!$O$4),Data_wide!$O$4,IF(M4=1,p_lambda_f_res,p_lambda_f))</f>
        <v/>
      </c>
      <c r="AA4" s="24">
        <f>T4/S4</f>
        <v/>
      </c>
    </row>
    <row r="5">
      <c r="A5" s="19">
        <f>Data_wide!$A$5</f>
        <v/>
      </c>
      <c r="B5" s="19">
        <f>Data_wide!$B$5</f>
        <v/>
      </c>
      <c r="C5" s="19">
        <f>Data_wide!$D$5</f>
        <v/>
      </c>
      <c r="D5" s="19">
        <f>MATCH(C5,{"Low income","Lower middle income","Upper middle income","High income"},0)</f>
        <v/>
      </c>
      <c r="E5" s="24">
        <f>1-IF(ISNUMBER(Data_wide!$G$5),0.4-(Data_wide!$G$5-1)/3*0.27,CHOOSE(D5,0.4,0.27,0.27,0.13))</f>
        <v/>
      </c>
      <c r="F5" s="24">
        <f>Data_wide!$L$5/100</f>
        <v/>
      </c>
      <c r="G5" s="24">
        <f>Data_wide!$K$5/100</f>
        <v/>
      </c>
      <c r="H5" s="24">
        <f>Data_wide!$F$5/100</f>
        <v/>
      </c>
      <c r="I5" s="24">
        <f>Data_wide!$N$5/100</f>
        <v/>
      </c>
      <c r="J5" s="24">
        <f>IF(ISNUMBER(Data_wide!$H$5),Data_wide!$H$5/100,CHOOSE(D5,0.7,0.45,0.15,0))</f>
        <v/>
      </c>
      <c r="K5" s="24">
        <f>IF(ISNUMBER(Data_wide!$I$5),MIN(MAX(Data_wide!$I$5/100-0.03,0.03),0.08),IF(D5&lt;3,0.04,0.03))</f>
        <v/>
      </c>
      <c r="L5" s="24">
        <f>IF(ISNUMBER(Data_wide!$J$5),Data_wide!$J$5/100,0)</f>
        <v/>
      </c>
      <c r="M5" s="19">
        <f>IF(L5&gt;=p_res_threshold,1,0)</f>
        <v/>
      </c>
      <c r="N5" s="24">
        <f>IF(M5=1,L5/(1-L5),0)</f>
        <v/>
      </c>
      <c r="O5" s="24">
        <f>p_alpha*(1-H5)/(K5+p_delta)</f>
        <v/>
      </c>
      <c r="P5" s="24">
        <f>E5*G5/p_delta_g</f>
        <v/>
      </c>
      <c r="Q5" s="24">
        <f>F5*P5</f>
        <v/>
      </c>
      <c r="R5" s="24">
        <f>1/(P5^Q5*O5^p_alpha)</f>
        <v/>
      </c>
      <c r="S5" s="24">
        <f>1+N5</f>
        <v/>
      </c>
      <c r="T5" s="24">
        <f>Data_wide!$E$5/100*S5</f>
        <v/>
      </c>
      <c r="U5" s="24">
        <f>J5*T5</f>
        <v/>
      </c>
      <c r="V5" s="24">
        <f>p_rk*U5+K5*(T5-U5)</f>
        <v/>
      </c>
      <c r="W5" s="24">
        <f>H5+p_gov_take*N5+I5</f>
        <v/>
      </c>
      <c r="X5" s="24">
        <f>MAX(0.05,W5-G5-V5-p_tr_target)</f>
        <v/>
      </c>
      <c r="Y5" s="24">
        <f>W5-X5-G5-V5</f>
        <v/>
      </c>
      <c r="Z5" s="24">
        <f>IF(ISNUMBER(Data_wide!$O$5),Data_wide!$O$5,IF(M5=1,p_lambda_f_res,p_lambda_f))</f>
        <v/>
      </c>
      <c r="AA5" s="24">
        <f>T5/S5</f>
        <v/>
      </c>
    </row>
    <row r="6">
      <c r="A6" s="19">
        <f>Data_wide!$A$6</f>
        <v/>
      </c>
      <c r="B6" s="19">
        <f>Data_wide!$B$6</f>
        <v/>
      </c>
      <c r="C6" s="19">
        <f>Data_wide!$D$6</f>
        <v/>
      </c>
      <c r="D6" s="19">
        <f>MATCH(C6,{"Low income","Lower middle income","Upper middle income","High income"},0)</f>
        <v/>
      </c>
      <c r="E6" s="24">
        <f>1-IF(ISNUMBER(Data_wide!$G$6),0.4-(Data_wide!$G$6-1)/3*0.27,CHOOSE(D6,0.4,0.27,0.27,0.13))</f>
        <v/>
      </c>
      <c r="F6" s="24">
        <f>Data_wide!$L$6/100</f>
        <v/>
      </c>
      <c r="G6" s="24">
        <f>Data_wide!$K$6/100</f>
        <v/>
      </c>
      <c r="H6" s="24">
        <f>Data_wide!$F$6/100</f>
        <v/>
      </c>
      <c r="I6" s="24">
        <f>Data_wide!$N$6/100</f>
        <v/>
      </c>
      <c r="J6" s="24">
        <f>IF(ISNUMBER(Data_wide!$H$6),Data_wide!$H$6/100,CHOOSE(D6,0.7,0.45,0.15,0))</f>
        <v/>
      </c>
      <c r="K6" s="24">
        <f>IF(ISNUMBER(Data_wide!$I$6),MIN(MAX(Data_wide!$I$6/100-0.03,0.03),0.08),IF(D6&lt;3,0.04,0.03))</f>
        <v/>
      </c>
      <c r="L6" s="24">
        <f>IF(ISNUMBER(Data_wide!$J$6),Data_wide!$J$6/100,0)</f>
        <v/>
      </c>
      <c r="M6" s="19">
        <f>IF(L6&gt;=p_res_threshold,1,0)</f>
        <v/>
      </c>
      <c r="N6" s="24">
        <f>IF(M6=1,L6/(1-L6),0)</f>
        <v/>
      </c>
      <c r="O6" s="24">
        <f>p_alpha*(1-H6)/(K6+p_delta)</f>
        <v/>
      </c>
      <c r="P6" s="24">
        <f>E6*G6/p_delta_g</f>
        <v/>
      </c>
      <c r="Q6" s="24">
        <f>F6*P6</f>
        <v/>
      </c>
      <c r="R6" s="24">
        <f>1/(P6^Q6*O6^p_alpha)</f>
        <v/>
      </c>
      <c r="S6" s="24">
        <f>1+N6</f>
        <v/>
      </c>
      <c r="T6" s="24">
        <f>Data_wide!$E$6/100*S6</f>
        <v/>
      </c>
      <c r="U6" s="24">
        <f>J6*T6</f>
        <v/>
      </c>
      <c r="V6" s="24">
        <f>p_rk*U6+K6*(T6-U6)</f>
        <v/>
      </c>
      <c r="W6" s="24">
        <f>H6+p_gov_take*N6+I6</f>
        <v/>
      </c>
      <c r="X6" s="24">
        <f>MAX(0.05,W6-G6-V6-p_tr_target)</f>
        <v/>
      </c>
      <c r="Y6" s="24">
        <f>W6-X6-G6-V6</f>
        <v/>
      </c>
      <c r="Z6" s="24">
        <f>IF(ISNUMBER(Data_wide!$O$6),Data_wide!$O$6,IF(M6=1,p_lambda_f_res,p_lambda_f))</f>
        <v/>
      </c>
      <c r="AA6" s="24">
        <f>T6/S6</f>
        <v/>
      </c>
    </row>
    <row r="7">
      <c r="A7" s="19">
        <f>Data_wide!$A$7</f>
        <v/>
      </c>
      <c r="B7" s="19">
        <f>Data_wide!$B$7</f>
        <v/>
      </c>
      <c r="C7" s="19">
        <f>Data_wide!$D$7</f>
        <v/>
      </c>
      <c r="D7" s="19">
        <f>MATCH(C7,{"Low income","Lower middle income","Upper middle income","High income"},0)</f>
        <v/>
      </c>
      <c r="E7" s="24">
        <f>1-IF(ISNUMBER(Data_wide!$G$7),0.4-(Data_wide!$G$7-1)/3*0.27,CHOOSE(D7,0.4,0.27,0.27,0.13))</f>
        <v/>
      </c>
      <c r="F7" s="24">
        <f>Data_wide!$L$7/100</f>
        <v/>
      </c>
      <c r="G7" s="24">
        <f>Data_wide!$K$7/100</f>
        <v/>
      </c>
      <c r="H7" s="24">
        <f>Data_wide!$F$7/100</f>
        <v/>
      </c>
      <c r="I7" s="24">
        <f>Data_wide!$N$7/100</f>
        <v/>
      </c>
      <c r="J7" s="24">
        <f>IF(ISNUMBER(Data_wide!$H$7),Data_wide!$H$7/100,CHOOSE(D7,0.7,0.45,0.15,0))</f>
        <v/>
      </c>
      <c r="K7" s="24">
        <f>IF(ISNUMBER(Data_wide!$I$7),MIN(MAX(Data_wide!$I$7/100-0.03,0.03),0.08),IF(D7&lt;3,0.04,0.03))</f>
        <v/>
      </c>
      <c r="L7" s="24">
        <f>IF(ISNUMBER(Data_wide!$J$7),Data_wide!$J$7/100,0)</f>
        <v/>
      </c>
      <c r="M7" s="19">
        <f>IF(L7&gt;=p_res_threshold,1,0)</f>
        <v/>
      </c>
      <c r="N7" s="24">
        <f>IF(M7=1,L7/(1-L7),0)</f>
        <v/>
      </c>
      <c r="O7" s="24">
        <f>p_alpha*(1-H7)/(K7+p_delta)</f>
        <v/>
      </c>
      <c r="P7" s="24">
        <f>E7*G7/p_delta_g</f>
        <v/>
      </c>
      <c r="Q7" s="24">
        <f>F7*P7</f>
        <v/>
      </c>
      <c r="R7" s="24">
        <f>1/(P7^Q7*O7^p_alpha)</f>
        <v/>
      </c>
      <c r="S7" s="24">
        <f>1+N7</f>
        <v/>
      </c>
      <c r="T7" s="24">
        <f>Data_wide!$E$7/100*S7</f>
        <v/>
      </c>
      <c r="U7" s="24">
        <f>J7*T7</f>
        <v/>
      </c>
      <c r="V7" s="24">
        <f>p_rk*U7+K7*(T7-U7)</f>
        <v/>
      </c>
      <c r="W7" s="24">
        <f>H7+p_gov_take*N7+I7</f>
        <v/>
      </c>
      <c r="X7" s="24">
        <f>MAX(0.05,W7-G7-V7-p_tr_target)</f>
        <v/>
      </c>
      <c r="Y7" s="24">
        <f>W7-X7-G7-V7</f>
        <v/>
      </c>
      <c r="Z7" s="24">
        <f>IF(ISNUMBER(Data_wide!$O$7),Data_wide!$O$7,IF(M7=1,p_lambda_f_res,p_lambda_f))</f>
        <v/>
      </c>
      <c r="AA7" s="24">
        <f>T7/S7</f>
        <v/>
      </c>
    </row>
    <row r="8">
      <c r="A8" s="19">
        <f>Data_wide!$A$8</f>
        <v/>
      </c>
      <c r="B8" s="19">
        <f>Data_wide!$B$8</f>
        <v/>
      </c>
      <c r="C8" s="19">
        <f>Data_wide!$D$8</f>
        <v/>
      </c>
      <c r="D8" s="19">
        <f>MATCH(C8,{"Low income","Lower middle income","Upper middle income","High income"},0)</f>
        <v/>
      </c>
      <c r="E8" s="24">
        <f>1-IF(ISNUMBER(Data_wide!$G$8),0.4-(Data_wide!$G$8-1)/3*0.27,CHOOSE(D8,0.4,0.27,0.27,0.13))</f>
        <v/>
      </c>
      <c r="F8" s="24">
        <f>Data_wide!$L$8/100</f>
        <v/>
      </c>
      <c r="G8" s="24">
        <f>Data_wide!$K$8/100</f>
        <v/>
      </c>
      <c r="H8" s="24">
        <f>Data_wide!$F$8/100</f>
        <v/>
      </c>
      <c r="I8" s="24">
        <f>Data_wide!$N$8/100</f>
        <v/>
      </c>
      <c r="J8" s="24">
        <f>IF(ISNUMBER(Data_wide!$H$8),Data_wide!$H$8/100,CHOOSE(D8,0.7,0.45,0.15,0))</f>
        <v/>
      </c>
      <c r="K8" s="24">
        <f>IF(ISNUMBER(Data_wide!$I$8),MIN(MAX(Data_wide!$I$8/100-0.03,0.03),0.08),IF(D8&lt;3,0.04,0.03))</f>
        <v/>
      </c>
      <c r="L8" s="24">
        <f>IF(ISNUMBER(Data_wide!$J$8),Data_wide!$J$8/100,0)</f>
        <v/>
      </c>
      <c r="M8" s="19">
        <f>IF(L8&gt;=p_res_threshold,1,0)</f>
        <v/>
      </c>
      <c r="N8" s="24">
        <f>IF(M8=1,L8/(1-L8),0)</f>
        <v/>
      </c>
      <c r="O8" s="24">
        <f>p_alpha*(1-H8)/(K8+p_delta)</f>
        <v/>
      </c>
      <c r="P8" s="24">
        <f>E8*G8/p_delta_g</f>
        <v/>
      </c>
      <c r="Q8" s="24">
        <f>F8*P8</f>
        <v/>
      </c>
      <c r="R8" s="24">
        <f>1/(P8^Q8*O8^p_alpha)</f>
        <v/>
      </c>
      <c r="S8" s="24">
        <f>1+N8</f>
        <v/>
      </c>
      <c r="T8" s="24">
        <f>Data_wide!$E$8/100*S8</f>
        <v/>
      </c>
      <c r="U8" s="24">
        <f>J8*T8</f>
        <v/>
      </c>
      <c r="V8" s="24">
        <f>p_rk*U8+K8*(T8-U8)</f>
        <v/>
      </c>
      <c r="W8" s="24">
        <f>H8+p_gov_take*N8+I8</f>
        <v/>
      </c>
      <c r="X8" s="24">
        <f>MAX(0.05,W8-G8-V8-p_tr_target)</f>
        <v/>
      </c>
      <c r="Y8" s="24">
        <f>W8-X8-G8-V8</f>
        <v/>
      </c>
      <c r="Z8" s="24">
        <f>IF(ISNUMBER(Data_wide!$O$8),Data_wide!$O$8,IF(M8=1,p_lambda_f_res,p_lambda_f))</f>
        <v/>
      </c>
      <c r="AA8" s="24">
        <f>T8/S8</f>
        <v/>
      </c>
    </row>
    <row r="9">
      <c r="A9" s="19">
        <f>Data_wide!$A$9</f>
        <v/>
      </c>
      <c r="B9" s="19">
        <f>Data_wide!$B$9</f>
        <v/>
      </c>
      <c r="C9" s="19">
        <f>Data_wide!$D$9</f>
        <v/>
      </c>
      <c r="D9" s="19">
        <f>MATCH(C9,{"Low income","Lower middle income","Upper middle income","High income"},0)</f>
        <v/>
      </c>
      <c r="E9" s="24">
        <f>1-IF(ISNUMBER(Data_wide!$G$9),0.4-(Data_wide!$G$9-1)/3*0.27,CHOOSE(D9,0.4,0.27,0.27,0.13))</f>
        <v/>
      </c>
      <c r="F9" s="24">
        <f>Data_wide!$L$9/100</f>
        <v/>
      </c>
      <c r="G9" s="24">
        <f>Data_wide!$K$9/100</f>
        <v/>
      </c>
      <c r="H9" s="24">
        <f>Data_wide!$F$9/100</f>
        <v/>
      </c>
      <c r="I9" s="24">
        <f>Data_wide!$N$9/100</f>
        <v/>
      </c>
      <c r="J9" s="24">
        <f>IF(ISNUMBER(Data_wide!$H$9),Data_wide!$H$9/100,CHOOSE(D9,0.7,0.45,0.15,0))</f>
        <v/>
      </c>
      <c r="K9" s="24">
        <f>IF(ISNUMBER(Data_wide!$I$9),MIN(MAX(Data_wide!$I$9/100-0.03,0.03),0.08),IF(D9&lt;3,0.04,0.03))</f>
        <v/>
      </c>
      <c r="L9" s="24">
        <f>IF(ISNUMBER(Data_wide!$J$9),Data_wide!$J$9/100,0)</f>
        <v/>
      </c>
      <c r="M9" s="19">
        <f>IF(L9&gt;=p_res_threshold,1,0)</f>
        <v/>
      </c>
      <c r="N9" s="24">
        <f>IF(M9=1,L9/(1-L9),0)</f>
        <v/>
      </c>
      <c r="O9" s="24">
        <f>p_alpha*(1-H9)/(K9+p_delta)</f>
        <v/>
      </c>
      <c r="P9" s="24">
        <f>E9*G9/p_delta_g</f>
        <v/>
      </c>
      <c r="Q9" s="24">
        <f>F9*P9</f>
        <v/>
      </c>
      <c r="R9" s="24">
        <f>1/(P9^Q9*O9^p_alpha)</f>
        <v/>
      </c>
      <c r="S9" s="24">
        <f>1+N9</f>
        <v/>
      </c>
      <c r="T9" s="24">
        <f>Data_wide!$E$9/100*S9</f>
        <v/>
      </c>
      <c r="U9" s="24">
        <f>J9*T9</f>
        <v/>
      </c>
      <c r="V9" s="24">
        <f>p_rk*U9+K9*(T9-U9)</f>
        <v/>
      </c>
      <c r="W9" s="24">
        <f>H9+p_gov_take*N9+I9</f>
        <v/>
      </c>
      <c r="X9" s="24">
        <f>MAX(0.05,W9-G9-V9-p_tr_target)</f>
        <v/>
      </c>
      <c r="Y9" s="24">
        <f>W9-X9-G9-V9</f>
        <v/>
      </c>
      <c r="Z9" s="24">
        <f>IF(ISNUMBER(Data_wide!$O$9),Data_wide!$O$9,IF(M9=1,p_lambda_f_res,p_lambda_f))</f>
        <v/>
      </c>
      <c r="AA9" s="24">
        <f>T9/S9</f>
        <v/>
      </c>
    </row>
    <row r="10">
      <c r="A10" s="19">
        <f>Data_wide!$A$10</f>
        <v/>
      </c>
      <c r="B10" s="19">
        <f>Data_wide!$B$10</f>
        <v/>
      </c>
      <c r="C10" s="19">
        <f>Data_wide!$D$10</f>
        <v/>
      </c>
      <c r="D10" s="19">
        <f>MATCH(C10,{"Low income","Lower middle income","Upper middle income","High income"},0)</f>
        <v/>
      </c>
      <c r="E10" s="24">
        <f>1-IF(ISNUMBER(Data_wide!$G$10),0.4-(Data_wide!$G$10-1)/3*0.27,CHOOSE(D10,0.4,0.27,0.27,0.13))</f>
        <v/>
      </c>
      <c r="F10" s="24">
        <f>Data_wide!$L$10/100</f>
        <v/>
      </c>
      <c r="G10" s="24">
        <f>Data_wide!$K$10/100</f>
        <v/>
      </c>
      <c r="H10" s="24">
        <f>Data_wide!$F$10/100</f>
        <v/>
      </c>
      <c r="I10" s="24">
        <f>Data_wide!$N$10/100</f>
        <v/>
      </c>
      <c r="J10" s="24">
        <f>IF(ISNUMBER(Data_wide!$H$10),Data_wide!$H$10/100,CHOOSE(D10,0.7,0.45,0.15,0))</f>
        <v/>
      </c>
      <c r="K10" s="24">
        <f>IF(ISNUMBER(Data_wide!$I$10),MIN(MAX(Data_wide!$I$10/100-0.03,0.03),0.08),IF(D10&lt;3,0.04,0.03))</f>
        <v/>
      </c>
      <c r="L10" s="24">
        <f>IF(ISNUMBER(Data_wide!$J$10),Data_wide!$J$10/100,0)</f>
        <v/>
      </c>
      <c r="M10" s="19">
        <f>IF(L10&gt;=p_res_threshold,1,0)</f>
        <v/>
      </c>
      <c r="N10" s="24">
        <f>IF(M10=1,L10/(1-L10),0)</f>
        <v/>
      </c>
      <c r="O10" s="24">
        <f>p_alpha*(1-H10)/(K10+p_delta)</f>
        <v/>
      </c>
      <c r="P10" s="24">
        <f>E10*G10/p_delta_g</f>
        <v/>
      </c>
      <c r="Q10" s="24">
        <f>F10*P10</f>
        <v/>
      </c>
      <c r="R10" s="24">
        <f>1/(P10^Q10*O10^p_alpha)</f>
        <v/>
      </c>
      <c r="S10" s="24">
        <f>1+N10</f>
        <v/>
      </c>
      <c r="T10" s="24">
        <f>Data_wide!$E$10/100*S10</f>
        <v/>
      </c>
      <c r="U10" s="24">
        <f>J10*T10</f>
        <v/>
      </c>
      <c r="V10" s="24">
        <f>p_rk*U10+K10*(T10-U10)</f>
        <v/>
      </c>
      <c r="W10" s="24">
        <f>H10+p_gov_take*N10+I10</f>
        <v/>
      </c>
      <c r="X10" s="24">
        <f>MAX(0.05,W10-G10-V10-p_tr_target)</f>
        <v/>
      </c>
      <c r="Y10" s="24">
        <f>W10-X10-G10-V10</f>
        <v/>
      </c>
      <c r="Z10" s="24">
        <f>IF(ISNUMBER(Data_wide!$O$10),Data_wide!$O$10,IF(M10=1,p_lambda_f_res,p_lambda_f))</f>
        <v/>
      </c>
      <c r="AA10" s="24">
        <f>T10/S10</f>
        <v/>
      </c>
    </row>
    <row r="11">
      <c r="A11" s="19">
        <f>Data_wide!$A$11</f>
        <v/>
      </c>
      <c r="B11" s="19">
        <f>Data_wide!$B$11</f>
        <v/>
      </c>
      <c r="C11" s="19">
        <f>Data_wide!$D$11</f>
        <v/>
      </c>
      <c r="D11" s="19">
        <f>MATCH(C11,{"Low income","Lower middle income","Upper middle income","High income"},0)</f>
        <v/>
      </c>
      <c r="E11" s="24">
        <f>1-IF(ISNUMBER(Data_wide!$G$11),0.4-(Data_wide!$G$11-1)/3*0.27,CHOOSE(D11,0.4,0.27,0.27,0.13))</f>
        <v/>
      </c>
      <c r="F11" s="24">
        <f>Data_wide!$L$11/100</f>
        <v/>
      </c>
      <c r="G11" s="24">
        <f>Data_wide!$K$11/100</f>
        <v/>
      </c>
      <c r="H11" s="24">
        <f>Data_wide!$F$11/100</f>
        <v/>
      </c>
      <c r="I11" s="24">
        <f>Data_wide!$N$11/100</f>
        <v/>
      </c>
      <c r="J11" s="24">
        <f>IF(ISNUMBER(Data_wide!$H$11),Data_wide!$H$11/100,CHOOSE(D11,0.7,0.45,0.15,0))</f>
        <v/>
      </c>
      <c r="K11" s="24">
        <f>IF(ISNUMBER(Data_wide!$I$11),MIN(MAX(Data_wide!$I$11/100-0.03,0.03),0.08),IF(D11&lt;3,0.04,0.03))</f>
        <v/>
      </c>
      <c r="L11" s="24">
        <f>IF(ISNUMBER(Data_wide!$J$11),Data_wide!$J$11/100,0)</f>
        <v/>
      </c>
      <c r="M11" s="19">
        <f>IF(L11&gt;=p_res_threshold,1,0)</f>
        <v/>
      </c>
      <c r="N11" s="24">
        <f>IF(M11=1,L11/(1-L11),0)</f>
        <v/>
      </c>
      <c r="O11" s="24">
        <f>p_alpha*(1-H11)/(K11+p_delta)</f>
        <v/>
      </c>
      <c r="P11" s="24">
        <f>E11*G11/p_delta_g</f>
        <v/>
      </c>
      <c r="Q11" s="24">
        <f>F11*P11</f>
        <v/>
      </c>
      <c r="R11" s="24">
        <f>1/(P11^Q11*O11^p_alpha)</f>
        <v/>
      </c>
      <c r="S11" s="24">
        <f>1+N11</f>
        <v/>
      </c>
      <c r="T11" s="24">
        <f>Data_wide!$E$11/100*S11</f>
        <v/>
      </c>
      <c r="U11" s="24">
        <f>J11*T11</f>
        <v/>
      </c>
      <c r="V11" s="24">
        <f>p_rk*U11+K11*(T11-U11)</f>
        <v/>
      </c>
      <c r="W11" s="24">
        <f>H11+p_gov_take*N11+I11</f>
        <v/>
      </c>
      <c r="X11" s="24">
        <f>MAX(0.05,W11-G11-V11-p_tr_target)</f>
        <v/>
      </c>
      <c r="Y11" s="24">
        <f>W11-X11-G11-V11</f>
        <v/>
      </c>
      <c r="Z11" s="24">
        <f>IF(ISNUMBER(Data_wide!$O$11),Data_wide!$O$11,IF(M11=1,p_lambda_f_res,p_lambda_f))</f>
        <v/>
      </c>
      <c r="AA11" s="24">
        <f>T11/S11</f>
        <v/>
      </c>
    </row>
    <row r="12">
      <c r="A12" s="19">
        <f>Data_wide!$A$12</f>
        <v/>
      </c>
      <c r="B12" s="19">
        <f>Data_wide!$B$12</f>
        <v/>
      </c>
      <c r="C12" s="19">
        <f>Data_wide!$D$12</f>
        <v/>
      </c>
      <c r="D12" s="19">
        <f>MATCH(C12,{"Low income","Lower middle income","Upper middle income","High income"},0)</f>
        <v/>
      </c>
      <c r="E12" s="24">
        <f>1-IF(ISNUMBER(Data_wide!$G$12),0.4-(Data_wide!$G$12-1)/3*0.27,CHOOSE(D12,0.4,0.27,0.27,0.13))</f>
        <v/>
      </c>
      <c r="F12" s="24">
        <f>Data_wide!$L$12/100</f>
        <v/>
      </c>
      <c r="G12" s="24">
        <f>Data_wide!$K$12/100</f>
        <v/>
      </c>
      <c r="H12" s="24">
        <f>Data_wide!$F$12/100</f>
        <v/>
      </c>
      <c r="I12" s="24">
        <f>Data_wide!$N$12/100</f>
        <v/>
      </c>
      <c r="J12" s="24">
        <f>IF(ISNUMBER(Data_wide!$H$12),Data_wide!$H$12/100,CHOOSE(D12,0.7,0.45,0.15,0))</f>
        <v/>
      </c>
      <c r="K12" s="24">
        <f>IF(ISNUMBER(Data_wide!$I$12),MIN(MAX(Data_wide!$I$12/100-0.03,0.03),0.08),IF(D12&lt;3,0.04,0.03))</f>
        <v/>
      </c>
      <c r="L12" s="24">
        <f>IF(ISNUMBER(Data_wide!$J$12),Data_wide!$J$12/100,0)</f>
        <v/>
      </c>
      <c r="M12" s="19">
        <f>IF(L12&gt;=p_res_threshold,1,0)</f>
        <v/>
      </c>
      <c r="N12" s="24">
        <f>IF(M12=1,L12/(1-L12),0)</f>
        <v/>
      </c>
      <c r="O12" s="24">
        <f>p_alpha*(1-H12)/(K12+p_delta)</f>
        <v/>
      </c>
      <c r="P12" s="24">
        <f>E12*G12/p_delta_g</f>
        <v/>
      </c>
      <c r="Q12" s="24">
        <f>F12*P12</f>
        <v/>
      </c>
      <c r="R12" s="24">
        <f>1/(P12^Q12*O12^p_alpha)</f>
        <v/>
      </c>
      <c r="S12" s="24">
        <f>1+N12</f>
        <v/>
      </c>
      <c r="T12" s="24">
        <f>Data_wide!$E$12/100*S12</f>
        <v/>
      </c>
      <c r="U12" s="24">
        <f>J12*T12</f>
        <v/>
      </c>
      <c r="V12" s="24">
        <f>p_rk*U12+K12*(T12-U12)</f>
        <v/>
      </c>
      <c r="W12" s="24">
        <f>H12+p_gov_take*N12+I12</f>
        <v/>
      </c>
      <c r="X12" s="24">
        <f>MAX(0.05,W12-G12-V12-p_tr_target)</f>
        <v/>
      </c>
      <c r="Y12" s="24">
        <f>W12-X12-G12-V12</f>
        <v/>
      </c>
      <c r="Z12" s="24">
        <f>IF(ISNUMBER(Data_wide!$O$12),Data_wide!$O$12,IF(M12=1,p_lambda_f_res,p_lambda_f))</f>
        <v/>
      </c>
      <c r="AA12" s="24">
        <f>T12/S12</f>
        <v/>
      </c>
    </row>
    <row r="13">
      <c r="A13" s="19">
        <f>Data_wide!$A$13</f>
        <v/>
      </c>
      <c r="B13" s="19">
        <f>Data_wide!$B$13</f>
        <v/>
      </c>
      <c r="C13" s="19">
        <f>Data_wide!$D$13</f>
        <v/>
      </c>
      <c r="D13" s="19">
        <f>MATCH(C13,{"Low income","Lower middle income","Upper middle income","High income"},0)</f>
        <v/>
      </c>
      <c r="E13" s="24">
        <f>1-IF(ISNUMBER(Data_wide!$G$13),0.4-(Data_wide!$G$13-1)/3*0.27,CHOOSE(D13,0.4,0.27,0.27,0.13))</f>
        <v/>
      </c>
      <c r="F13" s="24">
        <f>Data_wide!$L$13/100</f>
        <v/>
      </c>
      <c r="G13" s="24">
        <f>Data_wide!$K$13/100</f>
        <v/>
      </c>
      <c r="H13" s="24">
        <f>Data_wide!$F$13/100</f>
        <v/>
      </c>
      <c r="I13" s="24">
        <f>Data_wide!$N$13/100</f>
        <v/>
      </c>
      <c r="J13" s="24">
        <f>IF(ISNUMBER(Data_wide!$H$13),Data_wide!$H$13/100,CHOOSE(D13,0.7,0.45,0.15,0))</f>
        <v/>
      </c>
      <c r="K13" s="24">
        <f>IF(ISNUMBER(Data_wide!$I$13),MIN(MAX(Data_wide!$I$13/100-0.03,0.03),0.08),IF(D13&lt;3,0.04,0.03))</f>
        <v/>
      </c>
      <c r="L13" s="24">
        <f>IF(ISNUMBER(Data_wide!$J$13),Data_wide!$J$13/100,0)</f>
        <v/>
      </c>
      <c r="M13" s="19">
        <f>IF(L13&gt;=p_res_threshold,1,0)</f>
        <v/>
      </c>
      <c r="N13" s="24">
        <f>IF(M13=1,L13/(1-L13),0)</f>
        <v/>
      </c>
      <c r="O13" s="24">
        <f>p_alpha*(1-H13)/(K13+p_delta)</f>
        <v/>
      </c>
      <c r="P13" s="24">
        <f>E13*G13/p_delta_g</f>
        <v/>
      </c>
      <c r="Q13" s="24">
        <f>F13*P13</f>
        <v/>
      </c>
      <c r="R13" s="24">
        <f>1/(P13^Q13*O13^p_alpha)</f>
        <v/>
      </c>
      <c r="S13" s="24">
        <f>1+N13</f>
        <v/>
      </c>
      <c r="T13" s="24">
        <f>Data_wide!$E$13/100*S13</f>
        <v/>
      </c>
      <c r="U13" s="24">
        <f>J13*T13</f>
        <v/>
      </c>
      <c r="V13" s="24">
        <f>p_rk*U13+K13*(T13-U13)</f>
        <v/>
      </c>
      <c r="W13" s="24">
        <f>H13+p_gov_take*N13+I13</f>
        <v/>
      </c>
      <c r="X13" s="24">
        <f>MAX(0.05,W13-G13-V13-p_tr_target)</f>
        <v/>
      </c>
      <c r="Y13" s="24">
        <f>W13-X13-G13-V13</f>
        <v/>
      </c>
      <c r="Z13" s="24">
        <f>IF(ISNUMBER(Data_wide!$O$13),Data_wide!$O$13,IF(M13=1,p_lambda_f_res,p_lambda_f))</f>
        <v/>
      </c>
      <c r="AA13" s="24">
        <f>T13/S13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3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4" customWidth="1" min="3" max="3"/>
    <col width="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</cols>
  <sheetData>
    <row r="1">
      <c r="A1" s="16" t="inlineStr">
        <is>
          <t>iso3</t>
        </is>
      </c>
      <c r="B1" s="16" t="inlineStr">
        <is>
          <t>year</t>
        </is>
      </c>
      <c r="C1" s="16" t="inlineStr">
        <is>
          <t>t</t>
        </is>
      </c>
      <c r="D1" s="16" t="inlineStr">
        <is>
          <t>crow</t>
        </is>
      </c>
      <c r="E1" s="16" t="inlineStr">
        <is>
          <t>dis</t>
        </is>
      </c>
      <c r="F1" s="16" t="inlineStr">
        <is>
          <t>tfp</t>
        </is>
      </c>
      <c r="G1" s="16" t="inlineStr">
        <is>
          <t>rents</t>
        </is>
      </c>
      <c r="H1" s="16" t="inlineStr">
        <is>
          <t>cap</t>
        </is>
      </c>
      <c r="I1" s="16" t="inlineStr">
        <is>
          <t>spend</t>
        </is>
      </c>
      <c r="J1" s="16" t="inlineStr">
        <is>
          <t>rev</t>
        </is>
      </c>
      <c r="K1" s="16" t="inlineStr">
        <is>
          <t>B_KG</t>
        </is>
      </c>
      <c r="L1" s="16" t="inlineStr">
        <is>
          <t>B_K</t>
        </is>
      </c>
      <c r="M1" s="16" t="inlineStr">
        <is>
          <t>B_Y</t>
        </is>
      </c>
      <c r="N1" s="16" t="inlineStr">
        <is>
          <t>B_Kstar</t>
        </is>
      </c>
      <c r="O1" s="16" t="inlineStr">
        <is>
          <t>B_GDP</t>
        </is>
      </c>
      <c r="P1" s="16" t="inlineStr">
        <is>
          <t>B_P</t>
        </is>
      </c>
      <c r="Q1" s="16" t="inlineStr">
        <is>
          <t>B_grants</t>
        </is>
      </c>
      <c r="R1" s="16" t="inlineStr">
        <is>
          <t>B_revenue</t>
        </is>
      </c>
      <c r="S1" s="16" t="inlineStr">
        <is>
          <t>B_tr</t>
        </is>
      </c>
      <c r="T1" s="16" t="inlineStr">
        <is>
          <t>B_prim</t>
        </is>
      </c>
      <c r="U1" s="16" t="inlineStr">
        <is>
          <t>B_interest</t>
        </is>
      </c>
      <c r="V1" s="16" t="inlineStr">
        <is>
          <t>B_D</t>
        </is>
      </c>
      <c r="W1" s="16" t="inlineStr">
        <is>
          <t>B_Dk</t>
        </is>
      </c>
      <c r="X1" s="16" t="inlineStr">
        <is>
          <t>B_ratio</t>
        </is>
      </c>
      <c r="Y1" s="16" t="inlineStr">
        <is>
          <t>B_rc</t>
        </is>
      </c>
      <c r="Z1" s="16" t="inlineStr">
        <is>
          <t>B_chtm</t>
        </is>
      </c>
      <c r="AA1" s="16" t="inlineStr">
        <is>
          <t>P_KG</t>
        </is>
      </c>
      <c r="AB1" s="16" t="inlineStr">
        <is>
          <t>P_K</t>
        </is>
      </c>
      <c r="AC1" s="16" t="inlineStr">
        <is>
          <t>P_Y</t>
        </is>
      </c>
      <c r="AD1" s="16" t="inlineStr">
        <is>
          <t>P_Kstar</t>
        </is>
      </c>
      <c r="AE1" s="16" t="inlineStr">
        <is>
          <t>P_GDP</t>
        </is>
      </c>
      <c r="AF1" s="16" t="inlineStr">
        <is>
          <t>P_P</t>
        </is>
      </c>
      <c r="AG1" s="16" t="inlineStr">
        <is>
          <t>P_grants</t>
        </is>
      </c>
      <c r="AH1" s="16" t="inlineStr">
        <is>
          <t>P_revenue</t>
        </is>
      </c>
      <c r="AI1" s="16" t="inlineStr">
        <is>
          <t>P_tr</t>
        </is>
      </c>
      <c r="AJ1" s="16" t="inlineStr">
        <is>
          <t>P_prim</t>
        </is>
      </c>
      <c r="AK1" s="16" t="inlineStr">
        <is>
          <t>P_interest</t>
        </is>
      </c>
      <c r="AL1" s="16" t="inlineStr">
        <is>
          <t>P_D</t>
        </is>
      </c>
      <c r="AM1" s="16" t="inlineStr">
        <is>
          <t>P_Dk</t>
        </is>
      </c>
      <c r="AN1" s="16" t="inlineStr">
        <is>
          <t>P_ratio</t>
        </is>
      </c>
      <c r="AO1" s="16" t="inlineStr">
        <is>
          <t>P_rc</t>
        </is>
      </c>
      <c r="AP1" s="16" t="inlineStr">
        <is>
          <t>P_chtm</t>
        </is>
      </c>
      <c r="AQ1" s="16" t="inlineStr">
        <is>
          <t>gdp_dev_prog</t>
        </is>
      </c>
      <c r="AR1" s="16" t="inlineStr">
        <is>
          <t>gdp_vs_2024_P</t>
        </is>
      </c>
      <c r="AS1" s="16" t="inlineStr">
        <is>
          <t>gdp_vs_2024_B</t>
        </is>
      </c>
      <c r="AT1" s="16" t="inlineStr">
        <is>
          <t>debt_diff_pp</t>
        </is>
      </c>
      <c r="AU1" s="16" t="inlineStr">
        <is>
          <t>chtm_dev_prog</t>
        </is>
      </c>
      <c r="AV1" s="16" t="inlineStr">
        <is>
          <t>tr_diff</t>
        </is>
      </c>
    </row>
    <row r="2">
      <c r="A2" s="25" t="inlineStr">
        <is>
          <t>KEN</t>
        </is>
      </c>
      <c r="B2" s="25" t="n">
        <v>2024</v>
      </c>
      <c r="C2" s="25" t="n">
        <v>0</v>
      </c>
      <c r="D2" s="25" t="n">
        <v>2</v>
      </c>
      <c r="E2" s="25">
        <f>IF(AND(p_dis_year&gt;0,B2=p_dis_year),1,0)</f>
        <v/>
      </c>
      <c r="F2" s="26">
        <f>IF(AND(p_dis_year&gt;0,B2&gt;=p_dis_year),1-p_eps_a*p_rho_a^(B2-p_dis_year),1)</f>
        <v/>
      </c>
      <c r="G2" s="26">
        <f>INDEX(Calib!$N$1:$N$13,$D2)*(1-p_rent_decline*MIN(1,C2/26))</f>
        <v/>
      </c>
      <c r="H2" s="26">
        <f>IF(C2=0,0,SUMIFS(dl_val,dl_iso,$A2,dl_ind,"pub_cap",dl_year,$B2)/100)</f>
        <v/>
      </c>
      <c r="I2" s="26">
        <f>IF(C2=0,0,SUMIFS(dl_val,dl_iso,$A2,dl_ind,"pub_spend",dl_year,$B2)/100)</f>
        <v/>
      </c>
      <c r="J2" s="26">
        <f>IF(C2=0,0,SUMIFS(dl_val,dl_iso,$A2,dl_ind,"rev",dl_year,$B2)/100)</f>
        <v/>
      </c>
      <c r="K2" s="26">
        <f>INDEX(Calib!$P$1:$P$13,$D2)</f>
        <v/>
      </c>
      <c r="L2" s="26">
        <f>INDEX(Calib!$O$1:$O$13,$D2)</f>
        <v/>
      </c>
      <c r="M2" s="26">
        <f>1</f>
        <v/>
      </c>
      <c r="N2" s="26">
        <f>INDEX(Calib!$O$1:$O$13,$D2)</f>
        <v/>
      </c>
      <c r="O2" s="26">
        <f>INDEX(Calib!$S$1:$S$13,$D2)</f>
        <v/>
      </c>
      <c r="P2" s="26">
        <f>0</f>
        <v/>
      </c>
      <c r="Q2" s="26">
        <f>INDEX(Calib!$I$1:$I$13,$D2)</f>
        <v/>
      </c>
      <c r="R2" s="26">
        <f>INDEX(Calib!$W$1:$W$13,$D2)</f>
        <v/>
      </c>
      <c r="S2" s="26">
        <f>INDEX(Calib!$Y$1:$Y$13,$D2)</f>
        <v/>
      </c>
      <c r="T2" s="26">
        <f>-INDEX(Calib!$V$1:$V$13,$D2)</f>
        <v/>
      </c>
      <c r="U2" s="26">
        <f>INDEX(Calib!$V$1:$V$13,$D2)</f>
        <v/>
      </c>
      <c r="V2" s="26">
        <f>INDEX(Calib!$T$1:$T$13,$D2)</f>
        <v/>
      </c>
      <c r="W2" s="26">
        <f>INDEX(Calib!$U$1:$U$13,$D2)</f>
        <v/>
      </c>
      <c r="X2" s="26">
        <f>V2/O2</f>
        <v/>
      </c>
      <c r="Y2" s="26">
        <f>INDEX(Calib!$K$1:$K$13,$D2)</f>
        <v/>
      </c>
      <c r="Z2" s="26">
        <f>(1-INDEX(Calib!$H$1:$H$13,$D2))*(1-p_alpha)*M2+S2</f>
        <v/>
      </c>
      <c r="AA2" s="26">
        <f>INDEX(Calib!$P$1:$P$13,$D2)</f>
        <v/>
      </c>
      <c r="AB2" s="26">
        <f>INDEX(Calib!$O$1:$O$13,$D2)</f>
        <v/>
      </c>
      <c r="AC2" s="26">
        <f>1</f>
        <v/>
      </c>
      <c r="AD2" s="26">
        <f>INDEX(Calib!$O$1:$O$13,$D2)</f>
        <v/>
      </c>
      <c r="AE2" s="26">
        <f>INDEX(Calib!$S$1:$S$13,$D2)</f>
        <v/>
      </c>
      <c r="AF2" s="26">
        <f>0</f>
        <v/>
      </c>
      <c r="AG2" s="26">
        <f>INDEX(Calib!$I$1:$I$13,$D2)</f>
        <v/>
      </c>
      <c r="AH2" s="26">
        <f>INDEX(Calib!$W$1:$W$13,$D2)</f>
        <v/>
      </c>
      <c r="AI2" s="26">
        <f>INDEX(Calib!$Y$1:$Y$13,$D2)</f>
        <v/>
      </c>
      <c r="AJ2" s="26">
        <f>-INDEX(Calib!$V$1:$V$13,$D2)</f>
        <v/>
      </c>
      <c r="AK2" s="26">
        <f>INDEX(Calib!$V$1:$V$13,$D2)</f>
        <v/>
      </c>
      <c r="AL2" s="26">
        <f>INDEX(Calib!$T$1:$T$13,$D2)</f>
        <v/>
      </c>
      <c r="AM2" s="26">
        <f>INDEX(Calib!$U$1:$U$13,$D2)</f>
        <v/>
      </c>
      <c r="AN2" s="26">
        <f>AL2/AE2</f>
        <v/>
      </c>
      <c r="AO2" s="26">
        <f>INDEX(Calib!$K$1:$K$13,$D2)</f>
        <v/>
      </c>
      <c r="AP2" s="26">
        <f>(1-INDEX(Calib!$H$1:$H$13,$D2))*(1-p_alpha)*AC2+AI2</f>
        <v/>
      </c>
      <c r="AQ2" s="26">
        <f>(AE2/O2-1)*100</f>
        <v/>
      </c>
      <c r="AR2" s="26">
        <f>(AE2/AE2-1)*100</f>
        <v/>
      </c>
      <c r="AS2" s="26">
        <f>(O2/O2-1)*100</f>
        <v/>
      </c>
      <c r="AT2" s="26">
        <f>(AN2-X2)*100</f>
        <v/>
      </c>
      <c r="AU2" s="26">
        <f>(AP2/Z2-1)*100</f>
        <v/>
      </c>
      <c r="AV2" s="26">
        <f>(AI2-S2)*100</f>
        <v/>
      </c>
    </row>
    <row r="3">
      <c r="A3" s="25" t="inlineStr">
        <is>
          <t>KEN</t>
        </is>
      </c>
      <c r="B3" s="25" t="n">
        <v>2025</v>
      </c>
      <c r="C3" s="25" t="n">
        <v>1</v>
      </c>
      <c r="D3" s="25" t="n">
        <v>2</v>
      </c>
      <c r="E3" s="25">
        <f>IF(AND(p_dis_year&gt;0,B3=p_dis_year),1,0)</f>
        <v/>
      </c>
      <c r="F3" s="26">
        <f>IF(AND(p_dis_year&gt;0,B3&gt;=p_dis_year),1-p_eps_a*p_rho_a^(B3-p_dis_year),1)</f>
        <v/>
      </c>
      <c r="G3" s="26">
        <f>INDEX(Calib!$N$1:$N$13,$D3)*(1-p_rent_decline*MIN(1,C3/26))</f>
        <v/>
      </c>
      <c r="H3" s="26">
        <f>IF(C3=0,0,SUMIFS(dl_val,dl_iso,$A3,dl_ind,"pub_cap",dl_year,$B3)/100)</f>
        <v/>
      </c>
      <c r="I3" s="26">
        <f>IF(C3=0,0,SUMIFS(dl_val,dl_iso,$A3,dl_ind,"pub_spend",dl_year,$B3)/100)</f>
        <v/>
      </c>
      <c r="J3" s="26">
        <f>IF(C3=0,0,SUMIFS(dl_val,dl_iso,$A3,dl_ind,"rev",dl_year,$B3)/100)</f>
        <v/>
      </c>
      <c r="K3" s="26">
        <f>(1-p_delta_g)*K2*(1-p_eps_g*$E3)+INDEX(Calib!$E$1:$E$13,$D3)*(INDEX(Calib!$G$1:$G$13,$D3)+0*$H3)</f>
        <v/>
      </c>
      <c r="L3" s="26">
        <f>L2*(1-p_eps_k*$E3)+p_lambda_k*(N3-L2*(1-p_eps_k*$E3))</f>
        <v/>
      </c>
      <c r="M3" s="26">
        <f>INDEX(Calib!$R$1:$R$13,$D3)*$F3*(K2*(1-p_eps_g*$E3))^INDEX(Calib!$Q$1:$Q$13,$D3)*(L2*(1-p_eps_k*$E3))^p_alpha</f>
        <v/>
      </c>
      <c r="N3" s="26">
        <f>p_alpha*(1-INDEX(Calib!$H$1:$H$13,$D3))*M3/(INDEX(Calib!$K$1:$K$13,$D3)+p_delta)</f>
        <v/>
      </c>
      <c r="O3" s="26">
        <f>M3+$G3</f>
        <v/>
      </c>
      <c r="P3" s="26">
        <f>0*($H3+$I3)</f>
        <v/>
      </c>
      <c r="Q3" s="26">
        <f>INDEX(Calib!$I$1:$I$13,$D3)+p_sh_grant*P3</f>
        <v/>
      </c>
      <c r="R3" s="26">
        <f>INDEX(Calib!$H$1:$H$13,$D3)*M3+p_gov_take*$G3+Q3+0*p_pricing*$J3</f>
        <v/>
      </c>
      <c r="S3" s="26">
        <f>INDEX(Calib!$Y$1:$Y$13,$D3)-INDEX(Calib!$Z$1:$Z$13,$D3)*(V2/O2-INDEX(Calib!$AA$1:$AA$13,$D3))</f>
        <v/>
      </c>
      <c r="T3" s="26">
        <f>INDEX(Calib!$X$1:$X$13,$D3)+INDEX(Calib!$G$1:$G$13,$D3)+P3+S3-R3</f>
        <v/>
      </c>
      <c r="U3" s="26">
        <f>p_rk*W2+Y2*(V2-W2)</f>
        <v/>
      </c>
      <c r="V3" s="26">
        <f>V2+U3+T3</f>
        <v/>
      </c>
      <c r="W3" s="26">
        <f>INDEX(Calib!$U$1:$U$13,$D3)+(W2-INDEX(Calib!$U$1:$U$13,$D3))*(1-p_amort)+p_sh_conc*P3</f>
        <v/>
      </c>
      <c r="X3" s="26">
        <f>V3/O3</f>
        <v/>
      </c>
      <c r="Y3" s="26">
        <f>INDEX(Calib!$K$1:$K$13,$D3)+p_eta*MAX(0,X3-INDEX(Calib!$AA$1:$AA$13,$D3))</f>
        <v/>
      </c>
      <c r="Z3" s="26">
        <f>(1-INDEX(Calib!$H$1:$H$13,$D3))*(1-p_alpha)*M3+S3</f>
        <v/>
      </c>
      <c r="AA3" s="26">
        <f>(1-p_delta_g)*AA2*(1-p_eps_g*$E3)+INDEX(Calib!$E$1:$E$13,$D3)*(INDEX(Calib!$G$1:$G$13,$D3)+p_programme*$H3)</f>
        <v/>
      </c>
      <c r="AB3" s="26">
        <f>AB2*(1-p_eps_k*$E3)+p_lambda_k*(AD3-AB2*(1-p_eps_k*$E3))</f>
        <v/>
      </c>
      <c r="AC3" s="26">
        <f>INDEX(Calib!$R$1:$R$13,$D3)*$F3*(AA2*(1-p_eps_g*$E3))^INDEX(Calib!$Q$1:$Q$13,$D3)*(AB2*(1-p_eps_k*$E3))^p_alpha</f>
        <v/>
      </c>
      <c r="AD3" s="26">
        <f>p_alpha*(1-INDEX(Calib!$H$1:$H$13,$D3))*AC3/(INDEX(Calib!$K$1:$K$13,$D3)+p_delta)</f>
        <v/>
      </c>
      <c r="AE3" s="26">
        <f>AC3+$G3</f>
        <v/>
      </c>
      <c r="AF3" s="26">
        <f>p_programme*($H3+$I3)</f>
        <v/>
      </c>
      <c r="AG3" s="26">
        <f>INDEX(Calib!$I$1:$I$13,$D3)+p_sh_grant*AF3</f>
        <v/>
      </c>
      <c r="AH3" s="26">
        <f>INDEX(Calib!$H$1:$H$13,$D3)*AC3+p_gov_take*$G3+AG3+p_programme*p_pricing*$J3</f>
        <v/>
      </c>
      <c r="AI3" s="26">
        <f>INDEX(Calib!$Y$1:$Y$13,$D3)-INDEX(Calib!$Z$1:$Z$13,$D3)*(AL2/AE2-INDEX(Calib!$AA$1:$AA$13,$D3))</f>
        <v/>
      </c>
      <c r="AJ3" s="26">
        <f>INDEX(Calib!$X$1:$X$13,$D3)+INDEX(Calib!$G$1:$G$13,$D3)+AF3+AI3-AH3</f>
        <v/>
      </c>
      <c r="AK3" s="26">
        <f>p_rk*AM2+AO2*(AL2-AM2)</f>
        <v/>
      </c>
      <c r="AL3" s="26">
        <f>AL2+AK3+AJ3</f>
        <v/>
      </c>
      <c r="AM3" s="26">
        <f>INDEX(Calib!$U$1:$U$13,$D3)+(AM2-INDEX(Calib!$U$1:$U$13,$D3))*(1-p_amort)+p_sh_conc*AF3</f>
        <v/>
      </c>
      <c r="AN3" s="26">
        <f>AL3/AE3</f>
        <v/>
      </c>
      <c r="AO3" s="26">
        <f>INDEX(Calib!$K$1:$K$13,$D3)+p_eta*MAX(0,AN3-INDEX(Calib!$AA$1:$AA$13,$D3))</f>
        <v/>
      </c>
      <c r="AP3" s="26">
        <f>(1-INDEX(Calib!$H$1:$H$13,$D3))*(1-p_alpha)*AC3+AI3</f>
        <v/>
      </c>
      <c r="AQ3" s="26">
        <f>(AE3/O3-1)*100</f>
        <v/>
      </c>
      <c r="AR3" s="26">
        <f>(AE3/AE2-1)*100</f>
        <v/>
      </c>
      <c r="AS3" s="26">
        <f>(O3/O2-1)*100</f>
        <v/>
      </c>
      <c r="AT3" s="26">
        <f>(AN3-X3)*100</f>
        <v/>
      </c>
      <c r="AU3" s="26">
        <f>(AP3/Z3-1)*100</f>
        <v/>
      </c>
      <c r="AV3" s="26">
        <f>(AI3-S3)*100</f>
        <v/>
      </c>
    </row>
    <row r="4">
      <c r="A4" s="25" t="inlineStr">
        <is>
          <t>KEN</t>
        </is>
      </c>
      <c r="B4" s="25" t="n">
        <v>2026</v>
      </c>
      <c r="C4" s="25" t="n">
        <v>2</v>
      </c>
      <c r="D4" s="25" t="n">
        <v>2</v>
      </c>
      <c r="E4" s="25">
        <f>IF(AND(p_dis_year&gt;0,B4=p_dis_year),1,0)</f>
        <v/>
      </c>
      <c r="F4" s="26">
        <f>IF(AND(p_dis_year&gt;0,B4&gt;=p_dis_year),1-p_eps_a*p_rho_a^(B4-p_dis_year),1)</f>
        <v/>
      </c>
      <c r="G4" s="26">
        <f>INDEX(Calib!$N$1:$N$13,$D4)*(1-p_rent_decline*MIN(1,C4/26))</f>
        <v/>
      </c>
      <c r="H4" s="26">
        <f>IF(C4=0,0,SUMIFS(dl_val,dl_iso,$A4,dl_ind,"pub_cap",dl_year,$B4)/100)</f>
        <v/>
      </c>
      <c r="I4" s="26">
        <f>IF(C4=0,0,SUMIFS(dl_val,dl_iso,$A4,dl_ind,"pub_spend",dl_year,$B4)/100)</f>
        <v/>
      </c>
      <c r="J4" s="26">
        <f>IF(C4=0,0,SUMIFS(dl_val,dl_iso,$A4,dl_ind,"rev",dl_year,$B4)/100)</f>
        <v/>
      </c>
      <c r="K4" s="26">
        <f>(1-p_delta_g)*K3*(1-p_eps_g*$E4)+INDEX(Calib!$E$1:$E$13,$D4)*(INDEX(Calib!$G$1:$G$13,$D4)+0*$H4)</f>
        <v/>
      </c>
      <c r="L4" s="26">
        <f>L3*(1-p_eps_k*$E4)+p_lambda_k*(N4-L3*(1-p_eps_k*$E4))</f>
        <v/>
      </c>
      <c r="M4" s="26">
        <f>INDEX(Calib!$R$1:$R$13,$D4)*$F4*(K3*(1-p_eps_g*$E4))^INDEX(Calib!$Q$1:$Q$13,$D4)*(L3*(1-p_eps_k*$E4))^p_alpha</f>
        <v/>
      </c>
      <c r="N4" s="26">
        <f>p_alpha*(1-INDEX(Calib!$H$1:$H$13,$D4))*M4/(INDEX(Calib!$K$1:$K$13,$D4)+p_delta)</f>
        <v/>
      </c>
      <c r="O4" s="26">
        <f>M4+$G4</f>
        <v/>
      </c>
      <c r="P4" s="26">
        <f>0*($H4+$I4)</f>
        <v/>
      </c>
      <c r="Q4" s="26">
        <f>INDEX(Calib!$I$1:$I$13,$D4)+p_sh_grant*P4</f>
        <v/>
      </c>
      <c r="R4" s="26">
        <f>INDEX(Calib!$H$1:$H$13,$D4)*M4+p_gov_take*$G4+Q4+0*p_pricing*$J4</f>
        <v/>
      </c>
      <c r="S4" s="26">
        <f>INDEX(Calib!$Y$1:$Y$13,$D4)-INDEX(Calib!$Z$1:$Z$13,$D4)*(V3/O3-INDEX(Calib!$AA$1:$AA$13,$D4))</f>
        <v/>
      </c>
      <c r="T4" s="26">
        <f>INDEX(Calib!$X$1:$X$13,$D4)+INDEX(Calib!$G$1:$G$13,$D4)+P4+S4-R4</f>
        <v/>
      </c>
      <c r="U4" s="26">
        <f>p_rk*W3+Y3*(V3-W3)</f>
        <v/>
      </c>
      <c r="V4" s="26">
        <f>V3+U4+T4</f>
        <v/>
      </c>
      <c r="W4" s="26">
        <f>INDEX(Calib!$U$1:$U$13,$D4)+(W3-INDEX(Calib!$U$1:$U$13,$D4))*(1-p_amort)+p_sh_conc*P4</f>
        <v/>
      </c>
      <c r="X4" s="26">
        <f>V4/O4</f>
        <v/>
      </c>
      <c r="Y4" s="26">
        <f>INDEX(Calib!$K$1:$K$13,$D4)+p_eta*MAX(0,X4-INDEX(Calib!$AA$1:$AA$13,$D4))</f>
        <v/>
      </c>
      <c r="Z4" s="26">
        <f>(1-INDEX(Calib!$H$1:$H$13,$D4))*(1-p_alpha)*M4+S4</f>
        <v/>
      </c>
      <c r="AA4" s="26">
        <f>(1-p_delta_g)*AA3*(1-p_eps_g*$E4)+INDEX(Calib!$E$1:$E$13,$D4)*(INDEX(Calib!$G$1:$G$13,$D4)+p_programme*$H4)</f>
        <v/>
      </c>
      <c r="AB4" s="26">
        <f>AB3*(1-p_eps_k*$E4)+p_lambda_k*(AD4-AB3*(1-p_eps_k*$E4))</f>
        <v/>
      </c>
      <c r="AC4" s="26">
        <f>INDEX(Calib!$R$1:$R$13,$D4)*$F4*(AA3*(1-p_eps_g*$E4))^INDEX(Calib!$Q$1:$Q$13,$D4)*(AB3*(1-p_eps_k*$E4))^p_alpha</f>
        <v/>
      </c>
      <c r="AD4" s="26">
        <f>p_alpha*(1-INDEX(Calib!$H$1:$H$13,$D4))*AC4/(INDEX(Calib!$K$1:$K$13,$D4)+p_delta)</f>
        <v/>
      </c>
      <c r="AE4" s="26">
        <f>AC4+$G4</f>
        <v/>
      </c>
      <c r="AF4" s="26">
        <f>p_programme*($H4+$I4)</f>
        <v/>
      </c>
      <c r="AG4" s="26">
        <f>INDEX(Calib!$I$1:$I$13,$D4)+p_sh_grant*AF4</f>
        <v/>
      </c>
      <c r="AH4" s="26">
        <f>INDEX(Calib!$H$1:$H$13,$D4)*AC4+p_gov_take*$G4+AG4+p_programme*p_pricing*$J4</f>
        <v/>
      </c>
      <c r="AI4" s="26">
        <f>INDEX(Calib!$Y$1:$Y$13,$D4)-INDEX(Calib!$Z$1:$Z$13,$D4)*(AL3/AE3-INDEX(Calib!$AA$1:$AA$13,$D4))</f>
        <v/>
      </c>
      <c r="AJ4" s="26">
        <f>INDEX(Calib!$X$1:$X$13,$D4)+INDEX(Calib!$G$1:$G$13,$D4)+AF4+AI4-AH4</f>
        <v/>
      </c>
      <c r="AK4" s="26">
        <f>p_rk*AM3+AO3*(AL3-AM3)</f>
        <v/>
      </c>
      <c r="AL4" s="26">
        <f>AL3+AK4+AJ4</f>
        <v/>
      </c>
      <c r="AM4" s="26">
        <f>INDEX(Calib!$U$1:$U$13,$D4)+(AM3-INDEX(Calib!$U$1:$U$13,$D4))*(1-p_amort)+p_sh_conc*AF4</f>
        <v/>
      </c>
      <c r="AN4" s="26">
        <f>AL4/AE4</f>
        <v/>
      </c>
      <c r="AO4" s="26">
        <f>INDEX(Calib!$K$1:$K$13,$D4)+p_eta*MAX(0,AN4-INDEX(Calib!$AA$1:$AA$13,$D4))</f>
        <v/>
      </c>
      <c r="AP4" s="26">
        <f>(1-INDEX(Calib!$H$1:$H$13,$D4))*(1-p_alpha)*AC4+AI4</f>
        <v/>
      </c>
      <c r="AQ4" s="26">
        <f>(AE4/O4-1)*100</f>
        <v/>
      </c>
      <c r="AR4" s="26">
        <f>(AE4/AE2-1)*100</f>
        <v/>
      </c>
      <c r="AS4" s="26">
        <f>(O4/O2-1)*100</f>
        <v/>
      </c>
      <c r="AT4" s="26">
        <f>(AN4-X4)*100</f>
        <v/>
      </c>
      <c r="AU4" s="26">
        <f>(AP4/Z4-1)*100</f>
        <v/>
      </c>
      <c r="AV4" s="26">
        <f>(AI4-S4)*100</f>
        <v/>
      </c>
    </row>
    <row r="5">
      <c r="A5" s="25" t="inlineStr">
        <is>
          <t>KEN</t>
        </is>
      </c>
      <c r="B5" s="25" t="n">
        <v>2027</v>
      </c>
      <c r="C5" s="25" t="n">
        <v>3</v>
      </c>
      <c r="D5" s="25" t="n">
        <v>2</v>
      </c>
      <c r="E5" s="25">
        <f>IF(AND(p_dis_year&gt;0,B5=p_dis_year),1,0)</f>
        <v/>
      </c>
      <c r="F5" s="26">
        <f>IF(AND(p_dis_year&gt;0,B5&gt;=p_dis_year),1-p_eps_a*p_rho_a^(B5-p_dis_year),1)</f>
        <v/>
      </c>
      <c r="G5" s="26">
        <f>INDEX(Calib!$N$1:$N$13,$D5)*(1-p_rent_decline*MIN(1,C5/26))</f>
        <v/>
      </c>
      <c r="H5" s="26">
        <f>IF(C5=0,0,SUMIFS(dl_val,dl_iso,$A5,dl_ind,"pub_cap",dl_year,$B5)/100)</f>
        <v/>
      </c>
      <c r="I5" s="26">
        <f>IF(C5=0,0,SUMIFS(dl_val,dl_iso,$A5,dl_ind,"pub_spend",dl_year,$B5)/100)</f>
        <v/>
      </c>
      <c r="J5" s="26">
        <f>IF(C5=0,0,SUMIFS(dl_val,dl_iso,$A5,dl_ind,"rev",dl_year,$B5)/100)</f>
        <v/>
      </c>
      <c r="K5" s="26">
        <f>(1-p_delta_g)*K4*(1-p_eps_g*$E5)+INDEX(Calib!$E$1:$E$13,$D5)*(INDEX(Calib!$G$1:$G$13,$D5)+0*$H5)</f>
        <v/>
      </c>
      <c r="L5" s="26">
        <f>L4*(1-p_eps_k*$E5)+p_lambda_k*(N5-L4*(1-p_eps_k*$E5))</f>
        <v/>
      </c>
      <c r="M5" s="26">
        <f>INDEX(Calib!$R$1:$R$13,$D5)*$F5*(K4*(1-p_eps_g*$E5))^INDEX(Calib!$Q$1:$Q$13,$D5)*(L4*(1-p_eps_k*$E5))^p_alpha</f>
        <v/>
      </c>
      <c r="N5" s="26">
        <f>p_alpha*(1-INDEX(Calib!$H$1:$H$13,$D5))*M5/(INDEX(Calib!$K$1:$K$13,$D5)+p_delta)</f>
        <v/>
      </c>
      <c r="O5" s="26">
        <f>M5+$G5</f>
        <v/>
      </c>
      <c r="P5" s="26">
        <f>0*($H5+$I5)</f>
        <v/>
      </c>
      <c r="Q5" s="26">
        <f>INDEX(Calib!$I$1:$I$13,$D5)+p_sh_grant*P5</f>
        <v/>
      </c>
      <c r="R5" s="26">
        <f>INDEX(Calib!$H$1:$H$13,$D5)*M5+p_gov_take*$G5+Q5+0*p_pricing*$J5</f>
        <v/>
      </c>
      <c r="S5" s="26">
        <f>INDEX(Calib!$Y$1:$Y$13,$D5)-INDEX(Calib!$Z$1:$Z$13,$D5)*(V4/O4-INDEX(Calib!$AA$1:$AA$13,$D5))</f>
        <v/>
      </c>
      <c r="T5" s="26">
        <f>INDEX(Calib!$X$1:$X$13,$D5)+INDEX(Calib!$G$1:$G$13,$D5)+P5+S5-R5</f>
        <v/>
      </c>
      <c r="U5" s="26">
        <f>p_rk*W4+Y4*(V4-W4)</f>
        <v/>
      </c>
      <c r="V5" s="26">
        <f>V4+U5+T5</f>
        <v/>
      </c>
      <c r="W5" s="26">
        <f>INDEX(Calib!$U$1:$U$13,$D5)+(W4-INDEX(Calib!$U$1:$U$13,$D5))*(1-p_amort)+p_sh_conc*P5</f>
        <v/>
      </c>
      <c r="X5" s="26">
        <f>V5/O5</f>
        <v/>
      </c>
      <c r="Y5" s="26">
        <f>INDEX(Calib!$K$1:$K$13,$D5)+p_eta*MAX(0,X5-INDEX(Calib!$AA$1:$AA$13,$D5))</f>
        <v/>
      </c>
      <c r="Z5" s="26">
        <f>(1-INDEX(Calib!$H$1:$H$13,$D5))*(1-p_alpha)*M5+S5</f>
        <v/>
      </c>
      <c r="AA5" s="26">
        <f>(1-p_delta_g)*AA4*(1-p_eps_g*$E5)+INDEX(Calib!$E$1:$E$13,$D5)*(INDEX(Calib!$G$1:$G$13,$D5)+p_programme*$H5)</f>
        <v/>
      </c>
      <c r="AB5" s="26">
        <f>AB4*(1-p_eps_k*$E5)+p_lambda_k*(AD5-AB4*(1-p_eps_k*$E5))</f>
        <v/>
      </c>
      <c r="AC5" s="26">
        <f>INDEX(Calib!$R$1:$R$13,$D5)*$F5*(AA4*(1-p_eps_g*$E5))^INDEX(Calib!$Q$1:$Q$13,$D5)*(AB4*(1-p_eps_k*$E5))^p_alpha</f>
        <v/>
      </c>
      <c r="AD5" s="26">
        <f>p_alpha*(1-INDEX(Calib!$H$1:$H$13,$D5))*AC5/(INDEX(Calib!$K$1:$K$13,$D5)+p_delta)</f>
        <v/>
      </c>
      <c r="AE5" s="26">
        <f>AC5+$G5</f>
        <v/>
      </c>
      <c r="AF5" s="26">
        <f>p_programme*($H5+$I5)</f>
        <v/>
      </c>
      <c r="AG5" s="26">
        <f>INDEX(Calib!$I$1:$I$13,$D5)+p_sh_grant*AF5</f>
        <v/>
      </c>
      <c r="AH5" s="26">
        <f>INDEX(Calib!$H$1:$H$13,$D5)*AC5+p_gov_take*$G5+AG5+p_programme*p_pricing*$J5</f>
        <v/>
      </c>
      <c r="AI5" s="26">
        <f>INDEX(Calib!$Y$1:$Y$13,$D5)-INDEX(Calib!$Z$1:$Z$13,$D5)*(AL4/AE4-INDEX(Calib!$AA$1:$AA$13,$D5))</f>
        <v/>
      </c>
      <c r="AJ5" s="26">
        <f>INDEX(Calib!$X$1:$X$13,$D5)+INDEX(Calib!$G$1:$G$13,$D5)+AF5+AI5-AH5</f>
        <v/>
      </c>
      <c r="AK5" s="26">
        <f>p_rk*AM4+AO4*(AL4-AM4)</f>
        <v/>
      </c>
      <c r="AL5" s="26">
        <f>AL4+AK5+AJ5</f>
        <v/>
      </c>
      <c r="AM5" s="26">
        <f>INDEX(Calib!$U$1:$U$13,$D5)+(AM4-INDEX(Calib!$U$1:$U$13,$D5))*(1-p_amort)+p_sh_conc*AF5</f>
        <v/>
      </c>
      <c r="AN5" s="26">
        <f>AL5/AE5</f>
        <v/>
      </c>
      <c r="AO5" s="26">
        <f>INDEX(Calib!$K$1:$K$13,$D5)+p_eta*MAX(0,AN5-INDEX(Calib!$AA$1:$AA$13,$D5))</f>
        <v/>
      </c>
      <c r="AP5" s="26">
        <f>(1-INDEX(Calib!$H$1:$H$13,$D5))*(1-p_alpha)*AC5+AI5</f>
        <v/>
      </c>
      <c r="AQ5" s="26">
        <f>(AE5/O5-1)*100</f>
        <v/>
      </c>
      <c r="AR5" s="26">
        <f>(AE5/AE2-1)*100</f>
        <v/>
      </c>
      <c r="AS5" s="26">
        <f>(O5/O2-1)*100</f>
        <v/>
      </c>
      <c r="AT5" s="26">
        <f>(AN5-X5)*100</f>
        <v/>
      </c>
      <c r="AU5" s="26">
        <f>(AP5/Z5-1)*100</f>
        <v/>
      </c>
      <c r="AV5" s="26">
        <f>(AI5-S5)*100</f>
        <v/>
      </c>
    </row>
    <row r="6">
      <c r="A6" s="25" t="inlineStr">
        <is>
          <t>KEN</t>
        </is>
      </c>
      <c r="B6" s="25" t="n">
        <v>2028</v>
      </c>
      <c r="C6" s="25" t="n">
        <v>4</v>
      </c>
      <c r="D6" s="25" t="n">
        <v>2</v>
      </c>
      <c r="E6" s="25">
        <f>IF(AND(p_dis_year&gt;0,B6=p_dis_year),1,0)</f>
        <v/>
      </c>
      <c r="F6" s="26">
        <f>IF(AND(p_dis_year&gt;0,B6&gt;=p_dis_year),1-p_eps_a*p_rho_a^(B6-p_dis_year),1)</f>
        <v/>
      </c>
      <c r="G6" s="26">
        <f>INDEX(Calib!$N$1:$N$13,$D6)*(1-p_rent_decline*MIN(1,C6/26))</f>
        <v/>
      </c>
      <c r="H6" s="26">
        <f>IF(C6=0,0,SUMIFS(dl_val,dl_iso,$A6,dl_ind,"pub_cap",dl_year,$B6)/100)</f>
        <v/>
      </c>
      <c r="I6" s="26">
        <f>IF(C6=0,0,SUMIFS(dl_val,dl_iso,$A6,dl_ind,"pub_spend",dl_year,$B6)/100)</f>
        <v/>
      </c>
      <c r="J6" s="26">
        <f>IF(C6=0,0,SUMIFS(dl_val,dl_iso,$A6,dl_ind,"rev",dl_year,$B6)/100)</f>
        <v/>
      </c>
      <c r="K6" s="26">
        <f>(1-p_delta_g)*K5*(1-p_eps_g*$E6)+INDEX(Calib!$E$1:$E$13,$D6)*(INDEX(Calib!$G$1:$G$13,$D6)+0*$H6)</f>
        <v/>
      </c>
      <c r="L6" s="26">
        <f>L5*(1-p_eps_k*$E6)+p_lambda_k*(N6-L5*(1-p_eps_k*$E6))</f>
        <v/>
      </c>
      <c r="M6" s="26">
        <f>INDEX(Calib!$R$1:$R$13,$D6)*$F6*(K5*(1-p_eps_g*$E6))^INDEX(Calib!$Q$1:$Q$13,$D6)*(L5*(1-p_eps_k*$E6))^p_alpha</f>
        <v/>
      </c>
      <c r="N6" s="26">
        <f>p_alpha*(1-INDEX(Calib!$H$1:$H$13,$D6))*M6/(INDEX(Calib!$K$1:$K$13,$D6)+p_delta)</f>
        <v/>
      </c>
      <c r="O6" s="26">
        <f>M6+$G6</f>
        <v/>
      </c>
      <c r="P6" s="26">
        <f>0*($H6+$I6)</f>
        <v/>
      </c>
      <c r="Q6" s="26">
        <f>INDEX(Calib!$I$1:$I$13,$D6)+p_sh_grant*P6</f>
        <v/>
      </c>
      <c r="R6" s="26">
        <f>INDEX(Calib!$H$1:$H$13,$D6)*M6+p_gov_take*$G6+Q6+0*p_pricing*$J6</f>
        <v/>
      </c>
      <c r="S6" s="26">
        <f>INDEX(Calib!$Y$1:$Y$13,$D6)-INDEX(Calib!$Z$1:$Z$13,$D6)*(V5/O5-INDEX(Calib!$AA$1:$AA$13,$D6))</f>
        <v/>
      </c>
      <c r="T6" s="26">
        <f>INDEX(Calib!$X$1:$X$13,$D6)+INDEX(Calib!$G$1:$G$13,$D6)+P6+S6-R6</f>
        <v/>
      </c>
      <c r="U6" s="26">
        <f>p_rk*W5+Y5*(V5-W5)</f>
        <v/>
      </c>
      <c r="V6" s="26">
        <f>V5+U6+T6</f>
        <v/>
      </c>
      <c r="W6" s="26">
        <f>INDEX(Calib!$U$1:$U$13,$D6)+(W5-INDEX(Calib!$U$1:$U$13,$D6))*(1-p_amort)+p_sh_conc*P6</f>
        <v/>
      </c>
      <c r="X6" s="26">
        <f>V6/O6</f>
        <v/>
      </c>
      <c r="Y6" s="26">
        <f>INDEX(Calib!$K$1:$K$13,$D6)+p_eta*MAX(0,X6-INDEX(Calib!$AA$1:$AA$13,$D6))</f>
        <v/>
      </c>
      <c r="Z6" s="26">
        <f>(1-INDEX(Calib!$H$1:$H$13,$D6))*(1-p_alpha)*M6+S6</f>
        <v/>
      </c>
      <c r="AA6" s="26">
        <f>(1-p_delta_g)*AA5*(1-p_eps_g*$E6)+INDEX(Calib!$E$1:$E$13,$D6)*(INDEX(Calib!$G$1:$G$13,$D6)+p_programme*$H6)</f>
        <v/>
      </c>
      <c r="AB6" s="26">
        <f>AB5*(1-p_eps_k*$E6)+p_lambda_k*(AD6-AB5*(1-p_eps_k*$E6))</f>
        <v/>
      </c>
      <c r="AC6" s="26">
        <f>INDEX(Calib!$R$1:$R$13,$D6)*$F6*(AA5*(1-p_eps_g*$E6))^INDEX(Calib!$Q$1:$Q$13,$D6)*(AB5*(1-p_eps_k*$E6))^p_alpha</f>
        <v/>
      </c>
      <c r="AD6" s="26">
        <f>p_alpha*(1-INDEX(Calib!$H$1:$H$13,$D6))*AC6/(INDEX(Calib!$K$1:$K$13,$D6)+p_delta)</f>
        <v/>
      </c>
      <c r="AE6" s="26">
        <f>AC6+$G6</f>
        <v/>
      </c>
      <c r="AF6" s="26">
        <f>p_programme*($H6+$I6)</f>
        <v/>
      </c>
      <c r="AG6" s="26">
        <f>INDEX(Calib!$I$1:$I$13,$D6)+p_sh_grant*AF6</f>
        <v/>
      </c>
      <c r="AH6" s="26">
        <f>INDEX(Calib!$H$1:$H$13,$D6)*AC6+p_gov_take*$G6+AG6+p_programme*p_pricing*$J6</f>
        <v/>
      </c>
      <c r="AI6" s="26">
        <f>INDEX(Calib!$Y$1:$Y$13,$D6)-INDEX(Calib!$Z$1:$Z$13,$D6)*(AL5/AE5-INDEX(Calib!$AA$1:$AA$13,$D6))</f>
        <v/>
      </c>
      <c r="AJ6" s="26">
        <f>INDEX(Calib!$X$1:$X$13,$D6)+INDEX(Calib!$G$1:$G$13,$D6)+AF6+AI6-AH6</f>
        <v/>
      </c>
      <c r="AK6" s="26">
        <f>p_rk*AM5+AO5*(AL5-AM5)</f>
        <v/>
      </c>
      <c r="AL6" s="26">
        <f>AL5+AK6+AJ6</f>
        <v/>
      </c>
      <c r="AM6" s="26">
        <f>INDEX(Calib!$U$1:$U$13,$D6)+(AM5-INDEX(Calib!$U$1:$U$13,$D6))*(1-p_amort)+p_sh_conc*AF6</f>
        <v/>
      </c>
      <c r="AN6" s="26">
        <f>AL6/AE6</f>
        <v/>
      </c>
      <c r="AO6" s="26">
        <f>INDEX(Calib!$K$1:$K$13,$D6)+p_eta*MAX(0,AN6-INDEX(Calib!$AA$1:$AA$13,$D6))</f>
        <v/>
      </c>
      <c r="AP6" s="26">
        <f>(1-INDEX(Calib!$H$1:$H$13,$D6))*(1-p_alpha)*AC6+AI6</f>
        <v/>
      </c>
      <c r="AQ6" s="26">
        <f>(AE6/O6-1)*100</f>
        <v/>
      </c>
      <c r="AR6" s="26">
        <f>(AE6/AE2-1)*100</f>
        <v/>
      </c>
      <c r="AS6" s="26">
        <f>(O6/O2-1)*100</f>
        <v/>
      </c>
      <c r="AT6" s="26">
        <f>(AN6-X6)*100</f>
        <v/>
      </c>
      <c r="AU6" s="26">
        <f>(AP6/Z6-1)*100</f>
        <v/>
      </c>
      <c r="AV6" s="26">
        <f>(AI6-S6)*100</f>
        <v/>
      </c>
    </row>
    <row r="7">
      <c r="A7" s="25" t="inlineStr">
        <is>
          <t>KEN</t>
        </is>
      </c>
      <c r="B7" s="25" t="n">
        <v>2029</v>
      </c>
      <c r="C7" s="25" t="n">
        <v>5</v>
      </c>
      <c r="D7" s="25" t="n">
        <v>2</v>
      </c>
      <c r="E7" s="25">
        <f>IF(AND(p_dis_year&gt;0,B7=p_dis_year),1,0)</f>
        <v/>
      </c>
      <c r="F7" s="26">
        <f>IF(AND(p_dis_year&gt;0,B7&gt;=p_dis_year),1-p_eps_a*p_rho_a^(B7-p_dis_year),1)</f>
        <v/>
      </c>
      <c r="G7" s="26">
        <f>INDEX(Calib!$N$1:$N$13,$D7)*(1-p_rent_decline*MIN(1,C7/26))</f>
        <v/>
      </c>
      <c r="H7" s="26">
        <f>IF(C7=0,0,SUMIFS(dl_val,dl_iso,$A7,dl_ind,"pub_cap",dl_year,$B7)/100)</f>
        <v/>
      </c>
      <c r="I7" s="26">
        <f>IF(C7=0,0,SUMIFS(dl_val,dl_iso,$A7,dl_ind,"pub_spend",dl_year,$B7)/100)</f>
        <v/>
      </c>
      <c r="J7" s="26">
        <f>IF(C7=0,0,SUMIFS(dl_val,dl_iso,$A7,dl_ind,"rev",dl_year,$B7)/100)</f>
        <v/>
      </c>
      <c r="K7" s="26">
        <f>(1-p_delta_g)*K6*(1-p_eps_g*$E7)+INDEX(Calib!$E$1:$E$13,$D7)*(INDEX(Calib!$G$1:$G$13,$D7)+0*$H7)</f>
        <v/>
      </c>
      <c r="L7" s="26">
        <f>L6*(1-p_eps_k*$E7)+p_lambda_k*(N7-L6*(1-p_eps_k*$E7))</f>
        <v/>
      </c>
      <c r="M7" s="26">
        <f>INDEX(Calib!$R$1:$R$13,$D7)*$F7*(K6*(1-p_eps_g*$E7))^INDEX(Calib!$Q$1:$Q$13,$D7)*(L6*(1-p_eps_k*$E7))^p_alpha</f>
        <v/>
      </c>
      <c r="N7" s="26">
        <f>p_alpha*(1-INDEX(Calib!$H$1:$H$13,$D7))*M7/(INDEX(Calib!$K$1:$K$13,$D7)+p_delta)</f>
        <v/>
      </c>
      <c r="O7" s="26">
        <f>M7+$G7</f>
        <v/>
      </c>
      <c r="P7" s="26">
        <f>0*($H7+$I7)</f>
        <v/>
      </c>
      <c r="Q7" s="26">
        <f>INDEX(Calib!$I$1:$I$13,$D7)+p_sh_grant*P7</f>
        <v/>
      </c>
      <c r="R7" s="26">
        <f>INDEX(Calib!$H$1:$H$13,$D7)*M7+p_gov_take*$G7+Q7+0*p_pricing*$J7</f>
        <v/>
      </c>
      <c r="S7" s="26">
        <f>INDEX(Calib!$Y$1:$Y$13,$D7)-INDEX(Calib!$Z$1:$Z$13,$D7)*(V6/O6-INDEX(Calib!$AA$1:$AA$13,$D7))</f>
        <v/>
      </c>
      <c r="T7" s="26">
        <f>INDEX(Calib!$X$1:$X$13,$D7)+INDEX(Calib!$G$1:$G$13,$D7)+P7+S7-R7</f>
        <v/>
      </c>
      <c r="U7" s="26">
        <f>p_rk*W6+Y6*(V6-W6)</f>
        <v/>
      </c>
      <c r="V7" s="26">
        <f>V6+U7+T7</f>
        <v/>
      </c>
      <c r="W7" s="26">
        <f>INDEX(Calib!$U$1:$U$13,$D7)+(W6-INDEX(Calib!$U$1:$U$13,$D7))*(1-p_amort)+p_sh_conc*P7</f>
        <v/>
      </c>
      <c r="X7" s="26">
        <f>V7/O7</f>
        <v/>
      </c>
      <c r="Y7" s="26">
        <f>INDEX(Calib!$K$1:$K$13,$D7)+p_eta*MAX(0,X7-INDEX(Calib!$AA$1:$AA$13,$D7))</f>
        <v/>
      </c>
      <c r="Z7" s="26">
        <f>(1-INDEX(Calib!$H$1:$H$13,$D7))*(1-p_alpha)*M7+S7</f>
        <v/>
      </c>
      <c r="AA7" s="26">
        <f>(1-p_delta_g)*AA6*(1-p_eps_g*$E7)+INDEX(Calib!$E$1:$E$13,$D7)*(INDEX(Calib!$G$1:$G$13,$D7)+p_programme*$H7)</f>
        <v/>
      </c>
      <c r="AB7" s="26">
        <f>AB6*(1-p_eps_k*$E7)+p_lambda_k*(AD7-AB6*(1-p_eps_k*$E7))</f>
        <v/>
      </c>
      <c r="AC7" s="26">
        <f>INDEX(Calib!$R$1:$R$13,$D7)*$F7*(AA6*(1-p_eps_g*$E7))^INDEX(Calib!$Q$1:$Q$13,$D7)*(AB6*(1-p_eps_k*$E7))^p_alpha</f>
        <v/>
      </c>
      <c r="AD7" s="26">
        <f>p_alpha*(1-INDEX(Calib!$H$1:$H$13,$D7))*AC7/(INDEX(Calib!$K$1:$K$13,$D7)+p_delta)</f>
        <v/>
      </c>
      <c r="AE7" s="26">
        <f>AC7+$G7</f>
        <v/>
      </c>
      <c r="AF7" s="26">
        <f>p_programme*($H7+$I7)</f>
        <v/>
      </c>
      <c r="AG7" s="26">
        <f>INDEX(Calib!$I$1:$I$13,$D7)+p_sh_grant*AF7</f>
        <v/>
      </c>
      <c r="AH7" s="26">
        <f>INDEX(Calib!$H$1:$H$13,$D7)*AC7+p_gov_take*$G7+AG7+p_programme*p_pricing*$J7</f>
        <v/>
      </c>
      <c r="AI7" s="26">
        <f>INDEX(Calib!$Y$1:$Y$13,$D7)-INDEX(Calib!$Z$1:$Z$13,$D7)*(AL6/AE6-INDEX(Calib!$AA$1:$AA$13,$D7))</f>
        <v/>
      </c>
      <c r="AJ7" s="26">
        <f>INDEX(Calib!$X$1:$X$13,$D7)+INDEX(Calib!$G$1:$G$13,$D7)+AF7+AI7-AH7</f>
        <v/>
      </c>
      <c r="AK7" s="26">
        <f>p_rk*AM6+AO6*(AL6-AM6)</f>
        <v/>
      </c>
      <c r="AL7" s="26">
        <f>AL6+AK7+AJ7</f>
        <v/>
      </c>
      <c r="AM7" s="26">
        <f>INDEX(Calib!$U$1:$U$13,$D7)+(AM6-INDEX(Calib!$U$1:$U$13,$D7))*(1-p_amort)+p_sh_conc*AF7</f>
        <v/>
      </c>
      <c r="AN7" s="26">
        <f>AL7/AE7</f>
        <v/>
      </c>
      <c r="AO7" s="26">
        <f>INDEX(Calib!$K$1:$K$13,$D7)+p_eta*MAX(0,AN7-INDEX(Calib!$AA$1:$AA$13,$D7))</f>
        <v/>
      </c>
      <c r="AP7" s="26">
        <f>(1-INDEX(Calib!$H$1:$H$13,$D7))*(1-p_alpha)*AC7+AI7</f>
        <v/>
      </c>
      <c r="AQ7" s="26">
        <f>(AE7/O7-1)*100</f>
        <v/>
      </c>
      <c r="AR7" s="26">
        <f>(AE7/AE2-1)*100</f>
        <v/>
      </c>
      <c r="AS7" s="26">
        <f>(O7/O2-1)*100</f>
        <v/>
      </c>
      <c r="AT7" s="26">
        <f>(AN7-X7)*100</f>
        <v/>
      </c>
      <c r="AU7" s="26">
        <f>(AP7/Z7-1)*100</f>
        <v/>
      </c>
      <c r="AV7" s="26">
        <f>(AI7-S7)*100</f>
        <v/>
      </c>
    </row>
    <row r="8">
      <c r="A8" s="25" t="inlineStr">
        <is>
          <t>KEN</t>
        </is>
      </c>
      <c r="B8" s="25" t="n">
        <v>2030</v>
      </c>
      <c r="C8" s="25" t="n">
        <v>6</v>
      </c>
      <c r="D8" s="25" t="n">
        <v>2</v>
      </c>
      <c r="E8" s="25">
        <f>IF(AND(p_dis_year&gt;0,B8=p_dis_year),1,0)</f>
        <v/>
      </c>
      <c r="F8" s="26">
        <f>IF(AND(p_dis_year&gt;0,B8&gt;=p_dis_year),1-p_eps_a*p_rho_a^(B8-p_dis_year),1)</f>
        <v/>
      </c>
      <c r="G8" s="26">
        <f>INDEX(Calib!$N$1:$N$13,$D8)*(1-p_rent_decline*MIN(1,C8/26))</f>
        <v/>
      </c>
      <c r="H8" s="26">
        <f>IF(C8=0,0,SUMIFS(dl_val,dl_iso,$A8,dl_ind,"pub_cap",dl_year,$B8)/100)</f>
        <v/>
      </c>
      <c r="I8" s="26">
        <f>IF(C8=0,0,SUMIFS(dl_val,dl_iso,$A8,dl_ind,"pub_spend",dl_year,$B8)/100)</f>
        <v/>
      </c>
      <c r="J8" s="26">
        <f>IF(C8=0,0,SUMIFS(dl_val,dl_iso,$A8,dl_ind,"rev",dl_year,$B8)/100)</f>
        <v/>
      </c>
      <c r="K8" s="26">
        <f>(1-p_delta_g)*K7*(1-p_eps_g*$E8)+INDEX(Calib!$E$1:$E$13,$D8)*(INDEX(Calib!$G$1:$G$13,$D8)+0*$H8)</f>
        <v/>
      </c>
      <c r="L8" s="26">
        <f>L7*(1-p_eps_k*$E8)+p_lambda_k*(N8-L7*(1-p_eps_k*$E8))</f>
        <v/>
      </c>
      <c r="M8" s="26">
        <f>INDEX(Calib!$R$1:$R$13,$D8)*$F8*(K7*(1-p_eps_g*$E8))^INDEX(Calib!$Q$1:$Q$13,$D8)*(L7*(1-p_eps_k*$E8))^p_alpha</f>
        <v/>
      </c>
      <c r="N8" s="26">
        <f>p_alpha*(1-INDEX(Calib!$H$1:$H$13,$D8))*M8/(INDEX(Calib!$K$1:$K$13,$D8)+p_delta)</f>
        <v/>
      </c>
      <c r="O8" s="26">
        <f>M8+$G8</f>
        <v/>
      </c>
      <c r="P8" s="26">
        <f>0*($H8+$I8)</f>
        <v/>
      </c>
      <c r="Q8" s="26">
        <f>INDEX(Calib!$I$1:$I$13,$D8)+p_sh_grant*P8</f>
        <v/>
      </c>
      <c r="R8" s="26">
        <f>INDEX(Calib!$H$1:$H$13,$D8)*M8+p_gov_take*$G8+Q8+0*p_pricing*$J8</f>
        <v/>
      </c>
      <c r="S8" s="26">
        <f>INDEX(Calib!$Y$1:$Y$13,$D8)-INDEX(Calib!$Z$1:$Z$13,$D8)*(V7/O7-INDEX(Calib!$AA$1:$AA$13,$D8))</f>
        <v/>
      </c>
      <c r="T8" s="26">
        <f>INDEX(Calib!$X$1:$X$13,$D8)+INDEX(Calib!$G$1:$G$13,$D8)+P8+S8-R8</f>
        <v/>
      </c>
      <c r="U8" s="26">
        <f>p_rk*W7+Y7*(V7-W7)</f>
        <v/>
      </c>
      <c r="V8" s="26">
        <f>V7+U8+T8</f>
        <v/>
      </c>
      <c r="W8" s="26">
        <f>INDEX(Calib!$U$1:$U$13,$D8)+(W7-INDEX(Calib!$U$1:$U$13,$D8))*(1-p_amort)+p_sh_conc*P8</f>
        <v/>
      </c>
      <c r="X8" s="26">
        <f>V8/O8</f>
        <v/>
      </c>
      <c r="Y8" s="26">
        <f>INDEX(Calib!$K$1:$K$13,$D8)+p_eta*MAX(0,X8-INDEX(Calib!$AA$1:$AA$13,$D8))</f>
        <v/>
      </c>
      <c r="Z8" s="26">
        <f>(1-INDEX(Calib!$H$1:$H$13,$D8))*(1-p_alpha)*M8+S8</f>
        <v/>
      </c>
      <c r="AA8" s="26">
        <f>(1-p_delta_g)*AA7*(1-p_eps_g*$E8)+INDEX(Calib!$E$1:$E$13,$D8)*(INDEX(Calib!$G$1:$G$13,$D8)+p_programme*$H8)</f>
        <v/>
      </c>
      <c r="AB8" s="26">
        <f>AB7*(1-p_eps_k*$E8)+p_lambda_k*(AD8-AB7*(1-p_eps_k*$E8))</f>
        <v/>
      </c>
      <c r="AC8" s="26">
        <f>INDEX(Calib!$R$1:$R$13,$D8)*$F8*(AA7*(1-p_eps_g*$E8))^INDEX(Calib!$Q$1:$Q$13,$D8)*(AB7*(1-p_eps_k*$E8))^p_alpha</f>
        <v/>
      </c>
      <c r="AD8" s="26">
        <f>p_alpha*(1-INDEX(Calib!$H$1:$H$13,$D8))*AC8/(INDEX(Calib!$K$1:$K$13,$D8)+p_delta)</f>
        <v/>
      </c>
      <c r="AE8" s="26">
        <f>AC8+$G8</f>
        <v/>
      </c>
      <c r="AF8" s="26">
        <f>p_programme*($H8+$I8)</f>
        <v/>
      </c>
      <c r="AG8" s="26">
        <f>INDEX(Calib!$I$1:$I$13,$D8)+p_sh_grant*AF8</f>
        <v/>
      </c>
      <c r="AH8" s="26">
        <f>INDEX(Calib!$H$1:$H$13,$D8)*AC8+p_gov_take*$G8+AG8+p_programme*p_pricing*$J8</f>
        <v/>
      </c>
      <c r="AI8" s="26">
        <f>INDEX(Calib!$Y$1:$Y$13,$D8)-INDEX(Calib!$Z$1:$Z$13,$D8)*(AL7/AE7-INDEX(Calib!$AA$1:$AA$13,$D8))</f>
        <v/>
      </c>
      <c r="AJ8" s="26">
        <f>INDEX(Calib!$X$1:$X$13,$D8)+INDEX(Calib!$G$1:$G$13,$D8)+AF8+AI8-AH8</f>
        <v/>
      </c>
      <c r="AK8" s="26">
        <f>p_rk*AM7+AO7*(AL7-AM7)</f>
        <v/>
      </c>
      <c r="AL8" s="26">
        <f>AL7+AK8+AJ8</f>
        <v/>
      </c>
      <c r="AM8" s="26">
        <f>INDEX(Calib!$U$1:$U$13,$D8)+(AM7-INDEX(Calib!$U$1:$U$13,$D8))*(1-p_amort)+p_sh_conc*AF8</f>
        <v/>
      </c>
      <c r="AN8" s="26">
        <f>AL8/AE8</f>
        <v/>
      </c>
      <c r="AO8" s="26">
        <f>INDEX(Calib!$K$1:$K$13,$D8)+p_eta*MAX(0,AN8-INDEX(Calib!$AA$1:$AA$13,$D8))</f>
        <v/>
      </c>
      <c r="AP8" s="26">
        <f>(1-INDEX(Calib!$H$1:$H$13,$D8))*(1-p_alpha)*AC8+AI8</f>
        <v/>
      </c>
      <c r="AQ8" s="26">
        <f>(AE8/O8-1)*100</f>
        <v/>
      </c>
      <c r="AR8" s="26">
        <f>(AE8/AE2-1)*100</f>
        <v/>
      </c>
      <c r="AS8" s="26">
        <f>(O8/O2-1)*100</f>
        <v/>
      </c>
      <c r="AT8" s="26">
        <f>(AN8-X8)*100</f>
        <v/>
      </c>
      <c r="AU8" s="26">
        <f>(AP8/Z8-1)*100</f>
        <v/>
      </c>
      <c r="AV8" s="26">
        <f>(AI8-S8)*100</f>
        <v/>
      </c>
    </row>
    <row r="9">
      <c r="A9" s="25" t="inlineStr">
        <is>
          <t>KEN</t>
        </is>
      </c>
      <c r="B9" s="25" t="n">
        <v>2031</v>
      </c>
      <c r="C9" s="25" t="n">
        <v>7</v>
      </c>
      <c r="D9" s="25" t="n">
        <v>2</v>
      </c>
      <c r="E9" s="25">
        <f>IF(AND(p_dis_year&gt;0,B9=p_dis_year),1,0)</f>
        <v/>
      </c>
      <c r="F9" s="26">
        <f>IF(AND(p_dis_year&gt;0,B9&gt;=p_dis_year),1-p_eps_a*p_rho_a^(B9-p_dis_year),1)</f>
        <v/>
      </c>
      <c r="G9" s="26">
        <f>INDEX(Calib!$N$1:$N$13,$D9)*(1-p_rent_decline*MIN(1,C9/26))</f>
        <v/>
      </c>
      <c r="H9" s="26">
        <f>IF(C9=0,0,SUMIFS(dl_val,dl_iso,$A9,dl_ind,"pub_cap",dl_year,$B9)/100)</f>
        <v/>
      </c>
      <c r="I9" s="26">
        <f>IF(C9=0,0,SUMIFS(dl_val,dl_iso,$A9,dl_ind,"pub_spend",dl_year,$B9)/100)</f>
        <v/>
      </c>
      <c r="J9" s="26">
        <f>IF(C9=0,0,SUMIFS(dl_val,dl_iso,$A9,dl_ind,"rev",dl_year,$B9)/100)</f>
        <v/>
      </c>
      <c r="K9" s="26">
        <f>(1-p_delta_g)*K8*(1-p_eps_g*$E9)+INDEX(Calib!$E$1:$E$13,$D9)*(INDEX(Calib!$G$1:$G$13,$D9)+0*$H9)</f>
        <v/>
      </c>
      <c r="L9" s="26">
        <f>L8*(1-p_eps_k*$E9)+p_lambda_k*(N9-L8*(1-p_eps_k*$E9))</f>
        <v/>
      </c>
      <c r="M9" s="26">
        <f>INDEX(Calib!$R$1:$R$13,$D9)*$F9*(K8*(1-p_eps_g*$E9))^INDEX(Calib!$Q$1:$Q$13,$D9)*(L8*(1-p_eps_k*$E9))^p_alpha</f>
        <v/>
      </c>
      <c r="N9" s="26">
        <f>p_alpha*(1-INDEX(Calib!$H$1:$H$13,$D9))*M9/(INDEX(Calib!$K$1:$K$13,$D9)+p_delta)</f>
        <v/>
      </c>
      <c r="O9" s="26">
        <f>M9+$G9</f>
        <v/>
      </c>
      <c r="P9" s="26">
        <f>0*($H9+$I9)</f>
        <v/>
      </c>
      <c r="Q9" s="26">
        <f>INDEX(Calib!$I$1:$I$13,$D9)+p_sh_grant*P9</f>
        <v/>
      </c>
      <c r="R9" s="26">
        <f>INDEX(Calib!$H$1:$H$13,$D9)*M9+p_gov_take*$G9+Q9+0*p_pricing*$J9</f>
        <v/>
      </c>
      <c r="S9" s="26">
        <f>INDEX(Calib!$Y$1:$Y$13,$D9)-INDEX(Calib!$Z$1:$Z$13,$D9)*(V8/O8-INDEX(Calib!$AA$1:$AA$13,$D9))</f>
        <v/>
      </c>
      <c r="T9" s="26">
        <f>INDEX(Calib!$X$1:$X$13,$D9)+INDEX(Calib!$G$1:$G$13,$D9)+P9+S9-R9</f>
        <v/>
      </c>
      <c r="U9" s="26">
        <f>p_rk*W8+Y8*(V8-W8)</f>
        <v/>
      </c>
      <c r="V9" s="26">
        <f>V8+U9+T9</f>
        <v/>
      </c>
      <c r="W9" s="26">
        <f>INDEX(Calib!$U$1:$U$13,$D9)+(W8-INDEX(Calib!$U$1:$U$13,$D9))*(1-p_amort)+p_sh_conc*P9</f>
        <v/>
      </c>
      <c r="X9" s="26">
        <f>V9/O9</f>
        <v/>
      </c>
      <c r="Y9" s="26">
        <f>INDEX(Calib!$K$1:$K$13,$D9)+p_eta*MAX(0,X9-INDEX(Calib!$AA$1:$AA$13,$D9))</f>
        <v/>
      </c>
      <c r="Z9" s="26">
        <f>(1-INDEX(Calib!$H$1:$H$13,$D9))*(1-p_alpha)*M9+S9</f>
        <v/>
      </c>
      <c r="AA9" s="26">
        <f>(1-p_delta_g)*AA8*(1-p_eps_g*$E9)+INDEX(Calib!$E$1:$E$13,$D9)*(INDEX(Calib!$G$1:$G$13,$D9)+p_programme*$H9)</f>
        <v/>
      </c>
      <c r="AB9" s="26">
        <f>AB8*(1-p_eps_k*$E9)+p_lambda_k*(AD9-AB8*(1-p_eps_k*$E9))</f>
        <v/>
      </c>
      <c r="AC9" s="26">
        <f>INDEX(Calib!$R$1:$R$13,$D9)*$F9*(AA8*(1-p_eps_g*$E9))^INDEX(Calib!$Q$1:$Q$13,$D9)*(AB8*(1-p_eps_k*$E9))^p_alpha</f>
        <v/>
      </c>
      <c r="AD9" s="26">
        <f>p_alpha*(1-INDEX(Calib!$H$1:$H$13,$D9))*AC9/(INDEX(Calib!$K$1:$K$13,$D9)+p_delta)</f>
        <v/>
      </c>
      <c r="AE9" s="26">
        <f>AC9+$G9</f>
        <v/>
      </c>
      <c r="AF9" s="26">
        <f>p_programme*($H9+$I9)</f>
        <v/>
      </c>
      <c r="AG9" s="26">
        <f>INDEX(Calib!$I$1:$I$13,$D9)+p_sh_grant*AF9</f>
        <v/>
      </c>
      <c r="AH9" s="26">
        <f>INDEX(Calib!$H$1:$H$13,$D9)*AC9+p_gov_take*$G9+AG9+p_programme*p_pricing*$J9</f>
        <v/>
      </c>
      <c r="AI9" s="26">
        <f>INDEX(Calib!$Y$1:$Y$13,$D9)-INDEX(Calib!$Z$1:$Z$13,$D9)*(AL8/AE8-INDEX(Calib!$AA$1:$AA$13,$D9))</f>
        <v/>
      </c>
      <c r="AJ9" s="26">
        <f>INDEX(Calib!$X$1:$X$13,$D9)+INDEX(Calib!$G$1:$G$13,$D9)+AF9+AI9-AH9</f>
        <v/>
      </c>
      <c r="AK9" s="26">
        <f>p_rk*AM8+AO8*(AL8-AM8)</f>
        <v/>
      </c>
      <c r="AL9" s="26">
        <f>AL8+AK9+AJ9</f>
        <v/>
      </c>
      <c r="AM9" s="26">
        <f>INDEX(Calib!$U$1:$U$13,$D9)+(AM8-INDEX(Calib!$U$1:$U$13,$D9))*(1-p_amort)+p_sh_conc*AF9</f>
        <v/>
      </c>
      <c r="AN9" s="26">
        <f>AL9/AE9</f>
        <v/>
      </c>
      <c r="AO9" s="26">
        <f>INDEX(Calib!$K$1:$K$13,$D9)+p_eta*MAX(0,AN9-INDEX(Calib!$AA$1:$AA$13,$D9))</f>
        <v/>
      </c>
      <c r="AP9" s="26">
        <f>(1-INDEX(Calib!$H$1:$H$13,$D9))*(1-p_alpha)*AC9+AI9</f>
        <v/>
      </c>
      <c r="AQ9" s="26">
        <f>(AE9/O9-1)*100</f>
        <v/>
      </c>
      <c r="AR9" s="26">
        <f>(AE9/AE2-1)*100</f>
        <v/>
      </c>
      <c r="AS9" s="26">
        <f>(O9/O2-1)*100</f>
        <v/>
      </c>
      <c r="AT9" s="26">
        <f>(AN9-X9)*100</f>
        <v/>
      </c>
      <c r="AU9" s="26">
        <f>(AP9/Z9-1)*100</f>
        <v/>
      </c>
      <c r="AV9" s="26">
        <f>(AI9-S9)*100</f>
        <v/>
      </c>
    </row>
    <row r="10">
      <c r="A10" s="25" t="inlineStr">
        <is>
          <t>KEN</t>
        </is>
      </c>
      <c r="B10" s="25" t="n">
        <v>2032</v>
      </c>
      <c r="C10" s="25" t="n">
        <v>8</v>
      </c>
      <c r="D10" s="25" t="n">
        <v>2</v>
      </c>
      <c r="E10" s="25">
        <f>IF(AND(p_dis_year&gt;0,B10=p_dis_year),1,0)</f>
        <v/>
      </c>
      <c r="F10" s="26">
        <f>IF(AND(p_dis_year&gt;0,B10&gt;=p_dis_year),1-p_eps_a*p_rho_a^(B10-p_dis_year),1)</f>
        <v/>
      </c>
      <c r="G10" s="26">
        <f>INDEX(Calib!$N$1:$N$13,$D10)*(1-p_rent_decline*MIN(1,C10/26))</f>
        <v/>
      </c>
      <c r="H10" s="26">
        <f>IF(C10=0,0,SUMIFS(dl_val,dl_iso,$A10,dl_ind,"pub_cap",dl_year,$B10)/100)</f>
        <v/>
      </c>
      <c r="I10" s="26">
        <f>IF(C10=0,0,SUMIFS(dl_val,dl_iso,$A10,dl_ind,"pub_spend",dl_year,$B10)/100)</f>
        <v/>
      </c>
      <c r="J10" s="26">
        <f>IF(C10=0,0,SUMIFS(dl_val,dl_iso,$A10,dl_ind,"rev",dl_year,$B10)/100)</f>
        <v/>
      </c>
      <c r="K10" s="26">
        <f>(1-p_delta_g)*K9*(1-p_eps_g*$E10)+INDEX(Calib!$E$1:$E$13,$D10)*(INDEX(Calib!$G$1:$G$13,$D10)+0*$H10)</f>
        <v/>
      </c>
      <c r="L10" s="26">
        <f>L9*(1-p_eps_k*$E10)+p_lambda_k*(N10-L9*(1-p_eps_k*$E10))</f>
        <v/>
      </c>
      <c r="M10" s="26">
        <f>INDEX(Calib!$R$1:$R$13,$D10)*$F10*(K9*(1-p_eps_g*$E10))^INDEX(Calib!$Q$1:$Q$13,$D10)*(L9*(1-p_eps_k*$E10))^p_alpha</f>
        <v/>
      </c>
      <c r="N10" s="26">
        <f>p_alpha*(1-INDEX(Calib!$H$1:$H$13,$D10))*M10/(INDEX(Calib!$K$1:$K$13,$D10)+p_delta)</f>
        <v/>
      </c>
      <c r="O10" s="26">
        <f>M10+$G10</f>
        <v/>
      </c>
      <c r="P10" s="26">
        <f>0*($H10+$I10)</f>
        <v/>
      </c>
      <c r="Q10" s="26">
        <f>INDEX(Calib!$I$1:$I$13,$D10)+p_sh_grant*P10</f>
        <v/>
      </c>
      <c r="R10" s="26">
        <f>INDEX(Calib!$H$1:$H$13,$D10)*M10+p_gov_take*$G10+Q10+0*p_pricing*$J10</f>
        <v/>
      </c>
      <c r="S10" s="26">
        <f>INDEX(Calib!$Y$1:$Y$13,$D10)-INDEX(Calib!$Z$1:$Z$13,$D10)*(V9/O9-INDEX(Calib!$AA$1:$AA$13,$D10))</f>
        <v/>
      </c>
      <c r="T10" s="26">
        <f>INDEX(Calib!$X$1:$X$13,$D10)+INDEX(Calib!$G$1:$G$13,$D10)+P10+S10-R10</f>
        <v/>
      </c>
      <c r="U10" s="26">
        <f>p_rk*W9+Y9*(V9-W9)</f>
        <v/>
      </c>
      <c r="V10" s="26">
        <f>V9+U10+T10</f>
        <v/>
      </c>
      <c r="W10" s="26">
        <f>INDEX(Calib!$U$1:$U$13,$D10)+(W9-INDEX(Calib!$U$1:$U$13,$D10))*(1-p_amort)+p_sh_conc*P10</f>
        <v/>
      </c>
      <c r="X10" s="26">
        <f>V10/O10</f>
        <v/>
      </c>
      <c r="Y10" s="26">
        <f>INDEX(Calib!$K$1:$K$13,$D10)+p_eta*MAX(0,X10-INDEX(Calib!$AA$1:$AA$13,$D10))</f>
        <v/>
      </c>
      <c r="Z10" s="26">
        <f>(1-INDEX(Calib!$H$1:$H$13,$D10))*(1-p_alpha)*M10+S10</f>
        <v/>
      </c>
      <c r="AA10" s="26">
        <f>(1-p_delta_g)*AA9*(1-p_eps_g*$E10)+INDEX(Calib!$E$1:$E$13,$D10)*(INDEX(Calib!$G$1:$G$13,$D10)+p_programme*$H10)</f>
        <v/>
      </c>
      <c r="AB10" s="26">
        <f>AB9*(1-p_eps_k*$E10)+p_lambda_k*(AD10-AB9*(1-p_eps_k*$E10))</f>
        <v/>
      </c>
      <c r="AC10" s="26">
        <f>INDEX(Calib!$R$1:$R$13,$D10)*$F10*(AA9*(1-p_eps_g*$E10))^INDEX(Calib!$Q$1:$Q$13,$D10)*(AB9*(1-p_eps_k*$E10))^p_alpha</f>
        <v/>
      </c>
      <c r="AD10" s="26">
        <f>p_alpha*(1-INDEX(Calib!$H$1:$H$13,$D10))*AC10/(INDEX(Calib!$K$1:$K$13,$D10)+p_delta)</f>
        <v/>
      </c>
      <c r="AE10" s="26">
        <f>AC10+$G10</f>
        <v/>
      </c>
      <c r="AF10" s="26">
        <f>p_programme*($H10+$I10)</f>
        <v/>
      </c>
      <c r="AG10" s="26">
        <f>INDEX(Calib!$I$1:$I$13,$D10)+p_sh_grant*AF10</f>
        <v/>
      </c>
      <c r="AH10" s="26">
        <f>INDEX(Calib!$H$1:$H$13,$D10)*AC10+p_gov_take*$G10+AG10+p_programme*p_pricing*$J10</f>
        <v/>
      </c>
      <c r="AI10" s="26">
        <f>INDEX(Calib!$Y$1:$Y$13,$D10)-INDEX(Calib!$Z$1:$Z$13,$D10)*(AL9/AE9-INDEX(Calib!$AA$1:$AA$13,$D10))</f>
        <v/>
      </c>
      <c r="AJ10" s="26">
        <f>INDEX(Calib!$X$1:$X$13,$D10)+INDEX(Calib!$G$1:$G$13,$D10)+AF10+AI10-AH10</f>
        <v/>
      </c>
      <c r="AK10" s="26">
        <f>p_rk*AM9+AO9*(AL9-AM9)</f>
        <v/>
      </c>
      <c r="AL10" s="26">
        <f>AL9+AK10+AJ10</f>
        <v/>
      </c>
      <c r="AM10" s="26">
        <f>INDEX(Calib!$U$1:$U$13,$D10)+(AM9-INDEX(Calib!$U$1:$U$13,$D10))*(1-p_amort)+p_sh_conc*AF10</f>
        <v/>
      </c>
      <c r="AN10" s="26">
        <f>AL10/AE10</f>
        <v/>
      </c>
      <c r="AO10" s="26">
        <f>INDEX(Calib!$K$1:$K$13,$D10)+p_eta*MAX(0,AN10-INDEX(Calib!$AA$1:$AA$13,$D10))</f>
        <v/>
      </c>
      <c r="AP10" s="26">
        <f>(1-INDEX(Calib!$H$1:$H$13,$D10))*(1-p_alpha)*AC10+AI10</f>
        <v/>
      </c>
      <c r="AQ10" s="26">
        <f>(AE10/O10-1)*100</f>
        <v/>
      </c>
      <c r="AR10" s="26">
        <f>(AE10/AE2-1)*100</f>
        <v/>
      </c>
      <c r="AS10" s="26">
        <f>(O10/O2-1)*100</f>
        <v/>
      </c>
      <c r="AT10" s="26">
        <f>(AN10-X10)*100</f>
        <v/>
      </c>
      <c r="AU10" s="26">
        <f>(AP10/Z10-1)*100</f>
        <v/>
      </c>
      <c r="AV10" s="26">
        <f>(AI10-S10)*100</f>
        <v/>
      </c>
    </row>
    <row r="11">
      <c r="A11" s="25" t="inlineStr">
        <is>
          <t>KEN</t>
        </is>
      </c>
      <c r="B11" s="25" t="n">
        <v>2033</v>
      </c>
      <c r="C11" s="25" t="n">
        <v>9</v>
      </c>
      <c r="D11" s="25" t="n">
        <v>2</v>
      </c>
      <c r="E11" s="25">
        <f>IF(AND(p_dis_year&gt;0,B11=p_dis_year),1,0)</f>
        <v/>
      </c>
      <c r="F11" s="26">
        <f>IF(AND(p_dis_year&gt;0,B11&gt;=p_dis_year),1-p_eps_a*p_rho_a^(B11-p_dis_year),1)</f>
        <v/>
      </c>
      <c r="G11" s="26">
        <f>INDEX(Calib!$N$1:$N$13,$D11)*(1-p_rent_decline*MIN(1,C11/26))</f>
        <v/>
      </c>
      <c r="H11" s="26">
        <f>IF(C11=0,0,SUMIFS(dl_val,dl_iso,$A11,dl_ind,"pub_cap",dl_year,$B11)/100)</f>
        <v/>
      </c>
      <c r="I11" s="26">
        <f>IF(C11=0,0,SUMIFS(dl_val,dl_iso,$A11,dl_ind,"pub_spend",dl_year,$B11)/100)</f>
        <v/>
      </c>
      <c r="J11" s="26">
        <f>IF(C11=0,0,SUMIFS(dl_val,dl_iso,$A11,dl_ind,"rev",dl_year,$B11)/100)</f>
        <v/>
      </c>
      <c r="K11" s="26">
        <f>(1-p_delta_g)*K10*(1-p_eps_g*$E11)+INDEX(Calib!$E$1:$E$13,$D11)*(INDEX(Calib!$G$1:$G$13,$D11)+0*$H11)</f>
        <v/>
      </c>
      <c r="L11" s="26">
        <f>L10*(1-p_eps_k*$E11)+p_lambda_k*(N11-L10*(1-p_eps_k*$E11))</f>
        <v/>
      </c>
      <c r="M11" s="26">
        <f>INDEX(Calib!$R$1:$R$13,$D11)*$F11*(K10*(1-p_eps_g*$E11))^INDEX(Calib!$Q$1:$Q$13,$D11)*(L10*(1-p_eps_k*$E11))^p_alpha</f>
        <v/>
      </c>
      <c r="N11" s="26">
        <f>p_alpha*(1-INDEX(Calib!$H$1:$H$13,$D11))*M11/(INDEX(Calib!$K$1:$K$13,$D11)+p_delta)</f>
        <v/>
      </c>
      <c r="O11" s="26">
        <f>M11+$G11</f>
        <v/>
      </c>
      <c r="P11" s="26">
        <f>0*($H11+$I11)</f>
        <v/>
      </c>
      <c r="Q11" s="26">
        <f>INDEX(Calib!$I$1:$I$13,$D11)+p_sh_grant*P11</f>
        <v/>
      </c>
      <c r="R11" s="26">
        <f>INDEX(Calib!$H$1:$H$13,$D11)*M11+p_gov_take*$G11+Q11+0*p_pricing*$J11</f>
        <v/>
      </c>
      <c r="S11" s="26">
        <f>INDEX(Calib!$Y$1:$Y$13,$D11)-INDEX(Calib!$Z$1:$Z$13,$D11)*(V10/O10-INDEX(Calib!$AA$1:$AA$13,$D11))</f>
        <v/>
      </c>
      <c r="T11" s="26">
        <f>INDEX(Calib!$X$1:$X$13,$D11)+INDEX(Calib!$G$1:$G$13,$D11)+P11+S11-R11</f>
        <v/>
      </c>
      <c r="U11" s="26">
        <f>p_rk*W10+Y10*(V10-W10)</f>
        <v/>
      </c>
      <c r="V11" s="26">
        <f>V10+U11+T11</f>
        <v/>
      </c>
      <c r="W11" s="26">
        <f>INDEX(Calib!$U$1:$U$13,$D11)+(W10-INDEX(Calib!$U$1:$U$13,$D11))*(1-p_amort)+p_sh_conc*P11</f>
        <v/>
      </c>
      <c r="X11" s="26">
        <f>V11/O11</f>
        <v/>
      </c>
      <c r="Y11" s="26">
        <f>INDEX(Calib!$K$1:$K$13,$D11)+p_eta*MAX(0,X11-INDEX(Calib!$AA$1:$AA$13,$D11))</f>
        <v/>
      </c>
      <c r="Z11" s="26">
        <f>(1-INDEX(Calib!$H$1:$H$13,$D11))*(1-p_alpha)*M11+S11</f>
        <v/>
      </c>
      <c r="AA11" s="26">
        <f>(1-p_delta_g)*AA10*(1-p_eps_g*$E11)+INDEX(Calib!$E$1:$E$13,$D11)*(INDEX(Calib!$G$1:$G$13,$D11)+p_programme*$H11)</f>
        <v/>
      </c>
      <c r="AB11" s="26">
        <f>AB10*(1-p_eps_k*$E11)+p_lambda_k*(AD11-AB10*(1-p_eps_k*$E11))</f>
        <v/>
      </c>
      <c r="AC11" s="26">
        <f>INDEX(Calib!$R$1:$R$13,$D11)*$F11*(AA10*(1-p_eps_g*$E11))^INDEX(Calib!$Q$1:$Q$13,$D11)*(AB10*(1-p_eps_k*$E11))^p_alpha</f>
        <v/>
      </c>
      <c r="AD11" s="26">
        <f>p_alpha*(1-INDEX(Calib!$H$1:$H$13,$D11))*AC11/(INDEX(Calib!$K$1:$K$13,$D11)+p_delta)</f>
        <v/>
      </c>
      <c r="AE11" s="26">
        <f>AC11+$G11</f>
        <v/>
      </c>
      <c r="AF11" s="26">
        <f>p_programme*($H11+$I11)</f>
        <v/>
      </c>
      <c r="AG11" s="26">
        <f>INDEX(Calib!$I$1:$I$13,$D11)+p_sh_grant*AF11</f>
        <v/>
      </c>
      <c r="AH11" s="26">
        <f>INDEX(Calib!$H$1:$H$13,$D11)*AC11+p_gov_take*$G11+AG11+p_programme*p_pricing*$J11</f>
        <v/>
      </c>
      <c r="AI11" s="26">
        <f>INDEX(Calib!$Y$1:$Y$13,$D11)-INDEX(Calib!$Z$1:$Z$13,$D11)*(AL10/AE10-INDEX(Calib!$AA$1:$AA$13,$D11))</f>
        <v/>
      </c>
      <c r="AJ11" s="26">
        <f>INDEX(Calib!$X$1:$X$13,$D11)+INDEX(Calib!$G$1:$G$13,$D11)+AF11+AI11-AH11</f>
        <v/>
      </c>
      <c r="AK11" s="26">
        <f>p_rk*AM10+AO10*(AL10-AM10)</f>
        <v/>
      </c>
      <c r="AL11" s="26">
        <f>AL10+AK11+AJ11</f>
        <v/>
      </c>
      <c r="AM11" s="26">
        <f>INDEX(Calib!$U$1:$U$13,$D11)+(AM10-INDEX(Calib!$U$1:$U$13,$D11))*(1-p_amort)+p_sh_conc*AF11</f>
        <v/>
      </c>
      <c r="AN11" s="26">
        <f>AL11/AE11</f>
        <v/>
      </c>
      <c r="AO11" s="26">
        <f>INDEX(Calib!$K$1:$K$13,$D11)+p_eta*MAX(0,AN11-INDEX(Calib!$AA$1:$AA$13,$D11))</f>
        <v/>
      </c>
      <c r="AP11" s="26">
        <f>(1-INDEX(Calib!$H$1:$H$13,$D11))*(1-p_alpha)*AC11+AI11</f>
        <v/>
      </c>
      <c r="AQ11" s="26">
        <f>(AE11/O11-1)*100</f>
        <v/>
      </c>
      <c r="AR11" s="26">
        <f>(AE11/AE2-1)*100</f>
        <v/>
      </c>
      <c r="AS11" s="26">
        <f>(O11/O2-1)*100</f>
        <v/>
      </c>
      <c r="AT11" s="26">
        <f>(AN11-X11)*100</f>
        <v/>
      </c>
      <c r="AU11" s="26">
        <f>(AP11/Z11-1)*100</f>
        <v/>
      </c>
      <c r="AV11" s="26">
        <f>(AI11-S11)*100</f>
        <v/>
      </c>
    </row>
    <row r="12">
      <c r="A12" s="25" t="inlineStr">
        <is>
          <t>KEN</t>
        </is>
      </c>
      <c r="B12" s="25" t="n">
        <v>2034</v>
      </c>
      <c r="C12" s="25" t="n">
        <v>10</v>
      </c>
      <c r="D12" s="25" t="n">
        <v>2</v>
      </c>
      <c r="E12" s="25">
        <f>IF(AND(p_dis_year&gt;0,B12=p_dis_year),1,0)</f>
        <v/>
      </c>
      <c r="F12" s="26">
        <f>IF(AND(p_dis_year&gt;0,B12&gt;=p_dis_year),1-p_eps_a*p_rho_a^(B12-p_dis_year),1)</f>
        <v/>
      </c>
      <c r="G12" s="26">
        <f>INDEX(Calib!$N$1:$N$13,$D12)*(1-p_rent_decline*MIN(1,C12/26))</f>
        <v/>
      </c>
      <c r="H12" s="26">
        <f>IF(C12=0,0,SUMIFS(dl_val,dl_iso,$A12,dl_ind,"pub_cap",dl_year,$B12)/100)</f>
        <v/>
      </c>
      <c r="I12" s="26">
        <f>IF(C12=0,0,SUMIFS(dl_val,dl_iso,$A12,dl_ind,"pub_spend",dl_year,$B12)/100)</f>
        <v/>
      </c>
      <c r="J12" s="26">
        <f>IF(C12=0,0,SUMIFS(dl_val,dl_iso,$A12,dl_ind,"rev",dl_year,$B12)/100)</f>
        <v/>
      </c>
      <c r="K12" s="26">
        <f>(1-p_delta_g)*K11*(1-p_eps_g*$E12)+INDEX(Calib!$E$1:$E$13,$D12)*(INDEX(Calib!$G$1:$G$13,$D12)+0*$H12)</f>
        <v/>
      </c>
      <c r="L12" s="26">
        <f>L11*(1-p_eps_k*$E12)+p_lambda_k*(N12-L11*(1-p_eps_k*$E12))</f>
        <v/>
      </c>
      <c r="M12" s="26">
        <f>INDEX(Calib!$R$1:$R$13,$D12)*$F12*(K11*(1-p_eps_g*$E12))^INDEX(Calib!$Q$1:$Q$13,$D12)*(L11*(1-p_eps_k*$E12))^p_alpha</f>
        <v/>
      </c>
      <c r="N12" s="26">
        <f>p_alpha*(1-INDEX(Calib!$H$1:$H$13,$D12))*M12/(INDEX(Calib!$K$1:$K$13,$D12)+p_delta)</f>
        <v/>
      </c>
      <c r="O12" s="26">
        <f>M12+$G12</f>
        <v/>
      </c>
      <c r="P12" s="26">
        <f>0*($H12+$I12)</f>
        <v/>
      </c>
      <c r="Q12" s="26">
        <f>INDEX(Calib!$I$1:$I$13,$D12)+p_sh_grant*P12</f>
        <v/>
      </c>
      <c r="R12" s="26">
        <f>INDEX(Calib!$H$1:$H$13,$D12)*M12+p_gov_take*$G12+Q12+0*p_pricing*$J12</f>
        <v/>
      </c>
      <c r="S12" s="26">
        <f>INDEX(Calib!$Y$1:$Y$13,$D12)-INDEX(Calib!$Z$1:$Z$13,$D12)*(V11/O11-INDEX(Calib!$AA$1:$AA$13,$D12))</f>
        <v/>
      </c>
      <c r="T12" s="26">
        <f>INDEX(Calib!$X$1:$X$13,$D12)+INDEX(Calib!$G$1:$G$13,$D12)+P12+S12-R12</f>
        <v/>
      </c>
      <c r="U12" s="26">
        <f>p_rk*W11+Y11*(V11-W11)</f>
        <v/>
      </c>
      <c r="V12" s="26">
        <f>V11+U12+T12</f>
        <v/>
      </c>
      <c r="W12" s="26">
        <f>INDEX(Calib!$U$1:$U$13,$D12)+(W11-INDEX(Calib!$U$1:$U$13,$D12))*(1-p_amort)+p_sh_conc*P12</f>
        <v/>
      </c>
      <c r="X12" s="26">
        <f>V12/O12</f>
        <v/>
      </c>
      <c r="Y12" s="26">
        <f>INDEX(Calib!$K$1:$K$13,$D12)+p_eta*MAX(0,X12-INDEX(Calib!$AA$1:$AA$13,$D12))</f>
        <v/>
      </c>
      <c r="Z12" s="26">
        <f>(1-INDEX(Calib!$H$1:$H$13,$D12))*(1-p_alpha)*M12+S12</f>
        <v/>
      </c>
      <c r="AA12" s="26">
        <f>(1-p_delta_g)*AA11*(1-p_eps_g*$E12)+INDEX(Calib!$E$1:$E$13,$D12)*(INDEX(Calib!$G$1:$G$13,$D12)+p_programme*$H12)</f>
        <v/>
      </c>
      <c r="AB12" s="26">
        <f>AB11*(1-p_eps_k*$E12)+p_lambda_k*(AD12-AB11*(1-p_eps_k*$E12))</f>
        <v/>
      </c>
      <c r="AC12" s="26">
        <f>INDEX(Calib!$R$1:$R$13,$D12)*$F12*(AA11*(1-p_eps_g*$E12))^INDEX(Calib!$Q$1:$Q$13,$D12)*(AB11*(1-p_eps_k*$E12))^p_alpha</f>
        <v/>
      </c>
      <c r="AD12" s="26">
        <f>p_alpha*(1-INDEX(Calib!$H$1:$H$13,$D12))*AC12/(INDEX(Calib!$K$1:$K$13,$D12)+p_delta)</f>
        <v/>
      </c>
      <c r="AE12" s="26">
        <f>AC12+$G12</f>
        <v/>
      </c>
      <c r="AF12" s="26">
        <f>p_programme*($H12+$I12)</f>
        <v/>
      </c>
      <c r="AG12" s="26">
        <f>INDEX(Calib!$I$1:$I$13,$D12)+p_sh_grant*AF12</f>
        <v/>
      </c>
      <c r="AH12" s="26">
        <f>INDEX(Calib!$H$1:$H$13,$D12)*AC12+p_gov_take*$G12+AG12+p_programme*p_pricing*$J12</f>
        <v/>
      </c>
      <c r="AI12" s="26">
        <f>INDEX(Calib!$Y$1:$Y$13,$D12)-INDEX(Calib!$Z$1:$Z$13,$D12)*(AL11/AE11-INDEX(Calib!$AA$1:$AA$13,$D12))</f>
        <v/>
      </c>
      <c r="AJ12" s="26">
        <f>INDEX(Calib!$X$1:$X$13,$D12)+INDEX(Calib!$G$1:$G$13,$D12)+AF12+AI12-AH12</f>
        <v/>
      </c>
      <c r="AK12" s="26">
        <f>p_rk*AM11+AO11*(AL11-AM11)</f>
        <v/>
      </c>
      <c r="AL12" s="26">
        <f>AL11+AK12+AJ12</f>
        <v/>
      </c>
      <c r="AM12" s="26">
        <f>INDEX(Calib!$U$1:$U$13,$D12)+(AM11-INDEX(Calib!$U$1:$U$13,$D12))*(1-p_amort)+p_sh_conc*AF12</f>
        <v/>
      </c>
      <c r="AN12" s="26">
        <f>AL12/AE12</f>
        <v/>
      </c>
      <c r="AO12" s="26">
        <f>INDEX(Calib!$K$1:$K$13,$D12)+p_eta*MAX(0,AN12-INDEX(Calib!$AA$1:$AA$13,$D12))</f>
        <v/>
      </c>
      <c r="AP12" s="26">
        <f>(1-INDEX(Calib!$H$1:$H$13,$D12))*(1-p_alpha)*AC12+AI12</f>
        <v/>
      </c>
      <c r="AQ12" s="26">
        <f>(AE12/O12-1)*100</f>
        <v/>
      </c>
      <c r="AR12" s="26">
        <f>(AE12/AE2-1)*100</f>
        <v/>
      </c>
      <c r="AS12" s="26">
        <f>(O12/O2-1)*100</f>
        <v/>
      </c>
      <c r="AT12" s="26">
        <f>(AN12-X12)*100</f>
        <v/>
      </c>
      <c r="AU12" s="26">
        <f>(AP12/Z12-1)*100</f>
        <v/>
      </c>
      <c r="AV12" s="26">
        <f>(AI12-S12)*100</f>
        <v/>
      </c>
    </row>
    <row r="13">
      <c r="A13" s="25" t="inlineStr">
        <is>
          <t>KEN</t>
        </is>
      </c>
      <c r="B13" s="25" t="n">
        <v>2035</v>
      </c>
      <c r="C13" s="25" t="n">
        <v>11</v>
      </c>
      <c r="D13" s="25" t="n">
        <v>2</v>
      </c>
      <c r="E13" s="25">
        <f>IF(AND(p_dis_year&gt;0,B13=p_dis_year),1,0)</f>
        <v/>
      </c>
      <c r="F13" s="26">
        <f>IF(AND(p_dis_year&gt;0,B13&gt;=p_dis_year),1-p_eps_a*p_rho_a^(B13-p_dis_year),1)</f>
        <v/>
      </c>
      <c r="G13" s="26">
        <f>INDEX(Calib!$N$1:$N$13,$D13)*(1-p_rent_decline*MIN(1,C13/26))</f>
        <v/>
      </c>
      <c r="H13" s="26">
        <f>IF(C13=0,0,SUMIFS(dl_val,dl_iso,$A13,dl_ind,"pub_cap",dl_year,$B13)/100)</f>
        <v/>
      </c>
      <c r="I13" s="26">
        <f>IF(C13=0,0,SUMIFS(dl_val,dl_iso,$A13,dl_ind,"pub_spend",dl_year,$B13)/100)</f>
        <v/>
      </c>
      <c r="J13" s="26">
        <f>IF(C13=0,0,SUMIFS(dl_val,dl_iso,$A13,dl_ind,"rev",dl_year,$B13)/100)</f>
        <v/>
      </c>
      <c r="K13" s="26">
        <f>(1-p_delta_g)*K12*(1-p_eps_g*$E13)+INDEX(Calib!$E$1:$E$13,$D13)*(INDEX(Calib!$G$1:$G$13,$D13)+0*$H13)</f>
        <v/>
      </c>
      <c r="L13" s="26">
        <f>L12*(1-p_eps_k*$E13)+p_lambda_k*(N13-L12*(1-p_eps_k*$E13))</f>
        <v/>
      </c>
      <c r="M13" s="26">
        <f>INDEX(Calib!$R$1:$R$13,$D13)*$F13*(K12*(1-p_eps_g*$E13))^INDEX(Calib!$Q$1:$Q$13,$D13)*(L12*(1-p_eps_k*$E13))^p_alpha</f>
        <v/>
      </c>
      <c r="N13" s="26">
        <f>p_alpha*(1-INDEX(Calib!$H$1:$H$13,$D13))*M13/(INDEX(Calib!$K$1:$K$13,$D13)+p_delta)</f>
        <v/>
      </c>
      <c r="O13" s="26">
        <f>M13+$G13</f>
        <v/>
      </c>
      <c r="P13" s="26">
        <f>0*($H13+$I13)</f>
        <v/>
      </c>
      <c r="Q13" s="26">
        <f>INDEX(Calib!$I$1:$I$13,$D13)+p_sh_grant*P13</f>
        <v/>
      </c>
      <c r="R13" s="26">
        <f>INDEX(Calib!$H$1:$H$13,$D13)*M13+p_gov_take*$G13+Q13+0*p_pricing*$J13</f>
        <v/>
      </c>
      <c r="S13" s="26">
        <f>INDEX(Calib!$Y$1:$Y$13,$D13)-INDEX(Calib!$Z$1:$Z$13,$D13)*(V12/O12-INDEX(Calib!$AA$1:$AA$13,$D13))</f>
        <v/>
      </c>
      <c r="T13" s="26">
        <f>INDEX(Calib!$X$1:$X$13,$D13)+INDEX(Calib!$G$1:$G$13,$D13)+P13+S13-R13</f>
        <v/>
      </c>
      <c r="U13" s="26">
        <f>p_rk*W12+Y12*(V12-W12)</f>
        <v/>
      </c>
      <c r="V13" s="26">
        <f>V12+U13+T13</f>
        <v/>
      </c>
      <c r="W13" s="26">
        <f>INDEX(Calib!$U$1:$U$13,$D13)+(W12-INDEX(Calib!$U$1:$U$13,$D13))*(1-p_amort)+p_sh_conc*P13</f>
        <v/>
      </c>
      <c r="X13" s="26">
        <f>V13/O13</f>
        <v/>
      </c>
      <c r="Y13" s="26">
        <f>INDEX(Calib!$K$1:$K$13,$D13)+p_eta*MAX(0,X13-INDEX(Calib!$AA$1:$AA$13,$D13))</f>
        <v/>
      </c>
      <c r="Z13" s="26">
        <f>(1-INDEX(Calib!$H$1:$H$13,$D13))*(1-p_alpha)*M13+S13</f>
        <v/>
      </c>
      <c r="AA13" s="26">
        <f>(1-p_delta_g)*AA12*(1-p_eps_g*$E13)+INDEX(Calib!$E$1:$E$13,$D13)*(INDEX(Calib!$G$1:$G$13,$D13)+p_programme*$H13)</f>
        <v/>
      </c>
      <c r="AB13" s="26">
        <f>AB12*(1-p_eps_k*$E13)+p_lambda_k*(AD13-AB12*(1-p_eps_k*$E13))</f>
        <v/>
      </c>
      <c r="AC13" s="26">
        <f>INDEX(Calib!$R$1:$R$13,$D13)*$F13*(AA12*(1-p_eps_g*$E13))^INDEX(Calib!$Q$1:$Q$13,$D13)*(AB12*(1-p_eps_k*$E13))^p_alpha</f>
        <v/>
      </c>
      <c r="AD13" s="26">
        <f>p_alpha*(1-INDEX(Calib!$H$1:$H$13,$D13))*AC13/(INDEX(Calib!$K$1:$K$13,$D13)+p_delta)</f>
        <v/>
      </c>
      <c r="AE13" s="26">
        <f>AC13+$G13</f>
        <v/>
      </c>
      <c r="AF13" s="26">
        <f>p_programme*($H13+$I13)</f>
        <v/>
      </c>
      <c r="AG13" s="26">
        <f>INDEX(Calib!$I$1:$I$13,$D13)+p_sh_grant*AF13</f>
        <v/>
      </c>
      <c r="AH13" s="26">
        <f>INDEX(Calib!$H$1:$H$13,$D13)*AC13+p_gov_take*$G13+AG13+p_programme*p_pricing*$J13</f>
        <v/>
      </c>
      <c r="AI13" s="26">
        <f>INDEX(Calib!$Y$1:$Y$13,$D13)-INDEX(Calib!$Z$1:$Z$13,$D13)*(AL12/AE12-INDEX(Calib!$AA$1:$AA$13,$D13))</f>
        <v/>
      </c>
      <c r="AJ13" s="26">
        <f>INDEX(Calib!$X$1:$X$13,$D13)+INDEX(Calib!$G$1:$G$13,$D13)+AF13+AI13-AH13</f>
        <v/>
      </c>
      <c r="AK13" s="26">
        <f>p_rk*AM12+AO12*(AL12-AM12)</f>
        <v/>
      </c>
      <c r="AL13" s="26">
        <f>AL12+AK13+AJ13</f>
        <v/>
      </c>
      <c r="AM13" s="26">
        <f>INDEX(Calib!$U$1:$U$13,$D13)+(AM12-INDEX(Calib!$U$1:$U$13,$D13))*(1-p_amort)+p_sh_conc*AF13</f>
        <v/>
      </c>
      <c r="AN13" s="26">
        <f>AL13/AE13</f>
        <v/>
      </c>
      <c r="AO13" s="26">
        <f>INDEX(Calib!$K$1:$K$13,$D13)+p_eta*MAX(0,AN13-INDEX(Calib!$AA$1:$AA$13,$D13))</f>
        <v/>
      </c>
      <c r="AP13" s="26">
        <f>(1-INDEX(Calib!$H$1:$H$13,$D13))*(1-p_alpha)*AC13+AI13</f>
        <v/>
      </c>
      <c r="AQ13" s="26">
        <f>(AE13/O13-1)*100</f>
        <v/>
      </c>
      <c r="AR13" s="26">
        <f>(AE13/AE2-1)*100</f>
        <v/>
      </c>
      <c r="AS13" s="26">
        <f>(O13/O2-1)*100</f>
        <v/>
      </c>
      <c r="AT13" s="26">
        <f>(AN13-X13)*100</f>
        <v/>
      </c>
      <c r="AU13" s="26">
        <f>(AP13/Z13-1)*100</f>
        <v/>
      </c>
      <c r="AV13" s="26">
        <f>(AI13-S13)*100</f>
        <v/>
      </c>
    </row>
    <row r="14">
      <c r="A14" s="25" t="inlineStr">
        <is>
          <t>KEN</t>
        </is>
      </c>
      <c r="B14" s="25" t="n">
        <v>2036</v>
      </c>
      <c r="C14" s="25" t="n">
        <v>12</v>
      </c>
      <c r="D14" s="25" t="n">
        <v>2</v>
      </c>
      <c r="E14" s="25">
        <f>IF(AND(p_dis_year&gt;0,B14=p_dis_year),1,0)</f>
        <v/>
      </c>
      <c r="F14" s="26">
        <f>IF(AND(p_dis_year&gt;0,B14&gt;=p_dis_year),1-p_eps_a*p_rho_a^(B14-p_dis_year),1)</f>
        <v/>
      </c>
      <c r="G14" s="26">
        <f>INDEX(Calib!$N$1:$N$13,$D14)*(1-p_rent_decline*MIN(1,C14/26))</f>
        <v/>
      </c>
      <c r="H14" s="26">
        <f>IF(C14=0,0,SUMIFS(dl_val,dl_iso,$A14,dl_ind,"pub_cap",dl_year,$B14)/100)</f>
        <v/>
      </c>
      <c r="I14" s="26">
        <f>IF(C14=0,0,SUMIFS(dl_val,dl_iso,$A14,dl_ind,"pub_spend",dl_year,$B14)/100)</f>
        <v/>
      </c>
      <c r="J14" s="26">
        <f>IF(C14=0,0,SUMIFS(dl_val,dl_iso,$A14,dl_ind,"rev",dl_year,$B14)/100)</f>
        <v/>
      </c>
      <c r="K14" s="26">
        <f>(1-p_delta_g)*K13*(1-p_eps_g*$E14)+INDEX(Calib!$E$1:$E$13,$D14)*(INDEX(Calib!$G$1:$G$13,$D14)+0*$H14)</f>
        <v/>
      </c>
      <c r="L14" s="26">
        <f>L13*(1-p_eps_k*$E14)+p_lambda_k*(N14-L13*(1-p_eps_k*$E14))</f>
        <v/>
      </c>
      <c r="M14" s="26">
        <f>INDEX(Calib!$R$1:$R$13,$D14)*$F14*(K13*(1-p_eps_g*$E14))^INDEX(Calib!$Q$1:$Q$13,$D14)*(L13*(1-p_eps_k*$E14))^p_alpha</f>
        <v/>
      </c>
      <c r="N14" s="26">
        <f>p_alpha*(1-INDEX(Calib!$H$1:$H$13,$D14))*M14/(INDEX(Calib!$K$1:$K$13,$D14)+p_delta)</f>
        <v/>
      </c>
      <c r="O14" s="26">
        <f>M14+$G14</f>
        <v/>
      </c>
      <c r="P14" s="26">
        <f>0*($H14+$I14)</f>
        <v/>
      </c>
      <c r="Q14" s="26">
        <f>INDEX(Calib!$I$1:$I$13,$D14)+p_sh_grant*P14</f>
        <v/>
      </c>
      <c r="R14" s="26">
        <f>INDEX(Calib!$H$1:$H$13,$D14)*M14+p_gov_take*$G14+Q14+0*p_pricing*$J14</f>
        <v/>
      </c>
      <c r="S14" s="26">
        <f>INDEX(Calib!$Y$1:$Y$13,$D14)-INDEX(Calib!$Z$1:$Z$13,$D14)*(V13/O13-INDEX(Calib!$AA$1:$AA$13,$D14))</f>
        <v/>
      </c>
      <c r="T14" s="26">
        <f>INDEX(Calib!$X$1:$X$13,$D14)+INDEX(Calib!$G$1:$G$13,$D14)+P14+S14-R14</f>
        <v/>
      </c>
      <c r="U14" s="26">
        <f>p_rk*W13+Y13*(V13-W13)</f>
        <v/>
      </c>
      <c r="V14" s="26">
        <f>V13+U14+T14</f>
        <v/>
      </c>
      <c r="W14" s="26">
        <f>INDEX(Calib!$U$1:$U$13,$D14)+(W13-INDEX(Calib!$U$1:$U$13,$D14))*(1-p_amort)+p_sh_conc*P14</f>
        <v/>
      </c>
      <c r="X14" s="26">
        <f>V14/O14</f>
        <v/>
      </c>
      <c r="Y14" s="26">
        <f>INDEX(Calib!$K$1:$K$13,$D14)+p_eta*MAX(0,X14-INDEX(Calib!$AA$1:$AA$13,$D14))</f>
        <v/>
      </c>
      <c r="Z14" s="26">
        <f>(1-INDEX(Calib!$H$1:$H$13,$D14))*(1-p_alpha)*M14+S14</f>
        <v/>
      </c>
      <c r="AA14" s="26">
        <f>(1-p_delta_g)*AA13*(1-p_eps_g*$E14)+INDEX(Calib!$E$1:$E$13,$D14)*(INDEX(Calib!$G$1:$G$13,$D14)+p_programme*$H14)</f>
        <v/>
      </c>
      <c r="AB14" s="26">
        <f>AB13*(1-p_eps_k*$E14)+p_lambda_k*(AD14-AB13*(1-p_eps_k*$E14))</f>
        <v/>
      </c>
      <c r="AC14" s="26">
        <f>INDEX(Calib!$R$1:$R$13,$D14)*$F14*(AA13*(1-p_eps_g*$E14))^INDEX(Calib!$Q$1:$Q$13,$D14)*(AB13*(1-p_eps_k*$E14))^p_alpha</f>
        <v/>
      </c>
      <c r="AD14" s="26">
        <f>p_alpha*(1-INDEX(Calib!$H$1:$H$13,$D14))*AC14/(INDEX(Calib!$K$1:$K$13,$D14)+p_delta)</f>
        <v/>
      </c>
      <c r="AE14" s="26">
        <f>AC14+$G14</f>
        <v/>
      </c>
      <c r="AF14" s="26">
        <f>p_programme*($H14+$I14)</f>
        <v/>
      </c>
      <c r="AG14" s="26">
        <f>INDEX(Calib!$I$1:$I$13,$D14)+p_sh_grant*AF14</f>
        <v/>
      </c>
      <c r="AH14" s="26">
        <f>INDEX(Calib!$H$1:$H$13,$D14)*AC14+p_gov_take*$G14+AG14+p_programme*p_pricing*$J14</f>
        <v/>
      </c>
      <c r="AI14" s="26">
        <f>INDEX(Calib!$Y$1:$Y$13,$D14)-INDEX(Calib!$Z$1:$Z$13,$D14)*(AL13/AE13-INDEX(Calib!$AA$1:$AA$13,$D14))</f>
        <v/>
      </c>
      <c r="AJ14" s="26">
        <f>INDEX(Calib!$X$1:$X$13,$D14)+INDEX(Calib!$G$1:$G$13,$D14)+AF14+AI14-AH14</f>
        <v/>
      </c>
      <c r="AK14" s="26">
        <f>p_rk*AM13+AO13*(AL13-AM13)</f>
        <v/>
      </c>
      <c r="AL14" s="26">
        <f>AL13+AK14+AJ14</f>
        <v/>
      </c>
      <c r="AM14" s="26">
        <f>INDEX(Calib!$U$1:$U$13,$D14)+(AM13-INDEX(Calib!$U$1:$U$13,$D14))*(1-p_amort)+p_sh_conc*AF14</f>
        <v/>
      </c>
      <c r="AN14" s="26">
        <f>AL14/AE14</f>
        <v/>
      </c>
      <c r="AO14" s="26">
        <f>INDEX(Calib!$K$1:$K$13,$D14)+p_eta*MAX(0,AN14-INDEX(Calib!$AA$1:$AA$13,$D14))</f>
        <v/>
      </c>
      <c r="AP14" s="26">
        <f>(1-INDEX(Calib!$H$1:$H$13,$D14))*(1-p_alpha)*AC14+AI14</f>
        <v/>
      </c>
      <c r="AQ14" s="26">
        <f>(AE14/O14-1)*100</f>
        <v/>
      </c>
      <c r="AR14" s="26">
        <f>(AE14/AE2-1)*100</f>
        <v/>
      </c>
      <c r="AS14" s="26">
        <f>(O14/O2-1)*100</f>
        <v/>
      </c>
      <c r="AT14" s="26">
        <f>(AN14-X14)*100</f>
        <v/>
      </c>
      <c r="AU14" s="26">
        <f>(AP14/Z14-1)*100</f>
        <v/>
      </c>
      <c r="AV14" s="26">
        <f>(AI14-S14)*100</f>
        <v/>
      </c>
    </row>
    <row r="15">
      <c r="A15" s="25" t="inlineStr">
        <is>
          <t>KEN</t>
        </is>
      </c>
      <c r="B15" s="25" t="n">
        <v>2037</v>
      </c>
      <c r="C15" s="25" t="n">
        <v>13</v>
      </c>
      <c r="D15" s="25" t="n">
        <v>2</v>
      </c>
      <c r="E15" s="25">
        <f>IF(AND(p_dis_year&gt;0,B15=p_dis_year),1,0)</f>
        <v/>
      </c>
      <c r="F15" s="26">
        <f>IF(AND(p_dis_year&gt;0,B15&gt;=p_dis_year),1-p_eps_a*p_rho_a^(B15-p_dis_year),1)</f>
        <v/>
      </c>
      <c r="G15" s="26">
        <f>INDEX(Calib!$N$1:$N$13,$D15)*(1-p_rent_decline*MIN(1,C15/26))</f>
        <v/>
      </c>
      <c r="H15" s="26">
        <f>IF(C15=0,0,SUMIFS(dl_val,dl_iso,$A15,dl_ind,"pub_cap",dl_year,$B15)/100)</f>
        <v/>
      </c>
      <c r="I15" s="26">
        <f>IF(C15=0,0,SUMIFS(dl_val,dl_iso,$A15,dl_ind,"pub_spend",dl_year,$B15)/100)</f>
        <v/>
      </c>
      <c r="J15" s="26">
        <f>IF(C15=0,0,SUMIFS(dl_val,dl_iso,$A15,dl_ind,"rev",dl_year,$B15)/100)</f>
        <v/>
      </c>
      <c r="K15" s="26">
        <f>(1-p_delta_g)*K14*(1-p_eps_g*$E15)+INDEX(Calib!$E$1:$E$13,$D15)*(INDEX(Calib!$G$1:$G$13,$D15)+0*$H15)</f>
        <v/>
      </c>
      <c r="L15" s="26">
        <f>L14*(1-p_eps_k*$E15)+p_lambda_k*(N15-L14*(1-p_eps_k*$E15))</f>
        <v/>
      </c>
      <c r="M15" s="26">
        <f>INDEX(Calib!$R$1:$R$13,$D15)*$F15*(K14*(1-p_eps_g*$E15))^INDEX(Calib!$Q$1:$Q$13,$D15)*(L14*(1-p_eps_k*$E15))^p_alpha</f>
        <v/>
      </c>
      <c r="N15" s="26">
        <f>p_alpha*(1-INDEX(Calib!$H$1:$H$13,$D15))*M15/(INDEX(Calib!$K$1:$K$13,$D15)+p_delta)</f>
        <v/>
      </c>
      <c r="O15" s="26">
        <f>M15+$G15</f>
        <v/>
      </c>
      <c r="P15" s="26">
        <f>0*($H15+$I15)</f>
        <v/>
      </c>
      <c r="Q15" s="26">
        <f>INDEX(Calib!$I$1:$I$13,$D15)+p_sh_grant*P15</f>
        <v/>
      </c>
      <c r="R15" s="26">
        <f>INDEX(Calib!$H$1:$H$13,$D15)*M15+p_gov_take*$G15+Q15+0*p_pricing*$J15</f>
        <v/>
      </c>
      <c r="S15" s="26">
        <f>INDEX(Calib!$Y$1:$Y$13,$D15)-INDEX(Calib!$Z$1:$Z$13,$D15)*(V14/O14-INDEX(Calib!$AA$1:$AA$13,$D15))</f>
        <v/>
      </c>
      <c r="T15" s="26">
        <f>INDEX(Calib!$X$1:$X$13,$D15)+INDEX(Calib!$G$1:$G$13,$D15)+P15+S15-R15</f>
        <v/>
      </c>
      <c r="U15" s="26">
        <f>p_rk*W14+Y14*(V14-W14)</f>
        <v/>
      </c>
      <c r="V15" s="26">
        <f>V14+U15+T15</f>
        <v/>
      </c>
      <c r="W15" s="26">
        <f>INDEX(Calib!$U$1:$U$13,$D15)+(W14-INDEX(Calib!$U$1:$U$13,$D15))*(1-p_amort)+p_sh_conc*P15</f>
        <v/>
      </c>
      <c r="X15" s="26">
        <f>V15/O15</f>
        <v/>
      </c>
      <c r="Y15" s="26">
        <f>INDEX(Calib!$K$1:$K$13,$D15)+p_eta*MAX(0,X15-INDEX(Calib!$AA$1:$AA$13,$D15))</f>
        <v/>
      </c>
      <c r="Z15" s="26">
        <f>(1-INDEX(Calib!$H$1:$H$13,$D15))*(1-p_alpha)*M15+S15</f>
        <v/>
      </c>
      <c r="AA15" s="26">
        <f>(1-p_delta_g)*AA14*(1-p_eps_g*$E15)+INDEX(Calib!$E$1:$E$13,$D15)*(INDEX(Calib!$G$1:$G$13,$D15)+p_programme*$H15)</f>
        <v/>
      </c>
      <c r="AB15" s="26">
        <f>AB14*(1-p_eps_k*$E15)+p_lambda_k*(AD15-AB14*(1-p_eps_k*$E15))</f>
        <v/>
      </c>
      <c r="AC15" s="26">
        <f>INDEX(Calib!$R$1:$R$13,$D15)*$F15*(AA14*(1-p_eps_g*$E15))^INDEX(Calib!$Q$1:$Q$13,$D15)*(AB14*(1-p_eps_k*$E15))^p_alpha</f>
        <v/>
      </c>
      <c r="AD15" s="26">
        <f>p_alpha*(1-INDEX(Calib!$H$1:$H$13,$D15))*AC15/(INDEX(Calib!$K$1:$K$13,$D15)+p_delta)</f>
        <v/>
      </c>
      <c r="AE15" s="26">
        <f>AC15+$G15</f>
        <v/>
      </c>
      <c r="AF15" s="26">
        <f>p_programme*($H15+$I15)</f>
        <v/>
      </c>
      <c r="AG15" s="26">
        <f>INDEX(Calib!$I$1:$I$13,$D15)+p_sh_grant*AF15</f>
        <v/>
      </c>
      <c r="AH15" s="26">
        <f>INDEX(Calib!$H$1:$H$13,$D15)*AC15+p_gov_take*$G15+AG15+p_programme*p_pricing*$J15</f>
        <v/>
      </c>
      <c r="AI15" s="26">
        <f>INDEX(Calib!$Y$1:$Y$13,$D15)-INDEX(Calib!$Z$1:$Z$13,$D15)*(AL14/AE14-INDEX(Calib!$AA$1:$AA$13,$D15))</f>
        <v/>
      </c>
      <c r="AJ15" s="26">
        <f>INDEX(Calib!$X$1:$X$13,$D15)+INDEX(Calib!$G$1:$G$13,$D15)+AF15+AI15-AH15</f>
        <v/>
      </c>
      <c r="AK15" s="26">
        <f>p_rk*AM14+AO14*(AL14-AM14)</f>
        <v/>
      </c>
      <c r="AL15" s="26">
        <f>AL14+AK15+AJ15</f>
        <v/>
      </c>
      <c r="AM15" s="26">
        <f>INDEX(Calib!$U$1:$U$13,$D15)+(AM14-INDEX(Calib!$U$1:$U$13,$D15))*(1-p_amort)+p_sh_conc*AF15</f>
        <v/>
      </c>
      <c r="AN15" s="26">
        <f>AL15/AE15</f>
        <v/>
      </c>
      <c r="AO15" s="26">
        <f>INDEX(Calib!$K$1:$K$13,$D15)+p_eta*MAX(0,AN15-INDEX(Calib!$AA$1:$AA$13,$D15))</f>
        <v/>
      </c>
      <c r="AP15" s="26">
        <f>(1-INDEX(Calib!$H$1:$H$13,$D15))*(1-p_alpha)*AC15+AI15</f>
        <v/>
      </c>
      <c r="AQ15" s="26">
        <f>(AE15/O15-1)*100</f>
        <v/>
      </c>
      <c r="AR15" s="26">
        <f>(AE15/AE2-1)*100</f>
        <v/>
      </c>
      <c r="AS15" s="26">
        <f>(O15/O2-1)*100</f>
        <v/>
      </c>
      <c r="AT15" s="26">
        <f>(AN15-X15)*100</f>
        <v/>
      </c>
      <c r="AU15" s="26">
        <f>(AP15/Z15-1)*100</f>
        <v/>
      </c>
      <c r="AV15" s="26">
        <f>(AI15-S15)*100</f>
        <v/>
      </c>
    </row>
    <row r="16">
      <c r="A16" s="25" t="inlineStr">
        <is>
          <t>KEN</t>
        </is>
      </c>
      <c r="B16" s="25" t="n">
        <v>2038</v>
      </c>
      <c r="C16" s="25" t="n">
        <v>14</v>
      </c>
      <c r="D16" s="25" t="n">
        <v>2</v>
      </c>
      <c r="E16" s="25">
        <f>IF(AND(p_dis_year&gt;0,B16=p_dis_year),1,0)</f>
        <v/>
      </c>
      <c r="F16" s="26">
        <f>IF(AND(p_dis_year&gt;0,B16&gt;=p_dis_year),1-p_eps_a*p_rho_a^(B16-p_dis_year),1)</f>
        <v/>
      </c>
      <c r="G16" s="26">
        <f>INDEX(Calib!$N$1:$N$13,$D16)*(1-p_rent_decline*MIN(1,C16/26))</f>
        <v/>
      </c>
      <c r="H16" s="26">
        <f>IF(C16=0,0,SUMIFS(dl_val,dl_iso,$A16,dl_ind,"pub_cap",dl_year,$B16)/100)</f>
        <v/>
      </c>
      <c r="I16" s="26">
        <f>IF(C16=0,0,SUMIFS(dl_val,dl_iso,$A16,dl_ind,"pub_spend",dl_year,$B16)/100)</f>
        <v/>
      </c>
      <c r="J16" s="26">
        <f>IF(C16=0,0,SUMIFS(dl_val,dl_iso,$A16,dl_ind,"rev",dl_year,$B16)/100)</f>
        <v/>
      </c>
      <c r="K16" s="26">
        <f>(1-p_delta_g)*K15*(1-p_eps_g*$E16)+INDEX(Calib!$E$1:$E$13,$D16)*(INDEX(Calib!$G$1:$G$13,$D16)+0*$H16)</f>
        <v/>
      </c>
      <c r="L16" s="26">
        <f>L15*(1-p_eps_k*$E16)+p_lambda_k*(N16-L15*(1-p_eps_k*$E16))</f>
        <v/>
      </c>
      <c r="M16" s="26">
        <f>INDEX(Calib!$R$1:$R$13,$D16)*$F16*(K15*(1-p_eps_g*$E16))^INDEX(Calib!$Q$1:$Q$13,$D16)*(L15*(1-p_eps_k*$E16))^p_alpha</f>
        <v/>
      </c>
      <c r="N16" s="26">
        <f>p_alpha*(1-INDEX(Calib!$H$1:$H$13,$D16))*M16/(INDEX(Calib!$K$1:$K$13,$D16)+p_delta)</f>
        <v/>
      </c>
      <c r="O16" s="26">
        <f>M16+$G16</f>
        <v/>
      </c>
      <c r="P16" s="26">
        <f>0*($H16+$I16)</f>
        <v/>
      </c>
      <c r="Q16" s="26">
        <f>INDEX(Calib!$I$1:$I$13,$D16)+p_sh_grant*P16</f>
        <v/>
      </c>
      <c r="R16" s="26">
        <f>INDEX(Calib!$H$1:$H$13,$D16)*M16+p_gov_take*$G16+Q16+0*p_pricing*$J16</f>
        <v/>
      </c>
      <c r="S16" s="26">
        <f>INDEX(Calib!$Y$1:$Y$13,$D16)-INDEX(Calib!$Z$1:$Z$13,$D16)*(V15/O15-INDEX(Calib!$AA$1:$AA$13,$D16))</f>
        <v/>
      </c>
      <c r="T16" s="26">
        <f>INDEX(Calib!$X$1:$X$13,$D16)+INDEX(Calib!$G$1:$G$13,$D16)+P16+S16-R16</f>
        <v/>
      </c>
      <c r="U16" s="26">
        <f>p_rk*W15+Y15*(V15-W15)</f>
        <v/>
      </c>
      <c r="V16" s="26">
        <f>V15+U16+T16</f>
        <v/>
      </c>
      <c r="W16" s="26">
        <f>INDEX(Calib!$U$1:$U$13,$D16)+(W15-INDEX(Calib!$U$1:$U$13,$D16))*(1-p_amort)+p_sh_conc*P16</f>
        <v/>
      </c>
      <c r="X16" s="26">
        <f>V16/O16</f>
        <v/>
      </c>
      <c r="Y16" s="26">
        <f>INDEX(Calib!$K$1:$K$13,$D16)+p_eta*MAX(0,X16-INDEX(Calib!$AA$1:$AA$13,$D16))</f>
        <v/>
      </c>
      <c r="Z16" s="26">
        <f>(1-INDEX(Calib!$H$1:$H$13,$D16))*(1-p_alpha)*M16+S16</f>
        <v/>
      </c>
      <c r="AA16" s="26">
        <f>(1-p_delta_g)*AA15*(1-p_eps_g*$E16)+INDEX(Calib!$E$1:$E$13,$D16)*(INDEX(Calib!$G$1:$G$13,$D16)+p_programme*$H16)</f>
        <v/>
      </c>
      <c r="AB16" s="26">
        <f>AB15*(1-p_eps_k*$E16)+p_lambda_k*(AD16-AB15*(1-p_eps_k*$E16))</f>
        <v/>
      </c>
      <c r="AC16" s="26">
        <f>INDEX(Calib!$R$1:$R$13,$D16)*$F16*(AA15*(1-p_eps_g*$E16))^INDEX(Calib!$Q$1:$Q$13,$D16)*(AB15*(1-p_eps_k*$E16))^p_alpha</f>
        <v/>
      </c>
      <c r="AD16" s="26">
        <f>p_alpha*(1-INDEX(Calib!$H$1:$H$13,$D16))*AC16/(INDEX(Calib!$K$1:$K$13,$D16)+p_delta)</f>
        <v/>
      </c>
      <c r="AE16" s="26">
        <f>AC16+$G16</f>
        <v/>
      </c>
      <c r="AF16" s="26">
        <f>p_programme*($H16+$I16)</f>
        <v/>
      </c>
      <c r="AG16" s="26">
        <f>INDEX(Calib!$I$1:$I$13,$D16)+p_sh_grant*AF16</f>
        <v/>
      </c>
      <c r="AH16" s="26">
        <f>INDEX(Calib!$H$1:$H$13,$D16)*AC16+p_gov_take*$G16+AG16+p_programme*p_pricing*$J16</f>
        <v/>
      </c>
      <c r="AI16" s="26">
        <f>INDEX(Calib!$Y$1:$Y$13,$D16)-INDEX(Calib!$Z$1:$Z$13,$D16)*(AL15/AE15-INDEX(Calib!$AA$1:$AA$13,$D16))</f>
        <v/>
      </c>
      <c r="AJ16" s="26">
        <f>INDEX(Calib!$X$1:$X$13,$D16)+INDEX(Calib!$G$1:$G$13,$D16)+AF16+AI16-AH16</f>
        <v/>
      </c>
      <c r="AK16" s="26">
        <f>p_rk*AM15+AO15*(AL15-AM15)</f>
        <v/>
      </c>
      <c r="AL16" s="26">
        <f>AL15+AK16+AJ16</f>
        <v/>
      </c>
      <c r="AM16" s="26">
        <f>INDEX(Calib!$U$1:$U$13,$D16)+(AM15-INDEX(Calib!$U$1:$U$13,$D16))*(1-p_amort)+p_sh_conc*AF16</f>
        <v/>
      </c>
      <c r="AN16" s="26">
        <f>AL16/AE16</f>
        <v/>
      </c>
      <c r="AO16" s="26">
        <f>INDEX(Calib!$K$1:$K$13,$D16)+p_eta*MAX(0,AN16-INDEX(Calib!$AA$1:$AA$13,$D16))</f>
        <v/>
      </c>
      <c r="AP16" s="26">
        <f>(1-INDEX(Calib!$H$1:$H$13,$D16))*(1-p_alpha)*AC16+AI16</f>
        <v/>
      </c>
      <c r="AQ16" s="26">
        <f>(AE16/O16-1)*100</f>
        <v/>
      </c>
      <c r="AR16" s="26">
        <f>(AE16/AE2-1)*100</f>
        <v/>
      </c>
      <c r="AS16" s="26">
        <f>(O16/O2-1)*100</f>
        <v/>
      </c>
      <c r="AT16" s="26">
        <f>(AN16-X16)*100</f>
        <v/>
      </c>
      <c r="AU16" s="26">
        <f>(AP16/Z16-1)*100</f>
        <v/>
      </c>
      <c r="AV16" s="26">
        <f>(AI16-S16)*100</f>
        <v/>
      </c>
    </row>
    <row r="17">
      <c r="A17" s="25" t="inlineStr">
        <is>
          <t>KEN</t>
        </is>
      </c>
      <c r="B17" s="25" t="n">
        <v>2039</v>
      </c>
      <c r="C17" s="25" t="n">
        <v>15</v>
      </c>
      <c r="D17" s="25" t="n">
        <v>2</v>
      </c>
      <c r="E17" s="25">
        <f>IF(AND(p_dis_year&gt;0,B17=p_dis_year),1,0)</f>
        <v/>
      </c>
      <c r="F17" s="26">
        <f>IF(AND(p_dis_year&gt;0,B17&gt;=p_dis_year),1-p_eps_a*p_rho_a^(B17-p_dis_year),1)</f>
        <v/>
      </c>
      <c r="G17" s="26">
        <f>INDEX(Calib!$N$1:$N$13,$D17)*(1-p_rent_decline*MIN(1,C17/26))</f>
        <v/>
      </c>
      <c r="H17" s="26">
        <f>IF(C17=0,0,SUMIFS(dl_val,dl_iso,$A17,dl_ind,"pub_cap",dl_year,$B17)/100)</f>
        <v/>
      </c>
      <c r="I17" s="26">
        <f>IF(C17=0,0,SUMIFS(dl_val,dl_iso,$A17,dl_ind,"pub_spend",dl_year,$B17)/100)</f>
        <v/>
      </c>
      <c r="J17" s="26">
        <f>IF(C17=0,0,SUMIFS(dl_val,dl_iso,$A17,dl_ind,"rev",dl_year,$B17)/100)</f>
        <v/>
      </c>
      <c r="K17" s="26">
        <f>(1-p_delta_g)*K16*(1-p_eps_g*$E17)+INDEX(Calib!$E$1:$E$13,$D17)*(INDEX(Calib!$G$1:$G$13,$D17)+0*$H17)</f>
        <v/>
      </c>
      <c r="L17" s="26">
        <f>L16*(1-p_eps_k*$E17)+p_lambda_k*(N17-L16*(1-p_eps_k*$E17))</f>
        <v/>
      </c>
      <c r="M17" s="26">
        <f>INDEX(Calib!$R$1:$R$13,$D17)*$F17*(K16*(1-p_eps_g*$E17))^INDEX(Calib!$Q$1:$Q$13,$D17)*(L16*(1-p_eps_k*$E17))^p_alpha</f>
        <v/>
      </c>
      <c r="N17" s="26">
        <f>p_alpha*(1-INDEX(Calib!$H$1:$H$13,$D17))*M17/(INDEX(Calib!$K$1:$K$13,$D17)+p_delta)</f>
        <v/>
      </c>
      <c r="O17" s="26">
        <f>M17+$G17</f>
        <v/>
      </c>
      <c r="P17" s="26">
        <f>0*($H17+$I17)</f>
        <v/>
      </c>
      <c r="Q17" s="26">
        <f>INDEX(Calib!$I$1:$I$13,$D17)+p_sh_grant*P17</f>
        <v/>
      </c>
      <c r="R17" s="26">
        <f>INDEX(Calib!$H$1:$H$13,$D17)*M17+p_gov_take*$G17+Q17+0*p_pricing*$J17</f>
        <v/>
      </c>
      <c r="S17" s="26">
        <f>INDEX(Calib!$Y$1:$Y$13,$D17)-INDEX(Calib!$Z$1:$Z$13,$D17)*(V16/O16-INDEX(Calib!$AA$1:$AA$13,$D17))</f>
        <v/>
      </c>
      <c r="T17" s="26">
        <f>INDEX(Calib!$X$1:$X$13,$D17)+INDEX(Calib!$G$1:$G$13,$D17)+P17+S17-R17</f>
        <v/>
      </c>
      <c r="U17" s="26">
        <f>p_rk*W16+Y16*(V16-W16)</f>
        <v/>
      </c>
      <c r="V17" s="26">
        <f>V16+U17+T17</f>
        <v/>
      </c>
      <c r="W17" s="26">
        <f>INDEX(Calib!$U$1:$U$13,$D17)+(W16-INDEX(Calib!$U$1:$U$13,$D17))*(1-p_amort)+p_sh_conc*P17</f>
        <v/>
      </c>
      <c r="X17" s="26">
        <f>V17/O17</f>
        <v/>
      </c>
      <c r="Y17" s="26">
        <f>INDEX(Calib!$K$1:$K$13,$D17)+p_eta*MAX(0,X17-INDEX(Calib!$AA$1:$AA$13,$D17))</f>
        <v/>
      </c>
      <c r="Z17" s="26">
        <f>(1-INDEX(Calib!$H$1:$H$13,$D17))*(1-p_alpha)*M17+S17</f>
        <v/>
      </c>
      <c r="AA17" s="26">
        <f>(1-p_delta_g)*AA16*(1-p_eps_g*$E17)+INDEX(Calib!$E$1:$E$13,$D17)*(INDEX(Calib!$G$1:$G$13,$D17)+p_programme*$H17)</f>
        <v/>
      </c>
      <c r="AB17" s="26">
        <f>AB16*(1-p_eps_k*$E17)+p_lambda_k*(AD17-AB16*(1-p_eps_k*$E17))</f>
        <v/>
      </c>
      <c r="AC17" s="26">
        <f>INDEX(Calib!$R$1:$R$13,$D17)*$F17*(AA16*(1-p_eps_g*$E17))^INDEX(Calib!$Q$1:$Q$13,$D17)*(AB16*(1-p_eps_k*$E17))^p_alpha</f>
        <v/>
      </c>
      <c r="AD17" s="26">
        <f>p_alpha*(1-INDEX(Calib!$H$1:$H$13,$D17))*AC17/(INDEX(Calib!$K$1:$K$13,$D17)+p_delta)</f>
        <v/>
      </c>
      <c r="AE17" s="26">
        <f>AC17+$G17</f>
        <v/>
      </c>
      <c r="AF17" s="26">
        <f>p_programme*($H17+$I17)</f>
        <v/>
      </c>
      <c r="AG17" s="26">
        <f>INDEX(Calib!$I$1:$I$13,$D17)+p_sh_grant*AF17</f>
        <v/>
      </c>
      <c r="AH17" s="26">
        <f>INDEX(Calib!$H$1:$H$13,$D17)*AC17+p_gov_take*$G17+AG17+p_programme*p_pricing*$J17</f>
        <v/>
      </c>
      <c r="AI17" s="26">
        <f>INDEX(Calib!$Y$1:$Y$13,$D17)-INDEX(Calib!$Z$1:$Z$13,$D17)*(AL16/AE16-INDEX(Calib!$AA$1:$AA$13,$D17))</f>
        <v/>
      </c>
      <c r="AJ17" s="26">
        <f>INDEX(Calib!$X$1:$X$13,$D17)+INDEX(Calib!$G$1:$G$13,$D17)+AF17+AI17-AH17</f>
        <v/>
      </c>
      <c r="AK17" s="26">
        <f>p_rk*AM16+AO16*(AL16-AM16)</f>
        <v/>
      </c>
      <c r="AL17" s="26">
        <f>AL16+AK17+AJ17</f>
        <v/>
      </c>
      <c r="AM17" s="26">
        <f>INDEX(Calib!$U$1:$U$13,$D17)+(AM16-INDEX(Calib!$U$1:$U$13,$D17))*(1-p_amort)+p_sh_conc*AF17</f>
        <v/>
      </c>
      <c r="AN17" s="26">
        <f>AL17/AE17</f>
        <v/>
      </c>
      <c r="AO17" s="26">
        <f>INDEX(Calib!$K$1:$K$13,$D17)+p_eta*MAX(0,AN17-INDEX(Calib!$AA$1:$AA$13,$D17))</f>
        <v/>
      </c>
      <c r="AP17" s="26">
        <f>(1-INDEX(Calib!$H$1:$H$13,$D17))*(1-p_alpha)*AC17+AI17</f>
        <v/>
      </c>
      <c r="AQ17" s="26">
        <f>(AE17/O17-1)*100</f>
        <v/>
      </c>
      <c r="AR17" s="26">
        <f>(AE17/AE2-1)*100</f>
        <v/>
      </c>
      <c r="AS17" s="26">
        <f>(O17/O2-1)*100</f>
        <v/>
      </c>
      <c r="AT17" s="26">
        <f>(AN17-X17)*100</f>
        <v/>
      </c>
      <c r="AU17" s="26">
        <f>(AP17/Z17-1)*100</f>
        <v/>
      </c>
      <c r="AV17" s="26">
        <f>(AI17-S17)*100</f>
        <v/>
      </c>
    </row>
    <row r="18">
      <c r="A18" s="25" t="inlineStr">
        <is>
          <t>KEN</t>
        </is>
      </c>
      <c r="B18" s="25" t="n">
        <v>2040</v>
      </c>
      <c r="C18" s="25" t="n">
        <v>16</v>
      </c>
      <c r="D18" s="25" t="n">
        <v>2</v>
      </c>
      <c r="E18" s="25">
        <f>IF(AND(p_dis_year&gt;0,B18=p_dis_year),1,0)</f>
        <v/>
      </c>
      <c r="F18" s="26">
        <f>IF(AND(p_dis_year&gt;0,B18&gt;=p_dis_year),1-p_eps_a*p_rho_a^(B18-p_dis_year),1)</f>
        <v/>
      </c>
      <c r="G18" s="26">
        <f>INDEX(Calib!$N$1:$N$13,$D18)*(1-p_rent_decline*MIN(1,C18/26))</f>
        <v/>
      </c>
      <c r="H18" s="26">
        <f>IF(C18=0,0,SUMIFS(dl_val,dl_iso,$A18,dl_ind,"pub_cap",dl_year,$B18)/100)</f>
        <v/>
      </c>
      <c r="I18" s="26">
        <f>IF(C18=0,0,SUMIFS(dl_val,dl_iso,$A18,dl_ind,"pub_spend",dl_year,$B18)/100)</f>
        <v/>
      </c>
      <c r="J18" s="26">
        <f>IF(C18=0,0,SUMIFS(dl_val,dl_iso,$A18,dl_ind,"rev",dl_year,$B18)/100)</f>
        <v/>
      </c>
      <c r="K18" s="26">
        <f>(1-p_delta_g)*K17*(1-p_eps_g*$E18)+INDEX(Calib!$E$1:$E$13,$D18)*(INDEX(Calib!$G$1:$G$13,$D18)+0*$H18)</f>
        <v/>
      </c>
      <c r="L18" s="26">
        <f>L17*(1-p_eps_k*$E18)+p_lambda_k*(N18-L17*(1-p_eps_k*$E18))</f>
        <v/>
      </c>
      <c r="M18" s="26">
        <f>INDEX(Calib!$R$1:$R$13,$D18)*$F18*(K17*(1-p_eps_g*$E18))^INDEX(Calib!$Q$1:$Q$13,$D18)*(L17*(1-p_eps_k*$E18))^p_alpha</f>
        <v/>
      </c>
      <c r="N18" s="26">
        <f>p_alpha*(1-INDEX(Calib!$H$1:$H$13,$D18))*M18/(INDEX(Calib!$K$1:$K$13,$D18)+p_delta)</f>
        <v/>
      </c>
      <c r="O18" s="26">
        <f>M18+$G18</f>
        <v/>
      </c>
      <c r="P18" s="26">
        <f>0*($H18+$I18)</f>
        <v/>
      </c>
      <c r="Q18" s="26">
        <f>INDEX(Calib!$I$1:$I$13,$D18)+p_sh_grant*P18</f>
        <v/>
      </c>
      <c r="R18" s="26">
        <f>INDEX(Calib!$H$1:$H$13,$D18)*M18+p_gov_take*$G18+Q18+0*p_pricing*$J18</f>
        <v/>
      </c>
      <c r="S18" s="26">
        <f>INDEX(Calib!$Y$1:$Y$13,$D18)-INDEX(Calib!$Z$1:$Z$13,$D18)*(V17/O17-INDEX(Calib!$AA$1:$AA$13,$D18))</f>
        <v/>
      </c>
      <c r="T18" s="26">
        <f>INDEX(Calib!$X$1:$X$13,$D18)+INDEX(Calib!$G$1:$G$13,$D18)+P18+S18-R18</f>
        <v/>
      </c>
      <c r="U18" s="26">
        <f>p_rk*W17+Y17*(V17-W17)</f>
        <v/>
      </c>
      <c r="V18" s="26">
        <f>V17+U18+T18</f>
        <v/>
      </c>
      <c r="W18" s="26">
        <f>INDEX(Calib!$U$1:$U$13,$D18)+(W17-INDEX(Calib!$U$1:$U$13,$D18))*(1-p_amort)+p_sh_conc*P18</f>
        <v/>
      </c>
      <c r="X18" s="26">
        <f>V18/O18</f>
        <v/>
      </c>
      <c r="Y18" s="26">
        <f>INDEX(Calib!$K$1:$K$13,$D18)+p_eta*MAX(0,X18-INDEX(Calib!$AA$1:$AA$13,$D18))</f>
        <v/>
      </c>
      <c r="Z18" s="26">
        <f>(1-INDEX(Calib!$H$1:$H$13,$D18))*(1-p_alpha)*M18+S18</f>
        <v/>
      </c>
      <c r="AA18" s="26">
        <f>(1-p_delta_g)*AA17*(1-p_eps_g*$E18)+INDEX(Calib!$E$1:$E$13,$D18)*(INDEX(Calib!$G$1:$G$13,$D18)+p_programme*$H18)</f>
        <v/>
      </c>
      <c r="AB18" s="26">
        <f>AB17*(1-p_eps_k*$E18)+p_lambda_k*(AD18-AB17*(1-p_eps_k*$E18))</f>
        <v/>
      </c>
      <c r="AC18" s="26">
        <f>INDEX(Calib!$R$1:$R$13,$D18)*$F18*(AA17*(1-p_eps_g*$E18))^INDEX(Calib!$Q$1:$Q$13,$D18)*(AB17*(1-p_eps_k*$E18))^p_alpha</f>
        <v/>
      </c>
      <c r="AD18" s="26">
        <f>p_alpha*(1-INDEX(Calib!$H$1:$H$13,$D18))*AC18/(INDEX(Calib!$K$1:$K$13,$D18)+p_delta)</f>
        <v/>
      </c>
      <c r="AE18" s="26">
        <f>AC18+$G18</f>
        <v/>
      </c>
      <c r="AF18" s="26">
        <f>p_programme*($H18+$I18)</f>
        <v/>
      </c>
      <c r="AG18" s="26">
        <f>INDEX(Calib!$I$1:$I$13,$D18)+p_sh_grant*AF18</f>
        <v/>
      </c>
      <c r="AH18" s="26">
        <f>INDEX(Calib!$H$1:$H$13,$D18)*AC18+p_gov_take*$G18+AG18+p_programme*p_pricing*$J18</f>
        <v/>
      </c>
      <c r="AI18" s="26">
        <f>INDEX(Calib!$Y$1:$Y$13,$D18)-INDEX(Calib!$Z$1:$Z$13,$D18)*(AL17/AE17-INDEX(Calib!$AA$1:$AA$13,$D18))</f>
        <v/>
      </c>
      <c r="AJ18" s="26">
        <f>INDEX(Calib!$X$1:$X$13,$D18)+INDEX(Calib!$G$1:$G$13,$D18)+AF18+AI18-AH18</f>
        <v/>
      </c>
      <c r="AK18" s="26">
        <f>p_rk*AM17+AO17*(AL17-AM17)</f>
        <v/>
      </c>
      <c r="AL18" s="26">
        <f>AL17+AK18+AJ18</f>
        <v/>
      </c>
      <c r="AM18" s="26">
        <f>INDEX(Calib!$U$1:$U$13,$D18)+(AM17-INDEX(Calib!$U$1:$U$13,$D18))*(1-p_amort)+p_sh_conc*AF18</f>
        <v/>
      </c>
      <c r="AN18" s="26">
        <f>AL18/AE18</f>
        <v/>
      </c>
      <c r="AO18" s="26">
        <f>INDEX(Calib!$K$1:$K$13,$D18)+p_eta*MAX(0,AN18-INDEX(Calib!$AA$1:$AA$13,$D18))</f>
        <v/>
      </c>
      <c r="AP18" s="26">
        <f>(1-INDEX(Calib!$H$1:$H$13,$D18))*(1-p_alpha)*AC18+AI18</f>
        <v/>
      </c>
      <c r="AQ18" s="26">
        <f>(AE18/O18-1)*100</f>
        <v/>
      </c>
      <c r="AR18" s="26">
        <f>(AE18/AE2-1)*100</f>
        <v/>
      </c>
      <c r="AS18" s="26">
        <f>(O18/O2-1)*100</f>
        <v/>
      </c>
      <c r="AT18" s="26">
        <f>(AN18-X18)*100</f>
        <v/>
      </c>
      <c r="AU18" s="26">
        <f>(AP18/Z18-1)*100</f>
        <v/>
      </c>
      <c r="AV18" s="26">
        <f>(AI18-S18)*100</f>
        <v/>
      </c>
    </row>
    <row r="19">
      <c r="A19" s="25" t="inlineStr">
        <is>
          <t>KEN</t>
        </is>
      </c>
      <c r="B19" s="25" t="n">
        <v>2041</v>
      </c>
      <c r="C19" s="25" t="n">
        <v>17</v>
      </c>
      <c r="D19" s="25" t="n">
        <v>2</v>
      </c>
      <c r="E19" s="25">
        <f>IF(AND(p_dis_year&gt;0,B19=p_dis_year),1,0)</f>
        <v/>
      </c>
      <c r="F19" s="26">
        <f>IF(AND(p_dis_year&gt;0,B19&gt;=p_dis_year),1-p_eps_a*p_rho_a^(B19-p_dis_year),1)</f>
        <v/>
      </c>
      <c r="G19" s="26">
        <f>INDEX(Calib!$N$1:$N$13,$D19)*(1-p_rent_decline*MIN(1,C19/26))</f>
        <v/>
      </c>
      <c r="H19" s="26">
        <f>IF(C19=0,0,SUMIFS(dl_val,dl_iso,$A19,dl_ind,"pub_cap",dl_year,$B19)/100)</f>
        <v/>
      </c>
      <c r="I19" s="26">
        <f>IF(C19=0,0,SUMIFS(dl_val,dl_iso,$A19,dl_ind,"pub_spend",dl_year,$B19)/100)</f>
        <v/>
      </c>
      <c r="J19" s="26">
        <f>IF(C19=0,0,SUMIFS(dl_val,dl_iso,$A19,dl_ind,"rev",dl_year,$B19)/100)</f>
        <v/>
      </c>
      <c r="K19" s="26">
        <f>(1-p_delta_g)*K18*(1-p_eps_g*$E19)+INDEX(Calib!$E$1:$E$13,$D19)*(INDEX(Calib!$G$1:$G$13,$D19)+0*$H19)</f>
        <v/>
      </c>
      <c r="L19" s="26">
        <f>L18*(1-p_eps_k*$E19)+p_lambda_k*(N19-L18*(1-p_eps_k*$E19))</f>
        <v/>
      </c>
      <c r="M19" s="26">
        <f>INDEX(Calib!$R$1:$R$13,$D19)*$F19*(K18*(1-p_eps_g*$E19))^INDEX(Calib!$Q$1:$Q$13,$D19)*(L18*(1-p_eps_k*$E19))^p_alpha</f>
        <v/>
      </c>
      <c r="N19" s="26">
        <f>p_alpha*(1-INDEX(Calib!$H$1:$H$13,$D19))*M19/(INDEX(Calib!$K$1:$K$13,$D19)+p_delta)</f>
        <v/>
      </c>
      <c r="O19" s="26">
        <f>M19+$G19</f>
        <v/>
      </c>
      <c r="P19" s="26">
        <f>0*($H19+$I19)</f>
        <v/>
      </c>
      <c r="Q19" s="26">
        <f>INDEX(Calib!$I$1:$I$13,$D19)+p_sh_grant*P19</f>
        <v/>
      </c>
      <c r="R19" s="26">
        <f>INDEX(Calib!$H$1:$H$13,$D19)*M19+p_gov_take*$G19+Q19+0*p_pricing*$J19</f>
        <v/>
      </c>
      <c r="S19" s="26">
        <f>INDEX(Calib!$Y$1:$Y$13,$D19)-INDEX(Calib!$Z$1:$Z$13,$D19)*(V18/O18-INDEX(Calib!$AA$1:$AA$13,$D19))</f>
        <v/>
      </c>
      <c r="T19" s="26">
        <f>INDEX(Calib!$X$1:$X$13,$D19)+INDEX(Calib!$G$1:$G$13,$D19)+P19+S19-R19</f>
        <v/>
      </c>
      <c r="U19" s="26">
        <f>p_rk*W18+Y18*(V18-W18)</f>
        <v/>
      </c>
      <c r="V19" s="26">
        <f>V18+U19+T19</f>
        <v/>
      </c>
      <c r="W19" s="26">
        <f>INDEX(Calib!$U$1:$U$13,$D19)+(W18-INDEX(Calib!$U$1:$U$13,$D19))*(1-p_amort)+p_sh_conc*P19</f>
        <v/>
      </c>
      <c r="X19" s="26">
        <f>V19/O19</f>
        <v/>
      </c>
      <c r="Y19" s="26">
        <f>INDEX(Calib!$K$1:$K$13,$D19)+p_eta*MAX(0,X19-INDEX(Calib!$AA$1:$AA$13,$D19))</f>
        <v/>
      </c>
      <c r="Z19" s="26">
        <f>(1-INDEX(Calib!$H$1:$H$13,$D19))*(1-p_alpha)*M19+S19</f>
        <v/>
      </c>
      <c r="AA19" s="26">
        <f>(1-p_delta_g)*AA18*(1-p_eps_g*$E19)+INDEX(Calib!$E$1:$E$13,$D19)*(INDEX(Calib!$G$1:$G$13,$D19)+p_programme*$H19)</f>
        <v/>
      </c>
      <c r="AB19" s="26">
        <f>AB18*(1-p_eps_k*$E19)+p_lambda_k*(AD19-AB18*(1-p_eps_k*$E19))</f>
        <v/>
      </c>
      <c r="AC19" s="26">
        <f>INDEX(Calib!$R$1:$R$13,$D19)*$F19*(AA18*(1-p_eps_g*$E19))^INDEX(Calib!$Q$1:$Q$13,$D19)*(AB18*(1-p_eps_k*$E19))^p_alpha</f>
        <v/>
      </c>
      <c r="AD19" s="26">
        <f>p_alpha*(1-INDEX(Calib!$H$1:$H$13,$D19))*AC19/(INDEX(Calib!$K$1:$K$13,$D19)+p_delta)</f>
        <v/>
      </c>
      <c r="AE19" s="26">
        <f>AC19+$G19</f>
        <v/>
      </c>
      <c r="AF19" s="26">
        <f>p_programme*($H19+$I19)</f>
        <v/>
      </c>
      <c r="AG19" s="26">
        <f>INDEX(Calib!$I$1:$I$13,$D19)+p_sh_grant*AF19</f>
        <v/>
      </c>
      <c r="AH19" s="26">
        <f>INDEX(Calib!$H$1:$H$13,$D19)*AC19+p_gov_take*$G19+AG19+p_programme*p_pricing*$J19</f>
        <v/>
      </c>
      <c r="AI19" s="26">
        <f>INDEX(Calib!$Y$1:$Y$13,$D19)-INDEX(Calib!$Z$1:$Z$13,$D19)*(AL18/AE18-INDEX(Calib!$AA$1:$AA$13,$D19))</f>
        <v/>
      </c>
      <c r="AJ19" s="26">
        <f>INDEX(Calib!$X$1:$X$13,$D19)+INDEX(Calib!$G$1:$G$13,$D19)+AF19+AI19-AH19</f>
        <v/>
      </c>
      <c r="AK19" s="26">
        <f>p_rk*AM18+AO18*(AL18-AM18)</f>
        <v/>
      </c>
      <c r="AL19" s="26">
        <f>AL18+AK19+AJ19</f>
        <v/>
      </c>
      <c r="AM19" s="26">
        <f>INDEX(Calib!$U$1:$U$13,$D19)+(AM18-INDEX(Calib!$U$1:$U$13,$D19))*(1-p_amort)+p_sh_conc*AF19</f>
        <v/>
      </c>
      <c r="AN19" s="26">
        <f>AL19/AE19</f>
        <v/>
      </c>
      <c r="AO19" s="26">
        <f>INDEX(Calib!$K$1:$K$13,$D19)+p_eta*MAX(0,AN19-INDEX(Calib!$AA$1:$AA$13,$D19))</f>
        <v/>
      </c>
      <c r="AP19" s="26">
        <f>(1-INDEX(Calib!$H$1:$H$13,$D19))*(1-p_alpha)*AC19+AI19</f>
        <v/>
      </c>
      <c r="AQ19" s="26">
        <f>(AE19/O19-1)*100</f>
        <v/>
      </c>
      <c r="AR19" s="26">
        <f>(AE19/AE2-1)*100</f>
        <v/>
      </c>
      <c r="AS19" s="26">
        <f>(O19/O2-1)*100</f>
        <v/>
      </c>
      <c r="AT19" s="26">
        <f>(AN19-X19)*100</f>
        <v/>
      </c>
      <c r="AU19" s="26">
        <f>(AP19/Z19-1)*100</f>
        <v/>
      </c>
      <c r="AV19" s="26">
        <f>(AI19-S19)*100</f>
        <v/>
      </c>
    </row>
    <row r="20">
      <c r="A20" s="25" t="inlineStr">
        <is>
          <t>KEN</t>
        </is>
      </c>
      <c r="B20" s="25" t="n">
        <v>2042</v>
      </c>
      <c r="C20" s="25" t="n">
        <v>18</v>
      </c>
      <c r="D20" s="25" t="n">
        <v>2</v>
      </c>
      <c r="E20" s="25">
        <f>IF(AND(p_dis_year&gt;0,B20=p_dis_year),1,0)</f>
        <v/>
      </c>
      <c r="F20" s="26">
        <f>IF(AND(p_dis_year&gt;0,B20&gt;=p_dis_year),1-p_eps_a*p_rho_a^(B20-p_dis_year),1)</f>
        <v/>
      </c>
      <c r="G20" s="26">
        <f>INDEX(Calib!$N$1:$N$13,$D20)*(1-p_rent_decline*MIN(1,C20/26))</f>
        <v/>
      </c>
      <c r="H20" s="26">
        <f>IF(C20=0,0,SUMIFS(dl_val,dl_iso,$A20,dl_ind,"pub_cap",dl_year,$B20)/100)</f>
        <v/>
      </c>
      <c r="I20" s="26">
        <f>IF(C20=0,0,SUMIFS(dl_val,dl_iso,$A20,dl_ind,"pub_spend",dl_year,$B20)/100)</f>
        <v/>
      </c>
      <c r="J20" s="26">
        <f>IF(C20=0,0,SUMIFS(dl_val,dl_iso,$A20,dl_ind,"rev",dl_year,$B20)/100)</f>
        <v/>
      </c>
      <c r="K20" s="26">
        <f>(1-p_delta_g)*K19*(1-p_eps_g*$E20)+INDEX(Calib!$E$1:$E$13,$D20)*(INDEX(Calib!$G$1:$G$13,$D20)+0*$H20)</f>
        <v/>
      </c>
      <c r="L20" s="26">
        <f>L19*(1-p_eps_k*$E20)+p_lambda_k*(N20-L19*(1-p_eps_k*$E20))</f>
        <v/>
      </c>
      <c r="M20" s="26">
        <f>INDEX(Calib!$R$1:$R$13,$D20)*$F20*(K19*(1-p_eps_g*$E20))^INDEX(Calib!$Q$1:$Q$13,$D20)*(L19*(1-p_eps_k*$E20))^p_alpha</f>
        <v/>
      </c>
      <c r="N20" s="26">
        <f>p_alpha*(1-INDEX(Calib!$H$1:$H$13,$D20))*M20/(INDEX(Calib!$K$1:$K$13,$D20)+p_delta)</f>
        <v/>
      </c>
      <c r="O20" s="26">
        <f>M20+$G20</f>
        <v/>
      </c>
      <c r="P20" s="26">
        <f>0*($H20+$I20)</f>
        <v/>
      </c>
      <c r="Q20" s="26">
        <f>INDEX(Calib!$I$1:$I$13,$D20)+p_sh_grant*P20</f>
        <v/>
      </c>
      <c r="R20" s="26">
        <f>INDEX(Calib!$H$1:$H$13,$D20)*M20+p_gov_take*$G20+Q20+0*p_pricing*$J20</f>
        <v/>
      </c>
      <c r="S20" s="26">
        <f>INDEX(Calib!$Y$1:$Y$13,$D20)-INDEX(Calib!$Z$1:$Z$13,$D20)*(V19/O19-INDEX(Calib!$AA$1:$AA$13,$D20))</f>
        <v/>
      </c>
      <c r="T20" s="26">
        <f>INDEX(Calib!$X$1:$X$13,$D20)+INDEX(Calib!$G$1:$G$13,$D20)+P20+S20-R20</f>
        <v/>
      </c>
      <c r="U20" s="26">
        <f>p_rk*W19+Y19*(V19-W19)</f>
        <v/>
      </c>
      <c r="V20" s="26">
        <f>V19+U20+T20</f>
        <v/>
      </c>
      <c r="W20" s="26">
        <f>INDEX(Calib!$U$1:$U$13,$D20)+(W19-INDEX(Calib!$U$1:$U$13,$D20))*(1-p_amort)+p_sh_conc*P20</f>
        <v/>
      </c>
      <c r="X20" s="26">
        <f>V20/O20</f>
        <v/>
      </c>
      <c r="Y20" s="26">
        <f>INDEX(Calib!$K$1:$K$13,$D20)+p_eta*MAX(0,X20-INDEX(Calib!$AA$1:$AA$13,$D20))</f>
        <v/>
      </c>
      <c r="Z20" s="26">
        <f>(1-INDEX(Calib!$H$1:$H$13,$D20))*(1-p_alpha)*M20+S20</f>
        <v/>
      </c>
      <c r="AA20" s="26">
        <f>(1-p_delta_g)*AA19*(1-p_eps_g*$E20)+INDEX(Calib!$E$1:$E$13,$D20)*(INDEX(Calib!$G$1:$G$13,$D20)+p_programme*$H20)</f>
        <v/>
      </c>
      <c r="AB20" s="26">
        <f>AB19*(1-p_eps_k*$E20)+p_lambda_k*(AD20-AB19*(1-p_eps_k*$E20))</f>
        <v/>
      </c>
      <c r="AC20" s="26">
        <f>INDEX(Calib!$R$1:$R$13,$D20)*$F20*(AA19*(1-p_eps_g*$E20))^INDEX(Calib!$Q$1:$Q$13,$D20)*(AB19*(1-p_eps_k*$E20))^p_alpha</f>
        <v/>
      </c>
      <c r="AD20" s="26">
        <f>p_alpha*(1-INDEX(Calib!$H$1:$H$13,$D20))*AC20/(INDEX(Calib!$K$1:$K$13,$D20)+p_delta)</f>
        <v/>
      </c>
      <c r="AE20" s="26">
        <f>AC20+$G20</f>
        <v/>
      </c>
      <c r="AF20" s="26">
        <f>p_programme*($H20+$I20)</f>
        <v/>
      </c>
      <c r="AG20" s="26">
        <f>INDEX(Calib!$I$1:$I$13,$D20)+p_sh_grant*AF20</f>
        <v/>
      </c>
      <c r="AH20" s="26">
        <f>INDEX(Calib!$H$1:$H$13,$D20)*AC20+p_gov_take*$G20+AG20+p_programme*p_pricing*$J20</f>
        <v/>
      </c>
      <c r="AI20" s="26">
        <f>INDEX(Calib!$Y$1:$Y$13,$D20)-INDEX(Calib!$Z$1:$Z$13,$D20)*(AL19/AE19-INDEX(Calib!$AA$1:$AA$13,$D20))</f>
        <v/>
      </c>
      <c r="AJ20" s="26">
        <f>INDEX(Calib!$X$1:$X$13,$D20)+INDEX(Calib!$G$1:$G$13,$D20)+AF20+AI20-AH20</f>
        <v/>
      </c>
      <c r="AK20" s="26">
        <f>p_rk*AM19+AO19*(AL19-AM19)</f>
        <v/>
      </c>
      <c r="AL20" s="26">
        <f>AL19+AK20+AJ20</f>
        <v/>
      </c>
      <c r="AM20" s="26">
        <f>INDEX(Calib!$U$1:$U$13,$D20)+(AM19-INDEX(Calib!$U$1:$U$13,$D20))*(1-p_amort)+p_sh_conc*AF20</f>
        <v/>
      </c>
      <c r="AN20" s="26">
        <f>AL20/AE20</f>
        <v/>
      </c>
      <c r="AO20" s="26">
        <f>INDEX(Calib!$K$1:$K$13,$D20)+p_eta*MAX(0,AN20-INDEX(Calib!$AA$1:$AA$13,$D20))</f>
        <v/>
      </c>
      <c r="AP20" s="26">
        <f>(1-INDEX(Calib!$H$1:$H$13,$D20))*(1-p_alpha)*AC20+AI20</f>
        <v/>
      </c>
      <c r="AQ20" s="26">
        <f>(AE20/O20-1)*100</f>
        <v/>
      </c>
      <c r="AR20" s="26">
        <f>(AE20/AE2-1)*100</f>
        <v/>
      </c>
      <c r="AS20" s="26">
        <f>(O20/O2-1)*100</f>
        <v/>
      </c>
      <c r="AT20" s="26">
        <f>(AN20-X20)*100</f>
        <v/>
      </c>
      <c r="AU20" s="26">
        <f>(AP20/Z20-1)*100</f>
        <v/>
      </c>
      <c r="AV20" s="26">
        <f>(AI20-S20)*100</f>
        <v/>
      </c>
    </row>
    <row r="21">
      <c r="A21" s="25" t="inlineStr">
        <is>
          <t>KEN</t>
        </is>
      </c>
      <c r="B21" s="25" t="n">
        <v>2043</v>
      </c>
      <c r="C21" s="25" t="n">
        <v>19</v>
      </c>
      <c r="D21" s="25" t="n">
        <v>2</v>
      </c>
      <c r="E21" s="25">
        <f>IF(AND(p_dis_year&gt;0,B21=p_dis_year),1,0)</f>
        <v/>
      </c>
      <c r="F21" s="26">
        <f>IF(AND(p_dis_year&gt;0,B21&gt;=p_dis_year),1-p_eps_a*p_rho_a^(B21-p_dis_year),1)</f>
        <v/>
      </c>
      <c r="G21" s="26">
        <f>INDEX(Calib!$N$1:$N$13,$D21)*(1-p_rent_decline*MIN(1,C21/26))</f>
        <v/>
      </c>
      <c r="H21" s="26">
        <f>IF(C21=0,0,SUMIFS(dl_val,dl_iso,$A21,dl_ind,"pub_cap",dl_year,$B21)/100)</f>
        <v/>
      </c>
      <c r="I21" s="26">
        <f>IF(C21=0,0,SUMIFS(dl_val,dl_iso,$A21,dl_ind,"pub_spend",dl_year,$B21)/100)</f>
        <v/>
      </c>
      <c r="J21" s="26">
        <f>IF(C21=0,0,SUMIFS(dl_val,dl_iso,$A21,dl_ind,"rev",dl_year,$B21)/100)</f>
        <v/>
      </c>
      <c r="K21" s="26">
        <f>(1-p_delta_g)*K20*(1-p_eps_g*$E21)+INDEX(Calib!$E$1:$E$13,$D21)*(INDEX(Calib!$G$1:$G$13,$D21)+0*$H21)</f>
        <v/>
      </c>
      <c r="L21" s="26">
        <f>L20*(1-p_eps_k*$E21)+p_lambda_k*(N21-L20*(1-p_eps_k*$E21))</f>
        <v/>
      </c>
      <c r="M21" s="26">
        <f>INDEX(Calib!$R$1:$R$13,$D21)*$F21*(K20*(1-p_eps_g*$E21))^INDEX(Calib!$Q$1:$Q$13,$D21)*(L20*(1-p_eps_k*$E21))^p_alpha</f>
        <v/>
      </c>
      <c r="N21" s="26">
        <f>p_alpha*(1-INDEX(Calib!$H$1:$H$13,$D21))*M21/(INDEX(Calib!$K$1:$K$13,$D21)+p_delta)</f>
        <v/>
      </c>
      <c r="O21" s="26">
        <f>M21+$G21</f>
        <v/>
      </c>
      <c r="P21" s="26">
        <f>0*($H21+$I21)</f>
        <v/>
      </c>
      <c r="Q21" s="26">
        <f>INDEX(Calib!$I$1:$I$13,$D21)+p_sh_grant*P21</f>
        <v/>
      </c>
      <c r="R21" s="26">
        <f>INDEX(Calib!$H$1:$H$13,$D21)*M21+p_gov_take*$G21+Q21+0*p_pricing*$J21</f>
        <v/>
      </c>
      <c r="S21" s="26">
        <f>INDEX(Calib!$Y$1:$Y$13,$D21)-INDEX(Calib!$Z$1:$Z$13,$D21)*(V20/O20-INDEX(Calib!$AA$1:$AA$13,$D21))</f>
        <v/>
      </c>
      <c r="T21" s="26">
        <f>INDEX(Calib!$X$1:$X$13,$D21)+INDEX(Calib!$G$1:$G$13,$D21)+P21+S21-R21</f>
        <v/>
      </c>
      <c r="U21" s="26">
        <f>p_rk*W20+Y20*(V20-W20)</f>
        <v/>
      </c>
      <c r="V21" s="26">
        <f>V20+U21+T21</f>
        <v/>
      </c>
      <c r="W21" s="26">
        <f>INDEX(Calib!$U$1:$U$13,$D21)+(W20-INDEX(Calib!$U$1:$U$13,$D21))*(1-p_amort)+p_sh_conc*P21</f>
        <v/>
      </c>
      <c r="X21" s="26">
        <f>V21/O21</f>
        <v/>
      </c>
      <c r="Y21" s="26">
        <f>INDEX(Calib!$K$1:$K$13,$D21)+p_eta*MAX(0,X21-INDEX(Calib!$AA$1:$AA$13,$D21))</f>
        <v/>
      </c>
      <c r="Z21" s="26">
        <f>(1-INDEX(Calib!$H$1:$H$13,$D21))*(1-p_alpha)*M21+S21</f>
        <v/>
      </c>
      <c r="AA21" s="26">
        <f>(1-p_delta_g)*AA20*(1-p_eps_g*$E21)+INDEX(Calib!$E$1:$E$13,$D21)*(INDEX(Calib!$G$1:$G$13,$D21)+p_programme*$H21)</f>
        <v/>
      </c>
      <c r="AB21" s="26">
        <f>AB20*(1-p_eps_k*$E21)+p_lambda_k*(AD21-AB20*(1-p_eps_k*$E21))</f>
        <v/>
      </c>
      <c r="AC21" s="26">
        <f>INDEX(Calib!$R$1:$R$13,$D21)*$F21*(AA20*(1-p_eps_g*$E21))^INDEX(Calib!$Q$1:$Q$13,$D21)*(AB20*(1-p_eps_k*$E21))^p_alpha</f>
        <v/>
      </c>
      <c r="AD21" s="26">
        <f>p_alpha*(1-INDEX(Calib!$H$1:$H$13,$D21))*AC21/(INDEX(Calib!$K$1:$K$13,$D21)+p_delta)</f>
        <v/>
      </c>
      <c r="AE21" s="26">
        <f>AC21+$G21</f>
        <v/>
      </c>
      <c r="AF21" s="26">
        <f>p_programme*($H21+$I21)</f>
        <v/>
      </c>
      <c r="AG21" s="26">
        <f>INDEX(Calib!$I$1:$I$13,$D21)+p_sh_grant*AF21</f>
        <v/>
      </c>
      <c r="AH21" s="26">
        <f>INDEX(Calib!$H$1:$H$13,$D21)*AC21+p_gov_take*$G21+AG21+p_programme*p_pricing*$J21</f>
        <v/>
      </c>
      <c r="AI21" s="26">
        <f>INDEX(Calib!$Y$1:$Y$13,$D21)-INDEX(Calib!$Z$1:$Z$13,$D21)*(AL20/AE20-INDEX(Calib!$AA$1:$AA$13,$D21))</f>
        <v/>
      </c>
      <c r="AJ21" s="26">
        <f>INDEX(Calib!$X$1:$X$13,$D21)+INDEX(Calib!$G$1:$G$13,$D21)+AF21+AI21-AH21</f>
        <v/>
      </c>
      <c r="AK21" s="26">
        <f>p_rk*AM20+AO20*(AL20-AM20)</f>
        <v/>
      </c>
      <c r="AL21" s="26">
        <f>AL20+AK21+AJ21</f>
        <v/>
      </c>
      <c r="AM21" s="26">
        <f>INDEX(Calib!$U$1:$U$13,$D21)+(AM20-INDEX(Calib!$U$1:$U$13,$D21))*(1-p_amort)+p_sh_conc*AF21</f>
        <v/>
      </c>
      <c r="AN21" s="26">
        <f>AL21/AE21</f>
        <v/>
      </c>
      <c r="AO21" s="26">
        <f>INDEX(Calib!$K$1:$K$13,$D21)+p_eta*MAX(0,AN21-INDEX(Calib!$AA$1:$AA$13,$D21))</f>
        <v/>
      </c>
      <c r="AP21" s="26">
        <f>(1-INDEX(Calib!$H$1:$H$13,$D21))*(1-p_alpha)*AC21+AI21</f>
        <v/>
      </c>
      <c r="AQ21" s="26">
        <f>(AE21/O21-1)*100</f>
        <v/>
      </c>
      <c r="AR21" s="26">
        <f>(AE21/AE2-1)*100</f>
        <v/>
      </c>
      <c r="AS21" s="26">
        <f>(O21/O2-1)*100</f>
        <v/>
      </c>
      <c r="AT21" s="26">
        <f>(AN21-X21)*100</f>
        <v/>
      </c>
      <c r="AU21" s="26">
        <f>(AP21/Z21-1)*100</f>
        <v/>
      </c>
      <c r="AV21" s="26">
        <f>(AI21-S21)*100</f>
        <v/>
      </c>
    </row>
    <row r="22">
      <c r="A22" s="25" t="inlineStr">
        <is>
          <t>KEN</t>
        </is>
      </c>
      <c r="B22" s="25" t="n">
        <v>2044</v>
      </c>
      <c r="C22" s="25" t="n">
        <v>20</v>
      </c>
      <c r="D22" s="25" t="n">
        <v>2</v>
      </c>
      <c r="E22" s="25">
        <f>IF(AND(p_dis_year&gt;0,B22=p_dis_year),1,0)</f>
        <v/>
      </c>
      <c r="F22" s="26">
        <f>IF(AND(p_dis_year&gt;0,B22&gt;=p_dis_year),1-p_eps_a*p_rho_a^(B22-p_dis_year),1)</f>
        <v/>
      </c>
      <c r="G22" s="26">
        <f>INDEX(Calib!$N$1:$N$13,$D22)*(1-p_rent_decline*MIN(1,C22/26))</f>
        <v/>
      </c>
      <c r="H22" s="26">
        <f>IF(C22=0,0,SUMIFS(dl_val,dl_iso,$A22,dl_ind,"pub_cap",dl_year,$B22)/100)</f>
        <v/>
      </c>
      <c r="I22" s="26">
        <f>IF(C22=0,0,SUMIFS(dl_val,dl_iso,$A22,dl_ind,"pub_spend",dl_year,$B22)/100)</f>
        <v/>
      </c>
      <c r="J22" s="26">
        <f>IF(C22=0,0,SUMIFS(dl_val,dl_iso,$A22,dl_ind,"rev",dl_year,$B22)/100)</f>
        <v/>
      </c>
      <c r="K22" s="26">
        <f>(1-p_delta_g)*K21*(1-p_eps_g*$E22)+INDEX(Calib!$E$1:$E$13,$D22)*(INDEX(Calib!$G$1:$G$13,$D22)+0*$H22)</f>
        <v/>
      </c>
      <c r="L22" s="26">
        <f>L21*(1-p_eps_k*$E22)+p_lambda_k*(N22-L21*(1-p_eps_k*$E22))</f>
        <v/>
      </c>
      <c r="M22" s="26">
        <f>INDEX(Calib!$R$1:$R$13,$D22)*$F22*(K21*(1-p_eps_g*$E22))^INDEX(Calib!$Q$1:$Q$13,$D22)*(L21*(1-p_eps_k*$E22))^p_alpha</f>
        <v/>
      </c>
      <c r="N22" s="26">
        <f>p_alpha*(1-INDEX(Calib!$H$1:$H$13,$D22))*M22/(INDEX(Calib!$K$1:$K$13,$D22)+p_delta)</f>
        <v/>
      </c>
      <c r="O22" s="26">
        <f>M22+$G22</f>
        <v/>
      </c>
      <c r="P22" s="26">
        <f>0*($H22+$I22)</f>
        <v/>
      </c>
      <c r="Q22" s="26">
        <f>INDEX(Calib!$I$1:$I$13,$D22)+p_sh_grant*P22</f>
        <v/>
      </c>
      <c r="R22" s="26">
        <f>INDEX(Calib!$H$1:$H$13,$D22)*M22+p_gov_take*$G22+Q22+0*p_pricing*$J22</f>
        <v/>
      </c>
      <c r="S22" s="26">
        <f>INDEX(Calib!$Y$1:$Y$13,$D22)-INDEX(Calib!$Z$1:$Z$13,$D22)*(V21/O21-INDEX(Calib!$AA$1:$AA$13,$D22))</f>
        <v/>
      </c>
      <c r="T22" s="26">
        <f>INDEX(Calib!$X$1:$X$13,$D22)+INDEX(Calib!$G$1:$G$13,$D22)+P22+S22-R22</f>
        <v/>
      </c>
      <c r="U22" s="26">
        <f>p_rk*W21+Y21*(V21-W21)</f>
        <v/>
      </c>
      <c r="V22" s="26">
        <f>V21+U22+T22</f>
        <v/>
      </c>
      <c r="W22" s="26">
        <f>INDEX(Calib!$U$1:$U$13,$D22)+(W21-INDEX(Calib!$U$1:$U$13,$D22))*(1-p_amort)+p_sh_conc*P22</f>
        <v/>
      </c>
      <c r="X22" s="26">
        <f>V22/O22</f>
        <v/>
      </c>
      <c r="Y22" s="26">
        <f>INDEX(Calib!$K$1:$K$13,$D22)+p_eta*MAX(0,X22-INDEX(Calib!$AA$1:$AA$13,$D22))</f>
        <v/>
      </c>
      <c r="Z22" s="26">
        <f>(1-INDEX(Calib!$H$1:$H$13,$D22))*(1-p_alpha)*M22+S22</f>
        <v/>
      </c>
      <c r="AA22" s="26">
        <f>(1-p_delta_g)*AA21*(1-p_eps_g*$E22)+INDEX(Calib!$E$1:$E$13,$D22)*(INDEX(Calib!$G$1:$G$13,$D22)+p_programme*$H22)</f>
        <v/>
      </c>
      <c r="AB22" s="26">
        <f>AB21*(1-p_eps_k*$E22)+p_lambda_k*(AD22-AB21*(1-p_eps_k*$E22))</f>
        <v/>
      </c>
      <c r="AC22" s="26">
        <f>INDEX(Calib!$R$1:$R$13,$D22)*$F22*(AA21*(1-p_eps_g*$E22))^INDEX(Calib!$Q$1:$Q$13,$D22)*(AB21*(1-p_eps_k*$E22))^p_alpha</f>
        <v/>
      </c>
      <c r="AD22" s="26">
        <f>p_alpha*(1-INDEX(Calib!$H$1:$H$13,$D22))*AC22/(INDEX(Calib!$K$1:$K$13,$D22)+p_delta)</f>
        <v/>
      </c>
      <c r="AE22" s="26">
        <f>AC22+$G22</f>
        <v/>
      </c>
      <c r="AF22" s="26">
        <f>p_programme*($H22+$I22)</f>
        <v/>
      </c>
      <c r="AG22" s="26">
        <f>INDEX(Calib!$I$1:$I$13,$D22)+p_sh_grant*AF22</f>
        <v/>
      </c>
      <c r="AH22" s="26">
        <f>INDEX(Calib!$H$1:$H$13,$D22)*AC22+p_gov_take*$G22+AG22+p_programme*p_pricing*$J22</f>
        <v/>
      </c>
      <c r="AI22" s="26">
        <f>INDEX(Calib!$Y$1:$Y$13,$D22)-INDEX(Calib!$Z$1:$Z$13,$D22)*(AL21/AE21-INDEX(Calib!$AA$1:$AA$13,$D22))</f>
        <v/>
      </c>
      <c r="AJ22" s="26">
        <f>INDEX(Calib!$X$1:$X$13,$D22)+INDEX(Calib!$G$1:$G$13,$D22)+AF22+AI22-AH22</f>
        <v/>
      </c>
      <c r="AK22" s="26">
        <f>p_rk*AM21+AO21*(AL21-AM21)</f>
        <v/>
      </c>
      <c r="AL22" s="26">
        <f>AL21+AK22+AJ22</f>
        <v/>
      </c>
      <c r="AM22" s="26">
        <f>INDEX(Calib!$U$1:$U$13,$D22)+(AM21-INDEX(Calib!$U$1:$U$13,$D22))*(1-p_amort)+p_sh_conc*AF22</f>
        <v/>
      </c>
      <c r="AN22" s="26">
        <f>AL22/AE22</f>
        <v/>
      </c>
      <c r="AO22" s="26">
        <f>INDEX(Calib!$K$1:$K$13,$D22)+p_eta*MAX(0,AN22-INDEX(Calib!$AA$1:$AA$13,$D22))</f>
        <v/>
      </c>
      <c r="AP22" s="26">
        <f>(1-INDEX(Calib!$H$1:$H$13,$D22))*(1-p_alpha)*AC22+AI22</f>
        <v/>
      </c>
      <c r="AQ22" s="26">
        <f>(AE22/O22-1)*100</f>
        <v/>
      </c>
      <c r="AR22" s="26">
        <f>(AE22/AE2-1)*100</f>
        <v/>
      </c>
      <c r="AS22" s="26">
        <f>(O22/O2-1)*100</f>
        <v/>
      </c>
      <c r="AT22" s="26">
        <f>(AN22-X22)*100</f>
        <v/>
      </c>
      <c r="AU22" s="26">
        <f>(AP22/Z22-1)*100</f>
        <v/>
      </c>
      <c r="AV22" s="26">
        <f>(AI22-S22)*100</f>
        <v/>
      </c>
    </row>
    <row r="23">
      <c r="A23" s="25" t="inlineStr">
        <is>
          <t>KEN</t>
        </is>
      </c>
      <c r="B23" s="25" t="n">
        <v>2045</v>
      </c>
      <c r="C23" s="25" t="n">
        <v>21</v>
      </c>
      <c r="D23" s="25" t="n">
        <v>2</v>
      </c>
      <c r="E23" s="25">
        <f>IF(AND(p_dis_year&gt;0,B23=p_dis_year),1,0)</f>
        <v/>
      </c>
      <c r="F23" s="26">
        <f>IF(AND(p_dis_year&gt;0,B23&gt;=p_dis_year),1-p_eps_a*p_rho_a^(B23-p_dis_year),1)</f>
        <v/>
      </c>
      <c r="G23" s="26">
        <f>INDEX(Calib!$N$1:$N$13,$D23)*(1-p_rent_decline*MIN(1,C23/26))</f>
        <v/>
      </c>
      <c r="H23" s="26">
        <f>IF(C23=0,0,SUMIFS(dl_val,dl_iso,$A23,dl_ind,"pub_cap",dl_year,$B23)/100)</f>
        <v/>
      </c>
      <c r="I23" s="26">
        <f>IF(C23=0,0,SUMIFS(dl_val,dl_iso,$A23,dl_ind,"pub_spend",dl_year,$B23)/100)</f>
        <v/>
      </c>
      <c r="J23" s="26">
        <f>IF(C23=0,0,SUMIFS(dl_val,dl_iso,$A23,dl_ind,"rev",dl_year,$B23)/100)</f>
        <v/>
      </c>
      <c r="K23" s="26">
        <f>(1-p_delta_g)*K22*(1-p_eps_g*$E23)+INDEX(Calib!$E$1:$E$13,$D23)*(INDEX(Calib!$G$1:$G$13,$D23)+0*$H23)</f>
        <v/>
      </c>
      <c r="L23" s="26">
        <f>L22*(1-p_eps_k*$E23)+p_lambda_k*(N23-L22*(1-p_eps_k*$E23))</f>
        <v/>
      </c>
      <c r="M23" s="26">
        <f>INDEX(Calib!$R$1:$R$13,$D23)*$F23*(K22*(1-p_eps_g*$E23))^INDEX(Calib!$Q$1:$Q$13,$D23)*(L22*(1-p_eps_k*$E23))^p_alpha</f>
        <v/>
      </c>
      <c r="N23" s="26">
        <f>p_alpha*(1-INDEX(Calib!$H$1:$H$13,$D23))*M23/(INDEX(Calib!$K$1:$K$13,$D23)+p_delta)</f>
        <v/>
      </c>
      <c r="O23" s="26">
        <f>M23+$G23</f>
        <v/>
      </c>
      <c r="P23" s="26">
        <f>0*($H23+$I23)</f>
        <v/>
      </c>
      <c r="Q23" s="26">
        <f>INDEX(Calib!$I$1:$I$13,$D23)+p_sh_grant*P23</f>
        <v/>
      </c>
      <c r="R23" s="26">
        <f>INDEX(Calib!$H$1:$H$13,$D23)*M23+p_gov_take*$G23+Q23+0*p_pricing*$J23</f>
        <v/>
      </c>
      <c r="S23" s="26">
        <f>INDEX(Calib!$Y$1:$Y$13,$D23)-INDEX(Calib!$Z$1:$Z$13,$D23)*(V22/O22-INDEX(Calib!$AA$1:$AA$13,$D23))</f>
        <v/>
      </c>
      <c r="T23" s="26">
        <f>INDEX(Calib!$X$1:$X$13,$D23)+INDEX(Calib!$G$1:$G$13,$D23)+P23+S23-R23</f>
        <v/>
      </c>
      <c r="U23" s="26">
        <f>p_rk*W22+Y22*(V22-W22)</f>
        <v/>
      </c>
      <c r="V23" s="26">
        <f>V22+U23+T23</f>
        <v/>
      </c>
      <c r="W23" s="26">
        <f>INDEX(Calib!$U$1:$U$13,$D23)+(W22-INDEX(Calib!$U$1:$U$13,$D23))*(1-p_amort)+p_sh_conc*P23</f>
        <v/>
      </c>
      <c r="X23" s="26">
        <f>V23/O23</f>
        <v/>
      </c>
      <c r="Y23" s="26">
        <f>INDEX(Calib!$K$1:$K$13,$D23)+p_eta*MAX(0,X23-INDEX(Calib!$AA$1:$AA$13,$D23))</f>
        <v/>
      </c>
      <c r="Z23" s="26">
        <f>(1-INDEX(Calib!$H$1:$H$13,$D23))*(1-p_alpha)*M23+S23</f>
        <v/>
      </c>
      <c r="AA23" s="26">
        <f>(1-p_delta_g)*AA22*(1-p_eps_g*$E23)+INDEX(Calib!$E$1:$E$13,$D23)*(INDEX(Calib!$G$1:$G$13,$D23)+p_programme*$H23)</f>
        <v/>
      </c>
      <c r="AB23" s="26">
        <f>AB22*(1-p_eps_k*$E23)+p_lambda_k*(AD23-AB22*(1-p_eps_k*$E23))</f>
        <v/>
      </c>
      <c r="AC23" s="26">
        <f>INDEX(Calib!$R$1:$R$13,$D23)*$F23*(AA22*(1-p_eps_g*$E23))^INDEX(Calib!$Q$1:$Q$13,$D23)*(AB22*(1-p_eps_k*$E23))^p_alpha</f>
        <v/>
      </c>
      <c r="AD23" s="26">
        <f>p_alpha*(1-INDEX(Calib!$H$1:$H$13,$D23))*AC23/(INDEX(Calib!$K$1:$K$13,$D23)+p_delta)</f>
        <v/>
      </c>
      <c r="AE23" s="26">
        <f>AC23+$G23</f>
        <v/>
      </c>
      <c r="AF23" s="26">
        <f>p_programme*($H23+$I23)</f>
        <v/>
      </c>
      <c r="AG23" s="26">
        <f>INDEX(Calib!$I$1:$I$13,$D23)+p_sh_grant*AF23</f>
        <v/>
      </c>
      <c r="AH23" s="26">
        <f>INDEX(Calib!$H$1:$H$13,$D23)*AC23+p_gov_take*$G23+AG23+p_programme*p_pricing*$J23</f>
        <v/>
      </c>
      <c r="AI23" s="26">
        <f>INDEX(Calib!$Y$1:$Y$13,$D23)-INDEX(Calib!$Z$1:$Z$13,$D23)*(AL22/AE22-INDEX(Calib!$AA$1:$AA$13,$D23))</f>
        <v/>
      </c>
      <c r="AJ23" s="26">
        <f>INDEX(Calib!$X$1:$X$13,$D23)+INDEX(Calib!$G$1:$G$13,$D23)+AF23+AI23-AH23</f>
        <v/>
      </c>
      <c r="AK23" s="26">
        <f>p_rk*AM22+AO22*(AL22-AM22)</f>
        <v/>
      </c>
      <c r="AL23" s="26">
        <f>AL22+AK23+AJ23</f>
        <v/>
      </c>
      <c r="AM23" s="26">
        <f>INDEX(Calib!$U$1:$U$13,$D23)+(AM22-INDEX(Calib!$U$1:$U$13,$D23))*(1-p_amort)+p_sh_conc*AF23</f>
        <v/>
      </c>
      <c r="AN23" s="26">
        <f>AL23/AE23</f>
        <v/>
      </c>
      <c r="AO23" s="26">
        <f>INDEX(Calib!$K$1:$K$13,$D23)+p_eta*MAX(0,AN23-INDEX(Calib!$AA$1:$AA$13,$D23))</f>
        <v/>
      </c>
      <c r="AP23" s="26">
        <f>(1-INDEX(Calib!$H$1:$H$13,$D23))*(1-p_alpha)*AC23+AI23</f>
        <v/>
      </c>
      <c r="AQ23" s="26">
        <f>(AE23/O23-1)*100</f>
        <v/>
      </c>
      <c r="AR23" s="26">
        <f>(AE23/AE2-1)*100</f>
        <v/>
      </c>
      <c r="AS23" s="26">
        <f>(O23/O2-1)*100</f>
        <v/>
      </c>
      <c r="AT23" s="26">
        <f>(AN23-X23)*100</f>
        <v/>
      </c>
      <c r="AU23" s="26">
        <f>(AP23/Z23-1)*100</f>
        <v/>
      </c>
      <c r="AV23" s="26">
        <f>(AI23-S23)*100</f>
        <v/>
      </c>
    </row>
    <row r="24">
      <c r="A24" s="25" t="inlineStr">
        <is>
          <t>KEN</t>
        </is>
      </c>
      <c r="B24" s="25" t="n">
        <v>2046</v>
      </c>
      <c r="C24" s="25" t="n">
        <v>22</v>
      </c>
      <c r="D24" s="25" t="n">
        <v>2</v>
      </c>
      <c r="E24" s="25">
        <f>IF(AND(p_dis_year&gt;0,B24=p_dis_year),1,0)</f>
        <v/>
      </c>
      <c r="F24" s="26">
        <f>IF(AND(p_dis_year&gt;0,B24&gt;=p_dis_year),1-p_eps_a*p_rho_a^(B24-p_dis_year),1)</f>
        <v/>
      </c>
      <c r="G24" s="26">
        <f>INDEX(Calib!$N$1:$N$13,$D24)*(1-p_rent_decline*MIN(1,C24/26))</f>
        <v/>
      </c>
      <c r="H24" s="26">
        <f>IF(C24=0,0,SUMIFS(dl_val,dl_iso,$A24,dl_ind,"pub_cap",dl_year,$B24)/100)</f>
        <v/>
      </c>
      <c r="I24" s="26">
        <f>IF(C24=0,0,SUMIFS(dl_val,dl_iso,$A24,dl_ind,"pub_spend",dl_year,$B24)/100)</f>
        <v/>
      </c>
      <c r="J24" s="26">
        <f>IF(C24=0,0,SUMIFS(dl_val,dl_iso,$A24,dl_ind,"rev",dl_year,$B24)/100)</f>
        <v/>
      </c>
      <c r="K24" s="26">
        <f>(1-p_delta_g)*K23*(1-p_eps_g*$E24)+INDEX(Calib!$E$1:$E$13,$D24)*(INDEX(Calib!$G$1:$G$13,$D24)+0*$H24)</f>
        <v/>
      </c>
      <c r="L24" s="26">
        <f>L23*(1-p_eps_k*$E24)+p_lambda_k*(N24-L23*(1-p_eps_k*$E24))</f>
        <v/>
      </c>
      <c r="M24" s="26">
        <f>INDEX(Calib!$R$1:$R$13,$D24)*$F24*(K23*(1-p_eps_g*$E24))^INDEX(Calib!$Q$1:$Q$13,$D24)*(L23*(1-p_eps_k*$E24))^p_alpha</f>
        <v/>
      </c>
      <c r="N24" s="26">
        <f>p_alpha*(1-INDEX(Calib!$H$1:$H$13,$D24))*M24/(INDEX(Calib!$K$1:$K$13,$D24)+p_delta)</f>
        <v/>
      </c>
      <c r="O24" s="26">
        <f>M24+$G24</f>
        <v/>
      </c>
      <c r="P24" s="26">
        <f>0*($H24+$I24)</f>
        <v/>
      </c>
      <c r="Q24" s="26">
        <f>INDEX(Calib!$I$1:$I$13,$D24)+p_sh_grant*P24</f>
        <v/>
      </c>
      <c r="R24" s="26">
        <f>INDEX(Calib!$H$1:$H$13,$D24)*M24+p_gov_take*$G24+Q24+0*p_pricing*$J24</f>
        <v/>
      </c>
      <c r="S24" s="26">
        <f>INDEX(Calib!$Y$1:$Y$13,$D24)-INDEX(Calib!$Z$1:$Z$13,$D24)*(V23/O23-INDEX(Calib!$AA$1:$AA$13,$D24))</f>
        <v/>
      </c>
      <c r="T24" s="26">
        <f>INDEX(Calib!$X$1:$X$13,$D24)+INDEX(Calib!$G$1:$G$13,$D24)+P24+S24-R24</f>
        <v/>
      </c>
      <c r="U24" s="26">
        <f>p_rk*W23+Y23*(V23-W23)</f>
        <v/>
      </c>
      <c r="V24" s="26">
        <f>V23+U24+T24</f>
        <v/>
      </c>
      <c r="W24" s="26">
        <f>INDEX(Calib!$U$1:$U$13,$D24)+(W23-INDEX(Calib!$U$1:$U$13,$D24))*(1-p_amort)+p_sh_conc*P24</f>
        <v/>
      </c>
      <c r="X24" s="26">
        <f>V24/O24</f>
        <v/>
      </c>
      <c r="Y24" s="26">
        <f>INDEX(Calib!$K$1:$K$13,$D24)+p_eta*MAX(0,X24-INDEX(Calib!$AA$1:$AA$13,$D24))</f>
        <v/>
      </c>
      <c r="Z24" s="26">
        <f>(1-INDEX(Calib!$H$1:$H$13,$D24))*(1-p_alpha)*M24+S24</f>
        <v/>
      </c>
      <c r="AA24" s="26">
        <f>(1-p_delta_g)*AA23*(1-p_eps_g*$E24)+INDEX(Calib!$E$1:$E$13,$D24)*(INDEX(Calib!$G$1:$G$13,$D24)+p_programme*$H24)</f>
        <v/>
      </c>
      <c r="AB24" s="26">
        <f>AB23*(1-p_eps_k*$E24)+p_lambda_k*(AD24-AB23*(1-p_eps_k*$E24))</f>
        <v/>
      </c>
      <c r="AC24" s="26">
        <f>INDEX(Calib!$R$1:$R$13,$D24)*$F24*(AA23*(1-p_eps_g*$E24))^INDEX(Calib!$Q$1:$Q$13,$D24)*(AB23*(1-p_eps_k*$E24))^p_alpha</f>
        <v/>
      </c>
      <c r="AD24" s="26">
        <f>p_alpha*(1-INDEX(Calib!$H$1:$H$13,$D24))*AC24/(INDEX(Calib!$K$1:$K$13,$D24)+p_delta)</f>
        <v/>
      </c>
      <c r="AE24" s="26">
        <f>AC24+$G24</f>
        <v/>
      </c>
      <c r="AF24" s="26">
        <f>p_programme*($H24+$I24)</f>
        <v/>
      </c>
      <c r="AG24" s="26">
        <f>INDEX(Calib!$I$1:$I$13,$D24)+p_sh_grant*AF24</f>
        <v/>
      </c>
      <c r="AH24" s="26">
        <f>INDEX(Calib!$H$1:$H$13,$D24)*AC24+p_gov_take*$G24+AG24+p_programme*p_pricing*$J24</f>
        <v/>
      </c>
      <c r="AI24" s="26">
        <f>INDEX(Calib!$Y$1:$Y$13,$D24)-INDEX(Calib!$Z$1:$Z$13,$D24)*(AL23/AE23-INDEX(Calib!$AA$1:$AA$13,$D24))</f>
        <v/>
      </c>
      <c r="AJ24" s="26">
        <f>INDEX(Calib!$X$1:$X$13,$D24)+INDEX(Calib!$G$1:$G$13,$D24)+AF24+AI24-AH24</f>
        <v/>
      </c>
      <c r="AK24" s="26">
        <f>p_rk*AM23+AO23*(AL23-AM23)</f>
        <v/>
      </c>
      <c r="AL24" s="26">
        <f>AL23+AK24+AJ24</f>
        <v/>
      </c>
      <c r="AM24" s="26">
        <f>INDEX(Calib!$U$1:$U$13,$D24)+(AM23-INDEX(Calib!$U$1:$U$13,$D24))*(1-p_amort)+p_sh_conc*AF24</f>
        <v/>
      </c>
      <c r="AN24" s="26">
        <f>AL24/AE24</f>
        <v/>
      </c>
      <c r="AO24" s="26">
        <f>INDEX(Calib!$K$1:$K$13,$D24)+p_eta*MAX(0,AN24-INDEX(Calib!$AA$1:$AA$13,$D24))</f>
        <v/>
      </c>
      <c r="AP24" s="26">
        <f>(1-INDEX(Calib!$H$1:$H$13,$D24))*(1-p_alpha)*AC24+AI24</f>
        <v/>
      </c>
      <c r="AQ24" s="26">
        <f>(AE24/O24-1)*100</f>
        <v/>
      </c>
      <c r="AR24" s="26">
        <f>(AE24/AE2-1)*100</f>
        <v/>
      </c>
      <c r="AS24" s="26">
        <f>(O24/O2-1)*100</f>
        <v/>
      </c>
      <c r="AT24" s="26">
        <f>(AN24-X24)*100</f>
        <v/>
      </c>
      <c r="AU24" s="26">
        <f>(AP24/Z24-1)*100</f>
        <v/>
      </c>
      <c r="AV24" s="26">
        <f>(AI24-S24)*100</f>
        <v/>
      </c>
    </row>
    <row r="25">
      <c r="A25" s="25" t="inlineStr">
        <is>
          <t>KEN</t>
        </is>
      </c>
      <c r="B25" s="25" t="n">
        <v>2047</v>
      </c>
      <c r="C25" s="25" t="n">
        <v>23</v>
      </c>
      <c r="D25" s="25" t="n">
        <v>2</v>
      </c>
      <c r="E25" s="25">
        <f>IF(AND(p_dis_year&gt;0,B25=p_dis_year),1,0)</f>
        <v/>
      </c>
      <c r="F25" s="26">
        <f>IF(AND(p_dis_year&gt;0,B25&gt;=p_dis_year),1-p_eps_a*p_rho_a^(B25-p_dis_year),1)</f>
        <v/>
      </c>
      <c r="G25" s="26">
        <f>INDEX(Calib!$N$1:$N$13,$D25)*(1-p_rent_decline*MIN(1,C25/26))</f>
        <v/>
      </c>
      <c r="H25" s="26">
        <f>IF(C25=0,0,SUMIFS(dl_val,dl_iso,$A25,dl_ind,"pub_cap",dl_year,$B25)/100)</f>
        <v/>
      </c>
      <c r="I25" s="26">
        <f>IF(C25=0,0,SUMIFS(dl_val,dl_iso,$A25,dl_ind,"pub_spend",dl_year,$B25)/100)</f>
        <v/>
      </c>
      <c r="J25" s="26">
        <f>IF(C25=0,0,SUMIFS(dl_val,dl_iso,$A25,dl_ind,"rev",dl_year,$B25)/100)</f>
        <v/>
      </c>
      <c r="K25" s="26">
        <f>(1-p_delta_g)*K24*(1-p_eps_g*$E25)+INDEX(Calib!$E$1:$E$13,$D25)*(INDEX(Calib!$G$1:$G$13,$D25)+0*$H25)</f>
        <v/>
      </c>
      <c r="L25" s="26">
        <f>L24*(1-p_eps_k*$E25)+p_lambda_k*(N25-L24*(1-p_eps_k*$E25))</f>
        <v/>
      </c>
      <c r="M25" s="26">
        <f>INDEX(Calib!$R$1:$R$13,$D25)*$F25*(K24*(1-p_eps_g*$E25))^INDEX(Calib!$Q$1:$Q$13,$D25)*(L24*(1-p_eps_k*$E25))^p_alpha</f>
        <v/>
      </c>
      <c r="N25" s="26">
        <f>p_alpha*(1-INDEX(Calib!$H$1:$H$13,$D25))*M25/(INDEX(Calib!$K$1:$K$13,$D25)+p_delta)</f>
        <v/>
      </c>
      <c r="O25" s="26">
        <f>M25+$G25</f>
        <v/>
      </c>
      <c r="P25" s="26">
        <f>0*($H25+$I25)</f>
        <v/>
      </c>
      <c r="Q25" s="26">
        <f>INDEX(Calib!$I$1:$I$13,$D25)+p_sh_grant*P25</f>
        <v/>
      </c>
      <c r="R25" s="26">
        <f>INDEX(Calib!$H$1:$H$13,$D25)*M25+p_gov_take*$G25+Q25+0*p_pricing*$J25</f>
        <v/>
      </c>
      <c r="S25" s="26">
        <f>INDEX(Calib!$Y$1:$Y$13,$D25)-INDEX(Calib!$Z$1:$Z$13,$D25)*(V24/O24-INDEX(Calib!$AA$1:$AA$13,$D25))</f>
        <v/>
      </c>
      <c r="T25" s="26">
        <f>INDEX(Calib!$X$1:$X$13,$D25)+INDEX(Calib!$G$1:$G$13,$D25)+P25+S25-R25</f>
        <v/>
      </c>
      <c r="U25" s="26">
        <f>p_rk*W24+Y24*(V24-W24)</f>
        <v/>
      </c>
      <c r="V25" s="26">
        <f>V24+U25+T25</f>
        <v/>
      </c>
      <c r="W25" s="26">
        <f>INDEX(Calib!$U$1:$U$13,$D25)+(W24-INDEX(Calib!$U$1:$U$13,$D25))*(1-p_amort)+p_sh_conc*P25</f>
        <v/>
      </c>
      <c r="X25" s="26">
        <f>V25/O25</f>
        <v/>
      </c>
      <c r="Y25" s="26">
        <f>INDEX(Calib!$K$1:$K$13,$D25)+p_eta*MAX(0,X25-INDEX(Calib!$AA$1:$AA$13,$D25))</f>
        <v/>
      </c>
      <c r="Z25" s="26">
        <f>(1-INDEX(Calib!$H$1:$H$13,$D25))*(1-p_alpha)*M25+S25</f>
        <v/>
      </c>
      <c r="AA25" s="26">
        <f>(1-p_delta_g)*AA24*(1-p_eps_g*$E25)+INDEX(Calib!$E$1:$E$13,$D25)*(INDEX(Calib!$G$1:$G$13,$D25)+p_programme*$H25)</f>
        <v/>
      </c>
      <c r="AB25" s="26">
        <f>AB24*(1-p_eps_k*$E25)+p_lambda_k*(AD25-AB24*(1-p_eps_k*$E25))</f>
        <v/>
      </c>
      <c r="AC25" s="26">
        <f>INDEX(Calib!$R$1:$R$13,$D25)*$F25*(AA24*(1-p_eps_g*$E25))^INDEX(Calib!$Q$1:$Q$13,$D25)*(AB24*(1-p_eps_k*$E25))^p_alpha</f>
        <v/>
      </c>
      <c r="AD25" s="26">
        <f>p_alpha*(1-INDEX(Calib!$H$1:$H$13,$D25))*AC25/(INDEX(Calib!$K$1:$K$13,$D25)+p_delta)</f>
        <v/>
      </c>
      <c r="AE25" s="26">
        <f>AC25+$G25</f>
        <v/>
      </c>
      <c r="AF25" s="26">
        <f>p_programme*($H25+$I25)</f>
        <v/>
      </c>
      <c r="AG25" s="26">
        <f>INDEX(Calib!$I$1:$I$13,$D25)+p_sh_grant*AF25</f>
        <v/>
      </c>
      <c r="AH25" s="26">
        <f>INDEX(Calib!$H$1:$H$13,$D25)*AC25+p_gov_take*$G25+AG25+p_programme*p_pricing*$J25</f>
        <v/>
      </c>
      <c r="AI25" s="26">
        <f>INDEX(Calib!$Y$1:$Y$13,$D25)-INDEX(Calib!$Z$1:$Z$13,$D25)*(AL24/AE24-INDEX(Calib!$AA$1:$AA$13,$D25))</f>
        <v/>
      </c>
      <c r="AJ25" s="26">
        <f>INDEX(Calib!$X$1:$X$13,$D25)+INDEX(Calib!$G$1:$G$13,$D25)+AF25+AI25-AH25</f>
        <v/>
      </c>
      <c r="AK25" s="26">
        <f>p_rk*AM24+AO24*(AL24-AM24)</f>
        <v/>
      </c>
      <c r="AL25" s="26">
        <f>AL24+AK25+AJ25</f>
        <v/>
      </c>
      <c r="AM25" s="26">
        <f>INDEX(Calib!$U$1:$U$13,$D25)+(AM24-INDEX(Calib!$U$1:$U$13,$D25))*(1-p_amort)+p_sh_conc*AF25</f>
        <v/>
      </c>
      <c r="AN25" s="26">
        <f>AL25/AE25</f>
        <v/>
      </c>
      <c r="AO25" s="26">
        <f>INDEX(Calib!$K$1:$K$13,$D25)+p_eta*MAX(0,AN25-INDEX(Calib!$AA$1:$AA$13,$D25))</f>
        <v/>
      </c>
      <c r="AP25" s="26">
        <f>(1-INDEX(Calib!$H$1:$H$13,$D25))*(1-p_alpha)*AC25+AI25</f>
        <v/>
      </c>
      <c r="AQ25" s="26">
        <f>(AE25/O25-1)*100</f>
        <v/>
      </c>
      <c r="AR25" s="26">
        <f>(AE25/AE2-1)*100</f>
        <v/>
      </c>
      <c r="AS25" s="26">
        <f>(O25/O2-1)*100</f>
        <v/>
      </c>
      <c r="AT25" s="26">
        <f>(AN25-X25)*100</f>
        <v/>
      </c>
      <c r="AU25" s="26">
        <f>(AP25/Z25-1)*100</f>
        <v/>
      </c>
      <c r="AV25" s="26">
        <f>(AI25-S25)*100</f>
        <v/>
      </c>
    </row>
    <row r="26">
      <c r="A26" s="25" t="inlineStr">
        <is>
          <t>KEN</t>
        </is>
      </c>
      <c r="B26" s="25" t="n">
        <v>2048</v>
      </c>
      <c r="C26" s="25" t="n">
        <v>24</v>
      </c>
      <c r="D26" s="25" t="n">
        <v>2</v>
      </c>
      <c r="E26" s="25">
        <f>IF(AND(p_dis_year&gt;0,B26=p_dis_year),1,0)</f>
        <v/>
      </c>
      <c r="F26" s="26">
        <f>IF(AND(p_dis_year&gt;0,B26&gt;=p_dis_year),1-p_eps_a*p_rho_a^(B26-p_dis_year),1)</f>
        <v/>
      </c>
      <c r="G26" s="26">
        <f>INDEX(Calib!$N$1:$N$13,$D26)*(1-p_rent_decline*MIN(1,C26/26))</f>
        <v/>
      </c>
      <c r="H26" s="26">
        <f>IF(C26=0,0,SUMIFS(dl_val,dl_iso,$A26,dl_ind,"pub_cap",dl_year,$B26)/100)</f>
        <v/>
      </c>
      <c r="I26" s="26">
        <f>IF(C26=0,0,SUMIFS(dl_val,dl_iso,$A26,dl_ind,"pub_spend",dl_year,$B26)/100)</f>
        <v/>
      </c>
      <c r="J26" s="26">
        <f>IF(C26=0,0,SUMIFS(dl_val,dl_iso,$A26,dl_ind,"rev",dl_year,$B26)/100)</f>
        <v/>
      </c>
      <c r="K26" s="26">
        <f>(1-p_delta_g)*K25*(1-p_eps_g*$E26)+INDEX(Calib!$E$1:$E$13,$D26)*(INDEX(Calib!$G$1:$G$13,$D26)+0*$H26)</f>
        <v/>
      </c>
      <c r="L26" s="26">
        <f>L25*(1-p_eps_k*$E26)+p_lambda_k*(N26-L25*(1-p_eps_k*$E26))</f>
        <v/>
      </c>
      <c r="M26" s="26">
        <f>INDEX(Calib!$R$1:$R$13,$D26)*$F26*(K25*(1-p_eps_g*$E26))^INDEX(Calib!$Q$1:$Q$13,$D26)*(L25*(1-p_eps_k*$E26))^p_alpha</f>
        <v/>
      </c>
      <c r="N26" s="26">
        <f>p_alpha*(1-INDEX(Calib!$H$1:$H$13,$D26))*M26/(INDEX(Calib!$K$1:$K$13,$D26)+p_delta)</f>
        <v/>
      </c>
      <c r="O26" s="26">
        <f>M26+$G26</f>
        <v/>
      </c>
      <c r="P26" s="26">
        <f>0*($H26+$I26)</f>
        <v/>
      </c>
      <c r="Q26" s="26">
        <f>INDEX(Calib!$I$1:$I$13,$D26)+p_sh_grant*P26</f>
        <v/>
      </c>
      <c r="R26" s="26">
        <f>INDEX(Calib!$H$1:$H$13,$D26)*M26+p_gov_take*$G26+Q26+0*p_pricing*$J26</f>
        <v/>
      </c>
      <c r="S26" s="26">
        <f>INDEX(Calib!$Y$1:$Y$13,$D26)-INDEX(Calib!$Z$1:$Z$13,$D26)*(V25/O25-INDEX(Calib!$AA$1:$AA$13,$D26))</f>
        <v/>
      </c>
      <c r="T26" s="26">
        <f>INDEX(Calib!$X$1:$X$13,$D26)+INDEX(Calib!$G$1:$G$13,$D26)+P26+S26-R26</f>
        <v/>
      </c>
      <c r="U26" s="26">
        <f>p_rk*W25+Y25*(V25-W25)</f>
        <v/>
      </c>
      <c r="V26" s="26">
        <f>V25+U26+T26</f>
        <v/>
      </c>
      <c r="W26" s="26">
        <f>INDEX(Calib!$U$1:$U$13,$D26)+(W25-INDEX(Calib!$U$1:$U$13,$D26))*(1-p_amort)+p_sh_conc*P26</f>
        <v/>
      </c>
      <c r="X26" s="26">
        <f>V26/O26</f>
        <v/>
      </c>
      <c r="Y26" s="26">
        <f>INDEX(Calib!$K$1:$K$13,$D26)+p_eta*MAX(0,X26-INDEX(Calib!$AA$1:$AA$13,$D26))</f>
        <v/>
      </c>
      <c r="Z26" s="26">
        <f>(1-INDEX(Calib!$H$1:$H$13,$D26))*(1-p_alpha)*M26+S26</f>
        <v/>
      </c>
      <c r="AA26" s="26">
        <f>(1-p_delta_g)*AA25*(1-p_eps_g*$E26)+INDEX(Calib!$E$1:$E$13,$D26)*(INDEX(Calib!$G$1:$G$13,$D26)+p_programme*$H26)</f>
        <v/>
      </c>
      <c r="AB26" s="26">
        <f>AB25*(1-p_eps_k*$E26)+p_lambda_k*(AD26-AB25*(1-p_eps_k*$E26))</f>
        <v/>
      </c>
      <c r="AC26" s="26">
        <f>INDEX(Calib!$R$1:$R$13,$D26)*$F26*(AA25*(1-p_eps_g*$E26))^INDEX(Calib!$Q$1:$Q$13,$D26)*(AB25*(1-p_eps_k*$E26))^p_alpha</f>
        <v/>
      </c>
      <c r="AD26" s="26">
        <f>p_alpha*(1-INDEX(Calib!$H$1:$H$13,$D26))*AC26/(INDEX(Calib!$K$1:$K$13,$D26)+p_delta)</f>
        <v/>
      </c>
      <c r="AE26" s="26">
        <f>AC26+$G26</f>
        <v/>
      </c>
      <c r="AF26" s="26">
        <f>p_programme*($H26+$I26)</f>
        <v/>
      </c>
      <c r="AG26" s="26">
        <f>INDEX(Calib!$I$1:$I$13,$D26)+p_sh_grant*AF26</f>
        <v/>
      </c>
      <c r="AH26" s="26">
        <f>INDEX(Calib!$H$1:$H$13,$D26)*AC26+p_gov_take*$G26+AG26+p_programme*p_pricing*$J26</f>
        <v/>
      </c>
      <c r="AI26" s="26">
        <f>INDEX(Calib!$Y$1:$Y$13,$D26)-INDEX(Calib!$Z$1:$Z$13,$D26)*(AL25/AE25-INDEX(Calib!$AA$1:$AA$13,$D26))</f>
        <v/>
      </c>
      <c r="AJ26" s="26">
        <f>INDEX(Calib!$X$1:$X$13,$D26)+INDEX(Calib!$G$1:$G$13,$D26)+AF26+AI26-AH26</f>
        <v/>
      </c>
      <c r="AK26" s="26">
        <f>p_rk*AM25+AO25*(AL25-AM25)</f>
        <v/>
      </c>
      <c r="AL26" s="26">
        <f>AL25+AK26+AJ26</f>
        <v/>
      </c>
      <c r="AM26" s="26">
        <f>INDEX(Calib!$U$1:$U$13,$D26)+(AM25-INDEX(Calib!$U$1:$U$13,$D26))*(1-p_amort)+p_sh_conc*AF26</f>
        <v/>
      </c>
      <c r="AN26" s="26">
        <f>AL26/AE26</f>
        <v/>
      </c>
      <c r="AO26" s="26">
        <f>INDEX(Calib!$K$1:$K$13,$D26)+p_eta*MAX(0,AN26-INDEX(Calib!$AA$1:$AA$13,$D26))</f>
        <v/>
      </c>
      <c r="AP26" s="26">
        <f>(1-INDEX(Calib!$H$1:$H$13,$D26))*(1-p_alpha)*AC26+AI26</f>
        <v/>
      </c>
      <c r="AQ26" s="26">
        <f>(AE26/O26-1)*100</f>
        <v/>
      </c>
      <c r="AR26" s="26">
        <f>(AE26/AE2-1)*100</f>
        <v/>
      </c>
      <c r="AS26" s="26">
        <f>(O26/O2-1)*100</f>
        <v/>
      </c>
      <c r="AT26" s="26">
        <f>(AN26-X26)*100</f>
        <v/>
      </c>
      <c r="AU26" s="26">
        <f>(AP26/Z26-1)*100</f>
        <v/>
      </c>
      <c r="AV26" s="26">
        <f>(AI26-S26)*100</f>
        <v/>
      </c>
    </row>
    <row r="27">
      <c r="A27" s="25" t="inlineStr">
        <is>
          <t>KEN</t>
        </is>
      </c>
      <c r="B27" s="25" t="n">
        <v>2049</v>
      </c>
      <c r="C27" s="25" t="n">
        <v>25</v>
      </c>
      <c r="D27" s="25" t="n">
        <v>2</v>
      </c>
      <c r="E27" s="25">
        <f>IF(AND(p_dis_year&gt;0,B27=p_dis_year),1,0)</f>
        <v/>
      </c>
      <c r="F27" s="26">
        <f>IF(AND(p_dis_year&gt;0,B27&gt;=p_dis_year),1-p_eps_a*p_rho_a^(B27-p_dis_year),1)</f>
        <v/>
      </c>
      <c r="G27" s="26">
        <f>INDEX(Calib!$N$1:$N$13,$D27)*(1-p_rent_decline*MIN(1,C27/26))</f>
        <v/>
      </c>
      <c r="H27" s="26">
        <f>IF(C27=0,0,SUMIFS(dl_val,dl_iso,$A27,dl_ind,"pub_cap",dl_year,$B27)/100)</f>
        <v/>
      </c>
      <c r="I27" s="26">
        <f>IF(C27=0,0,SUMIFS(dl_val,dl_iso,$A27,dl_ind,"pub_spend",dl_year,$B27)/100)</f>
        <v/>
      </c>
      <c r="J27" s="26">
        <f>IF(C27=0,0,SUMIFS(dl_val,dl_iso,$A27,dl_ind,"rev",dl_year,$B27)/100)</f>
        <v/>
      </c>
      <c r="K27" s="26">
        <f>(1-p_delta_g)*K26*(1-p_eps_g*$E27)+INDEX(Calib!$E$1:$E$13,$D27)*(INDEX(Calib!$G$1:$G$13,$D27)+0*$H27)</f>
        <v/>
      </c>
      <c r="L27" s="26">
        <f>L26*(1-p_eps_k*$E27)+p_lambda_k*(N27-L26*(1-p_eps_k*$E27))</f>
        <v/>
      </c>
      <c r="M27" s="26">
        <f>INDEX(Calib!$R$1:$R$13,$D27)*$F27*(K26*(1-p_eps_g*$E27))^INDEX(Calib!$Q$1:$Q$13,$D27)*(L26*(1-p_eps_k*$E27))^p_alpha</f>
        <v/>
      </c>
      <c r="N27" s="26">
        <f>p_alpha*(1-INDEX(Calib!$H$1:$H$13,$D27))*M27/(INDEX(Calib!$K$1:$K$13,$D27)+p_delta)</f>
        <v/>
      </c>
      <c r="O27" s="26">
        <f>M27+$G27</f>
        <v/>
      </c>
      <c r="P27" s="26">
        <f>0*($H27+$I27)</f>
        <v/>
      </c>
      <c r="Q27" s="26">
        <f>INDEX(Calib!$I$1:$I$13,$D27)+p_sh_grant*P27</f>
        <v/>
      </c>
      <c r="R27" s="26">
        <f>INDEX(Calib!$H$1:$H$13,$D27)*M27+p_gov_take*$G27+Q27+0*p_pricing*$J27</f>
        <v/>
      </c>
      <c r="S27" s="26">
        <f>INDEX(Calib!$Y$1:$Y$13,$D27)-INDEX(Calib!$Z$1:$Z$13,$D27)*(V26/O26-INDEX(Calib!$AA$1:$AA$13,$D27))</f>
        <v/>
      </c>
      <c r="T27" s="26">
        <f>INDEX(Calib!$X$1:$X$13,$D27)+INDEX(Calib!$G$1:$G$13,$D27)+P27+S27-R27</f>
        <v/>
      </c>
      <c r="U27" s="26">
        <f>p_rk*W26+Y26*(V26-W26)</f>
        <v/>
      </c>
      <c r="V27" s="26">
        <f>V26+U27+T27</f>
        <v/>
      </c>
      <c r="W27" s="26">
        <f>INDEX(Calib!$U$1:$U$13,$D27)+(W26-INDEX(Calib!$U$1:$U$13,$D27))*(1-p_amort)+p_sh_conc*P27</f>
        <v/>
      </c>
      <c r="X27" s="26">
        <f>V27/O27</f>
        <v/>
      </c>
      <c r="Y27" s="26">
        <f>INDEX(Calib!$K$1:$K$13,$D27)+p_eta*MAX(0,X27-INDEX(Calib!$AA$1:$AA$13,$D27))</f>
        <v/>
      </c>
      <c r="Z27" s="26">
        <f>(1-INDEX(Calib!$H$1:$H$13,$D27))*(1-p_alpha)*M27+S27</f>
        <v/>
      </c>
      <c r="AA27" s="26">
        <f>(1-p_delta_g)*AA26*(1-p_eps_g*$E27)+INDEX(Calib!$E$1:$E$13,$D27)*(INDEX(Calib!$G$1:$G$13,$D27)+p_programme*$H27)</f>
        <v/>
      </c>
      <c r="AB27" s="26">
        <f>AB26*(1-p_eps_k*$E27)+p_lambda_k*(AD27-AB26*(1-p_eps_k*$E27))</f>
        <v/>
      </c>
      <c r="AC27" s="26">
        <f>INDEX(Calib!$R$1:$R$13,$D27)*$F27*(AA26*(1-p_eps_g*$E27))^INDEX(Calib!$Q$1:$Q$13,$D27)*(AB26*(1-p_eps_k*$E27))^p_alpha</f>
        <v/>
      </c>
      <c r="AD27" s="26">
        <f>p_alpha*(1-INDEX(Calib!$H$1:$H$13,$D27))*AC27/(INDEX(Calib!$K$1:$K$13,$D27)+p_delta)</f>
        <v/>
      </c>
      <c r="AE27" s="26">
        <f>AC27+$G27</f>
        <v/>
      </c>
      <c r="AF27" s="26">
        <f>p_programme*($H27+$I27)</f>
        <v/>
      </c>
      <c r="AG27" s="26">
        <f>INDEX(Calib!$I$1:$I$13,$D27)+p_sh_grant*AF27</f>
        <v/>
      </c>
      <c r="AH27" s="26">
        <f>INDEX(Calib!$H$1:$H$13,$D27)*AC27+p_gov_take*$G27+AG27+p_programme*p_pricing*$J27</f>
        <v/>
      </c>
      <c r="AI27" s="26">
        <f>INDEX(Calib!$Y$1:$Y$13,$D27)-INDEX(Calib!$Z$1:$Z$13,$D27)*(AL26/AE26-INDEX(Calib!$AA$1:$AA$13,$D27))</f>
        <v/>
      </c>
      <c r="AJ27" s="26">
        <f>INDEX(Calib!$X$1:$X$13,$D27)+INDEX(Calib!$G$1:$G$13,$D27)+AF27+AI27-AH27</f>
        <v/>
      </c>
      <c r="AK27" s="26">
        <f>p_rk*AM26+AO26*(AL26-AM26)</f>
        <v/>
      </c>
      <c r="AL27" s="26">
        <f>AL26+AK27+AJ27</f>
        <v/>
      </c>
      <c r="AM27" s="26">
        <f>INDEX(Calib!$U$1:$U$13,$D27)+(AM26-INDEX(Calib!$U$1:$U$13,$D27))*(1-p_amort)+p_sh_conc*AF27</f>
        <v/>
      </c>
      <c r="AN27" s="26">
        <f>AL27/AE27</f>
        <v/>
      </c>
      <c r="AO27" s="26">
        <f>INDEX(Calib!$K$1:$K$13,$D27)+p_eta*MAX(0,AN27-INDEX(Calib!$AA$1:$AA$13,$D27))</f>
        <v/>
      </c>
      <c r="AP27" s="26">
        <f>(1-INDEX(Calib!$H$1:$H$13,$D27))*(1-p_alpha)*AC27+AI27</f>
        <v/>
      </c>
      <c r="AQ27" s="26">
        <f>(AE27/O27-1)*100</f>
        <v/>
      </c>
      <c r="AR27" s="26">
        <f>(AE27/AE2-1)*100</f>
        <v/>
      </c>
      <c r="AS27" s="26">
        <f>(O27/O2-1)*100</f>
        <v/>
      </c>
      <c r="AT27" s="26">
        <f>(AN27-X27)*100</f>
        <v/>
      </c>
      <c r="AU27" s="26">
        <f>(AP27/Z27-1)*100</f>
        <v/>
      </c>
      <c r="AV27" s="26">
        <f>(AI27-S27)*100</f>
        <v/>
      </c>
    </row>
    <row r="28">
      <c r="A28" s="25" t="inlineStr">
        <is>
          <t>KEN</t>
        </is>
      </c>
      <c r="B28" s="25" t="n">
        <v>2050</v>
      </c>
      <c r="C28" s="25" t="n">
        <v>26</v>
      </c>
      <c r="D28" s="25" t="n">
        <v>2</v>
      </c>
      <c r="E28" s="25">
        <f>IF(AND(p_dis_year&gt;0,B28=p_dis_year),1,0)</f>
        <v/>
      </c>
      <c r="F28" s="26">
        <f>IF(AND(p_dis_year&gt;0,B28&gt;=p_dis_year),1-p_eps_a*p_rho_a^(B28-p_dis_year),1)</f>
        <v/>
      </c>
      <c r="G28" s="26">
        <f>INDEX(Calib!$N$1:$N$13,$D28)*(1-p_rent_decline*MIN(1,C28/26))</f>
        <v/>
      </c>
      <c r="H28" s="26">
        <f>IF(C28=0,0,SUMIFS(dl_val,dl_iso,$A28,dl_ind,"pub_cap",dl_year,$B28)/100)</f>
        <v/>
      </c>
      <c r="I28" s="26">
        <f>IF(C28=0,0,SUMIFS(dl_val,dl_iso,$A28,dl_ind,"pub_spend",dl_year,$B28)/100)</f>
        <v/>
      </c>
      <c r="J28" s="26">
        <f>IF(C28=0,0,SUMIFS(dl_val,dl_iso,$A28,dl_ind,"rev",dl_year,$B28)/100)</f>
        <v/>
      </c>
      <c r="K28" s="26">
        <f>(1-p_delta_g)*K27*(1-p_eps_g*$E28)+INDEX(Calib!$E$1:$E$13,$D28)*(INDEX(Calib!$G$1:$G$13,$D28)+0*$H28)</f>
        <v/>
      </c>
      <c r="L28" s="26">
        <f>L27*(1-p_eps_k*$E28)+p_lambda_k*(N28-L27*(1-p_eps_k*$E28))</f>
        <v/>
      </c>
      <c r="M28" s="26">
        <f>INDEX(Calib!$R$1:$R$13,$D28)*$F28*(K27*(1-p_eps_g*$E28))^INDEX(Calib!$Q$1:$Q$13,$D28)*(L27*(1-p_eps_k*$E28))^p_alpha</f>
        <v/>
      </c>
      <c r="N28" s="26">
        <f>p_alpha*(1-INDEX(Calib!$H$1:$H$13,$D28))*M28/(INDEX(Calib!$K$1:$K$13,$D28)+p_delta)</f>
        <v/>
      </c>
      <c r="O28" s="26">
        <f>M28+$G28</f>
        <v/>
      </c>
      <c r="P28" s="26">
        <f>0*($H28+$I28)</f>
        <v/>
      </c>
      <c r="Q28" s="26">
        <f>INDEX(Calib!$I$1:$I$13,$D28)+p_sh_grant*P28</f>
        <v/>
      </c>
      <c r="R28" s="26">
        <f>INDEX(Calib!$H$1:$H$13,$D28)*M28+p_gov_take*$G28+Q28+0*p_pricing*$J28</f>
        <v/>
      </c>
      <c r="S28" s="26">
        <f>INDEX(Calib!$Y$1:$Y$13,$D28)-INDEX(Calib!$Z$1:$Z$13,$D28)*(V27/O27-INDEX(Calib!$AA$1:$AA$13,$D28))</f>
        <v/>
      </c>
      <c r="T28" s="26">
        <f>INDEX(Calib!$X$1:$X$13,$D28)+INDEX(Calib!$G$1:$G$13,$D28)+P28+S28-R28</f>
        <v/>
      </c>
      <c r="U28" s="26">
        <f>p_rk*W27+Y27*(V27-W27)</f>
        <v/>
      </c>
      <c r="V28" s="26">
        <f>V27+U28+T28</f>
        <v/>
      </c>
      <c r="W28" s="26">
        <f>INDEX(Calib!$U$1:$U$13,$D28)+(W27-INDEX(Calib!$U$1:$U$13,$D28))*(1-p_amort)+p_sh_conc*P28</f>
        <v/>
      </c>
      <c r="X28" s="26">
        <f>V28/O28</f>
        <v/>
      </c>
      <c r="Y28" s="26">
        <f>INDEX(Calib!$K$1:$K$13,$D28)+p_eta*MAX(0,X28-INDEX(Calib!$AA$1:$AA$13,$D28))</f>
        <v/>
      </c>
      <c r="Z28" s="26">
        <f>(1-INDEX(Calib!$H$1:$H$13,$D28))*(1-p_alpha)*M28+S28</f>
        <v/>
      </c>
      <c r="AA28" s="26">
        <f>(1-p_delta_g)*AA27*(1-p_eps_g*$E28)+INDEX(Calib!$E$1:$E$13,$D28)*(INDEX(Calib!$G$1:$G$13,$D28)+p_programme*$H28)</f>
        <v/>
      </c>
      <c r="AB28" s="26">
        <f>AB27*(1-p_eps_k*$E28)+p_lambda_k*(AD28-AB27*(1-p_eps_k*$E28))</f>
        <v/>
      </c>
      <c r="AC28" s="26">
        <f>INDEX(Calib!$R$1:$R$13,$D28)*$F28*(AA27*(1-p_eps_g*$E28))^INDEX(Calib!$Q$1:$Q$13,$D28)*(AB27*(1-p_eps_k*$E28))^p_alpha</f>
        <v/>
      </c>
      <c r="AD28" s="26">
        <f>p_alpha*(1-INDEX(Calib!$H$1:$H$13,$D28))*AC28/(INDEX(Calib!$K$1:$K$13,$D28)+p_delta)</f>
        <v/>
      </c>
      <c r="AE28" s="26">
        <f>AC28+$G28</f>
        <v/>
      </c>
      <c r="AF28" s="26">
        <f>p_programme*($H28+$I28)</f>
        <v/>
      </c>
      <c r="AG28" s="26">
        <f>INDEX(Calib!$I$1:$I$13,$D28)+p_sh_grant*AF28</f>
        <v/>
      </c>
      <c r="AH28" s="26">
        <f>INDEX(Calib!$H$1:$H$13,$D28)*AC28+p_gov_take*$G28+AG28+p_programme*p_pricing*$J28</f>
        <v/>
      </c>
      <c r="AI28" s="26">
        <f>INDEX(Calib!$Y$1:$Y$13,$D28)-INDEX(Calib!$Z$1:$Z$13,$D28)*(AL27/AE27-INDEX(Calib!$AA$1:$AA$13,$D28))</f>
        <v/>
      </c>
      <c r="AJ28" s="26">
        <f>INDEX(Calib!$X$1:$X$13,$D28)+INDEX(Calib!$G$1:$G$13,$D28)+AF28+AI28-AH28</f>
        <v/>
      </c>
      <c r="AK28" s="26">
        <f>p_rk*AM27+AO27*(AL27-AM27)</f>
        <v/>
      </c>
      <c r="AL28" s="26">
        <f>AL27+AK28+AJ28</f>
        <v/>
      </c>
      <c r="AM28" s="26">
        <f>INDEX(Calib!$U$1:$U$13,$D28)+(AM27-INDEX(Calib!$U$1:$U$13,$D28))*(1-p_amort)+p_sh_conc*AF28</f>
        <v/>
      </c>
      <c r="AN28" s="26">
        <f>AL28/AE28</f>
        <v/>
      </c>
      <c r="AO28" s="26">
        <f>INDEX(Calib!$K$1:$K$13,$D28)+p_eta*MAX(0,AN28-INDEX(Calib!$AA$1:$AA$13,$D28))</f>
        <v/>
      </c>
      <c r="AP28" s="26">
        <f>(1-INDEX(Calib!$H$1:$H$13,$D28))*(1-p_alpha)*AC28+AI28</f>
        <v/>
      </c>
      <c r="AQ28" s="26">
        <f>(AE28/O28-1)*100</f>
        <v/>
      </c>
      <c r="AR28" s="26">
        <f>(AE28/AE2-1)*100</f>
        <v/>
      </c>
      <c r="AS28" s="26">
        <f>(O28/O2-1)*100</f>
        <v/>
      </c>
      <c r="AT28" s="26">
        <f>(AN28-X28)*100</f>
        <v/>
      </c>
      <c r="AU28" s="26">
        <f>(AP28/Z28-1)*100</f>
        <v/>
      </c>
      <c r="AV28" s="26">
        <f>(AI28-S28)*100</f>
        <v/>
      </c>
    </row>
    <row r="29">
      <c r="A29" s="25" t="inlineStr">
        <is>
          <t>SLE</t>
        </is>
      </c>
      <c r="B29" s="25" t="n">
        <v>2024</v>
      </c>
      <c r="C29" s="25" t="n">
        <v>0</v>
      </c>
      <c r="D29" s="25" t="n">
        <v>3</v>
      </c>
      <c r="E29" s="25">
        <f>IF(AND(p_dis_year&gt;0,B29=p_dis_year),1,0)</f>
        <v/>
      </c>
      <c r="F29" s="26">
        <f>IF(AND(p_dis_year&gt;0,B29&gt;=p_dis_year),1-p_eps_a*p_rho_a^(B29-p_dis_year),1)</f>
        <v/>
      </c>
      <c r="G29" s="26">
        <f>INDEX(Calib!$N$1:$N$13,$D29)*(1-p_rent_decline*MIN(1,C29/26))</f>
        <v/>
      </c>
      <c r="H29" s="26">
        <f>IF(C29=0,0,SUMIFS(dl_val,dl_iso,$A29,dl_ind,"pub_cap",dl_year,$B29)/100)</f>
        <v/>
      </c>
      <c r="I29" s="26">
        <f>IF(C29=0,0,SUMIFS(dl_val,dl_iso,$A29,dl_ind,"pub_spend",dl_year,$B29)/100)</f>
        <v/>
      </c>
      <c r="J29" s="26">
        <f>IF(C29=0,0,SUMIFS(dl_val,dl_iso,$A29,dl_ind,"rev",dl_year,$B29)/100)</f>
        <v/>
      </c>
      <c r="K29" s="26">
        <f>INDEX(Calib!$P$1:$P$13,$D29)</f>
        <v/>
      </c>
      <c r="L29" s="26">
        <f>INDEX(Calib!$O$1:$O$13,$D29)</f>
        <v/>
      </c>
      <c r="M29" s="26">
        <f>1</f>
        <v/>
      </c>
      <c r="N29" s="26">
        <f>INDEX(Calib!$O$1:$O$13,$D29)</f>
        <v/>
      </c>
      <c r="O29" s="26">
        <f>INDEX(Calib!$S$1:$S$13,$D29)</f>
        <v/>
      </c>
      <c r="P29" s="26">
        <f>0</f>
        <v/>
      </c>
      <c r="Q29" s="26">
        <f>INDEX(Calib!$I$1:$I$13,$D29)</f>
        <v/>
      </c>
      <c r="R29" s="26">
        <f>INDEX(Calib!$W$1:$W$13,$D29)</f>
        <v/>
      </c>
      <c r="S29" s="26">
        <f>INDEX(Calib!$Y$1:$Y$13,$D29)</f>
        <v/>
      </c>
      <c r="T29" s="26">
        <f>-INDEX(Calib!$V$1:$V$13,$D29)</f>
        <v/>
      </c>
      <c r="U29" s="26">
        <f>INDEX(Calib!$V$1:$V$13,$D29)</f>
        <v/>
      </c>
      <c r="V29" s="26">
        <f>INDEX(Calib!$T$1:$T$13,$D29)</f>
        <v/>
      </c>
      <c r="W29" s="26">
        <f>INDEX(Calib!$U$1:$U$13,$D29)</f>
        <v/>
      </c>
      <c r="X29" s="26">
        <f>V29/O29</f>
        <v/>
      </c>
      <c r="Y29" s="26">
        <f>INDEX(Calib!$K$1:$K$13,$D29)</f>
        <v/>
      </c>
      <c r="Z29" s="26">
        <f>(1-INDEX(Calib!$H$1:$H$13,$D29))*(1-p_alpha)*M29+S29</f>
        <v/>
      </c>
      <c r="AA29" s="26">
        <f>INDEX(Calib!$P$1:$P$13,$D29)</f>
        <v/>
      </c>
      <c r="AB29" s="26">
        <f>INDEX(Calib!$O$1:$O$13,$D29)</f>
        <v/>
      </c>
      <c r="AC29" s="26">
        <f>1</f>
        <v/>
      </c>
      <c r="AD29" s="26">
        <f>INDEX(Calib!$O$1:$O$13,$D29)</f>
        <v/>
      </c>
      <c r="AE29" s="26">
        <f>INDEX(Calib!$S$1:$S$13,$D29)</f>
        <v/>
      </c>
      <c r="AF29" s="26">
        <f>0</f>
        <v/>
      </c>
      <c r="AG29" s="26">
        <f>INDEX(Calib!$I$1:$I$13,$D29)</f>
        <v/>
      </c>
      <c r="AH29" s="26">
        <f>INDEX(Calib!$W$1:$W$13,$D29)</f>
        <v/>
      </c>
      <c r="AI29" s="26">
        <f>INDEX(Calib!$Y$1:$Y$13,$D29)</f>
        <v/>
      </c>
      <c r="AJ29" s="26">
        <f>-INDEX(Calib!$V$1:$V$13,$D29)</f>
        <v/>
      </c>
      <c r="AK29" s="26">
        <f>INDEX(Calib!$V$1:$V$13,$D29)</f>
        <v/>
      </c>
      <c r="AL29" s="26">
        <f>INDEX(Calib!$T$1:$T$13,$D29)</f>
        <v/>
      </c>
      <c r="AM29" s="26">
        <f>INDEX(Calib!$U$1:$U$13,$D29)</f>
        <v/>
      </c>
      <c r="AN29" s="26">
        <f>AL29/AE29</f>
        <v/>
      </c>
      <c r="AO29" s="26">
        <f>INDEX(Calib!$K$1:$K$13,$D29)</f>
        <v/>
      </c>
      <c r="AP29" s="26">
        <f>(1-INDEX(Calib!$H$1:$H$13,$D29))*(1-p_alpha)*AC29+AI29</f>
        <v/>
      </c>
      <c r="AQ29" s="26">
        <f>(AE29/O29-1)*100</f>
        <v/>
      </c>
      <c r="AR29" s="26">
        <f>(AE29/AE29-1)*100</f>
        <v/>
      </c>
      <c r="AS29" s="26">
        <f>(O29/O29-1)*100</f>
        <v/>
      </c>
      <c r="AT29" s="26">
        <f>(AN29-X29)*100</f>
        <v/>
      </c>
      <c r="AU29" s="26">
        <f>(AP29/Z29-1)*100</f>
        <v/>
      </c>
      <c r="AV29" s="26">
        <f>(AI29-S29)*100</f>
        <v/>
      </c>
    </row>
    <row r="30">
      <c r="A30" s="25" t="inlineStr">
        <is>
          <t>SLE</t>
        </is>
      </c>
      <c r="B30" s="25" t="n">
        <v>2025</v>
      </c>
      <c r="C30" s="25" t="n">
        <v>1</v>
      </c>
      <c r="D30" s="25" t="n">
        <v>3</v>
      </c>
      <c r="E30" s="25">
        <f>IF(AND(p_dis_year&gt;0,B30=p_dis_year),1,0)</f>
        <v/>
      </c>
      <c r="F30" s="26">
        <f>IF(AND(p_dis_year&gt;0,B30&gt;=p_dis_year),1-p_eps_a*p_rho_a^(B30-p_dis_year),1)</f>
        <v/>
      </c>
      <c r="G30" s="26">
        <f>INDEX(Calib!$N$1:$N$13,$D30)*(1-p_rent_decline*MIN(1,C30/26))</f>
        <v/>
      </c>
      <c r="H30" s="26">
        <f>IF(C30=0,0,SUMIFS(dl_val,dl_iso,$A30,dl_ind,"pub_cap",dl_year,$B30)/100)</f>
        <v/>
      </c>
      <c r="I30" s="26">
        <f>IF(C30=0,0,SUMIFS(dl_val,dl_iso,$A30,dl_ind,"pub_spend",dl_year,$B30)/100)</f>
        <v/>
      </c>
      <c r="J30" s="26">
        <f>IF(C30=0,0,SUMIFS(dl_val,dl_iso,$A30,dl_ind,"rev",dl_year,$B30)/100)</f>
        <v/>
      </c>
      <c r="K30" s="26">
        <f>(1-p_delta_g)*K29*(1-p_eps_g*$E30)+INDEX(Calib!$E$1:$E$13,$D30)*(INDEX(Calib!$G$1:$G$13,$D30)+0*$H30)</f>
        <v/>
      </c>
      <c r="L30" s="26">
        <f>L29*(1-p_eps_k*$E30)+p_lambda_k*(N30-L29*(1-p_eps_k*$E30))</f>
        <v/>
      </c>
      <c r="M30" s="26">
        <f>INDEX(Calib!$R$1:$R$13,$D30)*$F30*(K29*(1-p_eps_g*$E30))^INDEX(Calib!$Q$1:$Q$13,$D30)*(L29*(1-p_eps_k*$E30))^p_alpha</f>
        <v/>
      </c>
      <c r="N30" s="26">
        <f>p_alpha*(1-INDEX(Calib!$H$1:$H$13,$D30))*M30/(INDEX(Calib!$K$1:$K$13,$D30)+p_delta)</f>
        <v/>
      </c>
      <c r="O30" s="26">
        <f>M30+$G30</f>
        <v/>
      </c>
      <c r="P30" s="26">
        <f>0*($H30+$I30)</f>
        <v/>
      </c>
      <c r="Q30" s="26">
        <f>INDEX(Calib!$I$1:$I$13,$D30)+p_sh_grant*P30</f>
        <v/>
      </c>
      <c r="R30" s="26">
        <f>INDEX(Calib!$H$1:$H$13,$D30)*M30+p_gov_take*$G30+Q30+0*p_pricing*$J30</f>
        <v/>
      </c>
      <c r="S30" s="26">
        <f>INDEX(Calib!$Y$1:$Y$13,$D30)-INDEX(Calib!$Z$1:$Z$13,$D30)*(V29/O29-INDEX(Calib!$AA$1:$AA$13,$D30))</f>
        <v/>
      </c>
      <c r="T30" s="26">
        <f>INDEX(Calib!$X$1:$X$13,$D30)+INDEX(Calib!$G$1:$G$13,$D30)+P30+S30-R30</f>
        <v/>
      </c>
      <c r="U30" s="26">
        <f>p_rk*W29+Y29*(V29-W29)</f>
        <v/>
      </c>
      <c r="V30" s="26">
        <f>V29+U30+T30</f>
        <v/>
      </c>
      <c r="W30" s="26">
        <f>INDEX(Calib!$U$1:$U$13,$D30)+(W29-INDEX(Calib!$U$1:$U$13,$D30))*(1-p_amort)+p_sh_conc*P30</f>
        <v/>
      </c>
      <c r="X30" s="26">
        <f>V30/O30</f>
        <v/>
      </c>
      <c r="Y30" s="26">
        <f>INDEX(Calib!$K$1:$K$13,$D30)+p_eta*MAX(0,X30-INDEX(Calib!$AA$1:$AA$13,$D30))</f>
        <v/>
      </c>
      <c r="Z30" s="26">
        <f>(1-INDEX(Calib!$H$1:$H$13,$D30))*(1-p_alpha)*M30+S30</f>
        <v/>
      </c>
      <c r="AA30" s="26">
        <f>(1-p_delta_g)*AA29*(1-p_eps_g*$E30)+INDEX(Calib!$E$1:$E$13,$D30)*(INDEX(Calib!$G$1:$G$13,$D30)+p_programme*$H30)</f>
        <v/>
      </c>
      <c r="AB30" s="26">
        <f>AB29*(1-p_eps_k*$E30)+p_lambda_k*(AD30-AB29*(1-p_eps_k*$E30))</f>
        <v/>
      </c>
      <c r="AC30" s="26">
        <f>INDEX(Calib!$R$1:$R$13,$D30)*$F30*(AA29*(1-p_eps_g*$E30))^INDEX(Calib!$Q$1:$Q$13,$D30)*(AB29*(1-p_eps_k*$E30))^p_alpha</f>
        <v/>
      </c>
      <c r="AD30" s="26">
        <f>p_alpha*(1-INDEX(Calib!$H$1:$H$13,$D30))*AC30/(INDEX(Calib!$K$1:$K$13,$D30)+p_delta)</f>
        <v/>
      </c>
      <c r="AE30" s="26">
        <f>AC30+$G30</f>
        <v/>
      </c>
      <c r="AF30" s="26">
        <f>p_programme*($H30+$I30)</f>
        <v/>
      </c>
      <c r="AG30" s="26">
        <f>INDEX(Calib!$I$1:$I$13,$D30)+p_sh_grant*AF30</f>
        <v/>
      </c>
      <c r="AH30" s="26">
        <f>INDEX(Calib!$H$1:$H$13,$D30)*AC30+p_gov_take*$G30+AG30+p_programme*p_pricing*$J30</f>
        <v/>
      </c>
      <c r="AI30" s="26">
        <f>INDEX(Calib!$Y$1:$Y$13,$D30)-INDEX(Calib!$Z$1:$Z$13,$D30)*(AL29/AE29-INDEX(Calib!$AA$1:$AA$13,$D30))</f>
        <v/>
      </c>
      <c r="AJ30" s="26">
        <f>INDEX(Calib!$X$1:$X$13,$D30)+INDEX(Calib!$G$1:$G$13,$D30)+AF30+AI30-AH30</f>
        <v/>
      </c>
      <c r="AK30" s="26">
        <f>p_rk*AM29+AO29*(AL29-AM29)</f>
        <v/>
      </c>
      <c r="AL30" s="26">
        <f>AL29+AK30+AJ30</f>
        <v/>
      </c>
      <c r="AM30" s="26">
        <f>INDEX(Calib!$U$1:$U$13,$D30)+(AM29-INDEX(Calib!$U$1:$U$13,$D30))*(1-p_amort)+p_sh_conc*AF30</f>
        <v/>
      </c>
      <c r="AN30" s="26">
        <f>AL30/AE30</f>
        <v/>
      </c>
      <c r="AO30" s="26">
        <f>INDEX(Calib!$K$1:$K$13,$D30)+p_eta*MAX(0,AN30-INDEX(Calib!$AA$1:$AA$13,$D30))</f>
        <v/>
      </c>
      <c r="AP30" s="26">
        <f>(1-INDEX(Calib!$H$1:$H$13,$D30))*(1-p_alpha)*AC30+AI30</f>
        <v/>
      </c>
      <c r="AQ30" s="26">
        <f>(AE30/O30-1)*100</f>
        <v/>
      </c>
      <c r="AR30" s="26">
        <f>(AE30/AE29-1)*100</f>
        <v/>
      </c>
      <c r="AS30" s="26">
        <f>(O30/O29-1)*100</f>
        <v/>
      </c>
      <c r="AT30" s="26">
        <f>(AN30-X30)*100</f>
        <v/>
      </c>
      <c r="AU30" s="26">
        <f>(AP30/Z30-1)*100</f>
        <v/>
      </c>
      <c r="AV30" s="26">
        <f>(AI30-S30)*100</f>
        <v/>
      </c>
    </row>
    <row r="31">
      <c r="A31" s="25" t="inlineStr">
        <is>
          <t>SLE</t>
        </is>
      </c>
      <c r="B31" s="25" t="n">
        <v>2026</v>
      </c>
      <c r="C31" s="25" t="n">
        <v>2</v>
      </c>
      <c r="D31" s="25" t="n">
        <v>3</v>
      </c>
      <c r="E31" s="25">
        <f>IF(AND(p_dis_year&gt;0,B31=p_dis_year),1,0)</f>
        <v/>
      </c>
      <c r="F31" s="26">
        <f>IF(AND(p_dis_year&gt;0,B31&gt;=p_dis_year),1-p_eps_a*p_rho_a^(B31-p_dis_year),1)</f>
        <v/>
      </c>
      <c r="G31" s="26">
        <f>INDEX(Calib!$N$1:$N$13,$D31)*(1-p_rent_decline*MIN(1,C31/26))</f>
        <v/>
      </c>
      <c r="H31" s="26">
        <f>IF(C31=0,0,SUMIFS(dl_val,dl_iso,$A31,dl_ind,"pub_cap",dl_year,$B31)/100)</f>
        <v/>
      </c>
      <c r="I31" s="26">
        <f>IF(C31=0,0,SUMIFS(dl_val,dl_iso,$A31,dl_ind,"pub_spend",dl_year,$B31)/100)</f>
        <v/>
      </c>
      <c r="J31" s="26">
        <f>IF(C31=0,0,SUMIFS(dl_val,dl_iso,$A31,dl_ind,"rev",dl_year,$B31)/100)</f>
        <v/>
      </c>
      <c r="K31" s="26">
        <f>(1-p_delta_g)*K30*(1-p_eps_g*$E31)+INDEX(Calib!$E$1:$E$13,$D31)*(INDEX(Calib!$G$1:$G$13,$D31)+0*$H31)</f>
        <v/>
      </c>
      <c r="L31" s="26">
        <f>L30*(1-p_eps_k*$E31)+p_lambda_k*(N31-L30*(1-p_eps_k*$E31))</f>
        <v/>
      </c>
      <c r="M31" s="26">
        <f>INDEX(Calib!$R$1:$R$13,$D31)*$F31*(K30*(1-p_eps_g*$E31))^INDEX(Calib!$Q$1:$Q$13,$D31)*(L30*(1-p_eps_k*$E31))^p_alpha</f>
        <v/>
      </c>
      <c r="N31" s="26">
        <f>p_alpha*(1-INDEX(Calib!$H$1:$H$13,$D31))*M31/(INDEX(Calib!$K$1:$K$13,$D31)+p_delta)</f>
        <v/>
      </c>
      <c r="O31" s="26">
        <f>M31+$G31</f>
        <v/>
      </c>
      <c r="P31" s="26">
        <f>0*($H31+$I31)</f>
        <v/>
      </c>
      <c r="Q31" s="26">
        <f>INDEX(Calib!$I$1:$I$13,$D31)+p_sh_grant*P31</f>
        <v/>
      </c>
      <c r="R31" s="26">
        <f>INDEX(Calib!$H$1:$H$13,$D31)*M31+p_gov_take*$G31+Q31+0*p_pricing*$J31</f>
        <v/>
      </c>
      <c r="S31" s="26">
        <f>INDEX(Calib!$Y$1:$Y$13,$D31)-INDEX(Calib!$Z$1:$Z$13,$D31)*(V30/O30-INDEX(Calib!$AA$1:$AA$13,$D31))</f>
        <v/>
      </c>
      <c r="T31" s="26">
        <f>INDEX(Calib!$X$1:$X$13,$D31)+INDEX(Calib!$G$1:$G$13,$D31)+P31+S31-R31</f>
        <v/>
      </c>
      <c r="U31" s="26">
        <f>p_rk*W30+Y30*(V30-W30)</f>
        <v/>
      </c>
      <c r="V31" s="26">
        <f>V30+U31+T31</f>
        <v/>
      </c>
      <c r="W31" s="26">
        <f>INDEX(Calib!$U$1:$U$13,$D31)+(W30-INDEX(Calib!$U$1:$U$13,$D31))*(1-p_amort)+p_sh_conc*P31</f>
        <v/>
      </c>
      <c r="X31" s="26">
        <f>V31/O31</f>
        <v/>
      </c>
      <c r="Y31" s="26">
        <f>INDEX(Calib!$K$1:$K$13,$D31)+p_eta*MAX(0,X31-INDEX(Calib!$AA$1:$AA$13,$D31))</f>
        <v/>
      </c>
      <c r="Z31" s="26">
        <f>(1-INDEX(Calib!$H$1:$H$13,$D31))*(1-p_alpha)*M31+S31</f>
        <v/>
      </c>
      <c r="AA31" s="26">
        <f>(1-p_delta_g)*AA30*(1-p_eps_g*$E31)+INDEX(Calib!$E$1:$E$13,$D31)*(INDEX(Calib!$G$1:$G$13,$D31)+p_programme*$H31)</f>
        <v/>
      </c>
      <c r="AB31" s="26">
        <f>AB30*(1-p_eps_k*$E31)+p_lambda_k*(AD31-AB30*(1-p_eps_k*$E31))</f>
        <v/>
      </c>
      <c r="AC31" s="26">
        <f>INDEX(Calib!$R$1:$R$13,$D31)*$F31*(AA30*(1-p_eps_g*$E31))^INDEX(Calib!$Q$1:$Q$13,$D31)*(AB30*(1-p_eps_k*$E31))^p_alpha</f>
        <v/>
      </c>
      <c r="AD31" s="26">
        <f>p_alpha*(1-INDEX(Calib!$H$1:$H$13,$D31))*AC31/(INDEX(Calib!$K$1:$K$13,$D31)+p_delta)</f>
        <v/>
      </c>
      <c r="AE31" s="26">
        <f>AC31+$G31</f>
        <v/>
      </c>
      <c r="AF31" s="26">
        <f>p_programme*($H31+$I31)</f>
        <v/>
      </c>
      <c r="AG31" s="26">
        <f>INDEX(Calib!$I$1:$I$13,$D31)+p_sh_grant*AF31</f>
        <v/>
      </c>
      <c r="AH31" s="26">
        <f>INDEX(Calib!$H$1:$H$13,$D31)*AC31+p_gov_take*$G31+AG31+p_programme*p_pricing*$J31</f>
        <v/>
      </c>
      <c r="AI31" s="26">
        <f>INDEX(Calib!$Y$1:$Y$13,$D31)-INDEX(Calib!$Z$1:$Z$13,$D31)*(AL30/AE30-INDEX(Calib!$AA$1:$AA$13,$D31))</f>
        <v/>
      </c>
      <c r="AJ31" s="26">
        <f>INDEX(Calib!$X$1:$X$13,$D31)+INDEX(Calib!$G$1:$G$13,$D31)+AF31+AI31-AH31</f>
        <v/>
      </c>
      <c r="AK31" s="26">
        <f>p_rk*AM30+AO30*(AL30-AM30)</f>
        <v/>
      </c>
      <c r="AL31" s="26">
        <f>AL30+AK31+AJ31</f>
        <v/>
      </c>
      <c r="AM31" s="26">
        <f>INDEX(Calib!$U$1:$U$13,$D31)+(AM30-INDEX(Calib!$U$1:$U$13,$D31))*(1-p_amort)+p_sh_conc*AF31</f>
        <v/>
      </c>
      <c r="AN31" s="26">
        <f>AL31/AE31</f>
        <v/>
      </c>
      <c r="AO31" s="26">
        <f>INDEX(Calib!$K$1:$K$13,$D31)+p_eta*MAX(0,AN31-INDEX(Calib!$AA$1:$AA$13,$D31))</f>
        <v/>
      </c>
      <c r="AP31" s="26">
        <f>(1-INDEX(Calib!$H$1:$H$13,$D31))*(1-p_alpha)*AC31+AI31</f>
        <v/>
      </c>
      <c r="AQ31" s="26">
        <f>(AE31/O31-1)*100</f>
        <v/>
      </c>
      <c r="AR31" s="26">
        <f>(AE31/AE29-1)*100</f>
        <v/>
      </c>
      <c r="AS31" s="26">
        <f>(O31/O29-1)*100</f>
        <v/>
      </c>
      <c r="AT31" s="26">
        <f>(AN31-X31)*100</f>
        <v/>
      </c>
      <c r="AU31" s="26">
        <f>(AP31/Z31-1)*100</f>
        <v/>
      </c>
      <c r="AV31" s="26">
        <f>(AI31-S31)*100</f>
        <v/>
      </c>
    </row>
    <row r="32">
      <c r="A32" s="25" t="inlineStr">
        <is>
          <t>SLE</t>
        </is>
      </c>
      <c r="B32" s="25" t="n">
        <v>2027</v>
      </c>
      <c r="C32" s="25" t="n">
        <v>3</v>
      </c>
      <c r="D32" s="25" t="n">
        <v>3</v>
      </c>
      <c r="E32" s="25">
        <f>IF(AND(p_dis_year&gt;0,B32=p_dis_year),1,0)</f>
        <v/>
      </c>
      <c r="F32" s="26">
        <f>IF(AND(p_dis_year&gt;0,B32&gt;=p_dis_year),1-p_eps_a*p_rho_a^(B32-p_dis_year),1)</f>
        <v/>
      </c>
      <c r="G32" s="26">
        <f>INDEX(Calib!$N$1:$N$13,$D32)*(1-p_rent_decline*MIN(1,C32/26))</f>
        <v/>
      </c>
      <c r="H32" s="26">
        <f>IF(C32=0,0,SUMIFS(dl_val,dl_iso,$A32,dl_ind,"pub_cap",dl_year,$B32)/100)</f>
        <v/>
      </c>
      <c r="I32" s="26">
        <f>IF(C32=0,0,SUMIFS(dl_val,dl_iso,$A32,dl_ind,"pub_spend",dl_year,$B32)/100)</f>
        <v/>
      </c>
      <c r="J32" s="26">
        <f>IF(C32=0,0,SUMIFS(dl_val,dl_iso,$A32,dl_ind,"rev",dl_year,$B32)/100)</f>
        <v/>
      </c>
      <c r="K32" s="26">
        <f>(1-p_delta_g)*K31*(1-p_eps_g*$E32)+INDEX(Calib!$E$1:$E$13,$D32)*(INDEX(Calib!$G$1:$G$13,$D32)+0*$H32)</f>
        <v/>
      </c>
      <c r="L32" s="26">
        <f>L31*(1-p_eps_k*$E32)+p_lambda_k*(N32-L31*(1-p_eps_k*$E32))</f>
        <v/>
      </c>
      <c r="M32" s="26">
        <f>INDEX(Calib!$R$1:$R$13,$D32)*$F32*(K31*(1-p_eps_g*$E32))^INDEX(Calib!$Q$1:$Q$13,$D32)*(L31*(1-p_eps_k*$E32))^p_alpha</f>
        <v/>
      </c>
      <c r="N32" s="26">
        <f>p_alpha*(1-INDEX(Calib!$H$1:$H$13,$D32))*M32/(INDEX(Calib!$K$1:$K$13,$D32)+p_delta)</f>
        <v/>
      </c>
      <c r="O32" s="26">
        <f>M32+$G32</f>
        <v/>
      </c>
      <c r="P32" s="26">
        <f>0*($H32+$I32)</f>
        <v/>
      </c>
      <c r="Q32" s="26">
        <f>INDEX(Calib!$I$1:$I$13,$D32)+p_sh_grant*P32</f>
        <v/>
      </c>
      <c r="R32" s="26">
        <f>INDEX(Calib!$H$1:$H$13,$D32)*M32+p_gov_take*$G32+Q32+0*p_pricing*$J32</f>
        <v/>
      </c>
      <c r="S32" s="26">
        <f>INDEX(Calib!$Y$1:$Y$13,$D32)-INDEX(Calib!$Z$1:$Z$13,$D32)*(V31/O31-INDEX(Calib!$AA$1:$AA$13,$D32))</f>
        <v/>
      </c>
      <c r="T32" s="26">
        <f>INDEX(Calib!$X$1:$X$13,$D32)+INDEX(Calib!$G$1:$G$13,$D32)+P32+S32-R32</f>
        <v/>
      </c>
      <c r="U32" s="26">
        <f>p_rk*W31+Y31*(V31-W31)</f>
        <v/>
      </c>
      <c r="V32" s="26">
        <f>V31+U32+T32</f>
        <v/>
      </c>
      <c r="W32" s="26">
        <f>INDEX(Calib!$U$1:$U$13,$D32)+(W31-INDEX(Calib!$U$1:$U$13,$D32))*(1-p_amort)+p_sh_conc*P32</f>
        <v/>
      </c>
      <c r="X32" s="26">
        <f>V32/O32</f>
        <v/>
      </c>
      <c r="Y32" s="26">
        <f>INDEX(Calib!$K$1:$K$13,$D32)+p_eta*MAX(0,X32-INDEX(Calib!$AA$1:$AA$13,$D32))</f>
        <v/>
      </c>
      <c r="Z32" s="26">
        <f>(1-INDEX(Calib!$H$1:$H$13,$D32))*(1-p_alpha)*M32+S32</f>
        <v/>
      </c>
      <c r="AA32" s="26">
        <f>(1-p_delta_g)*AA31*(1-p_eps_g*$E32)+INDEX(Calib!$E$1:$E$13,$D32)*(INDEX(Calib!$G$1:$G$13,$D32)+p_programme*$H32)</f>
        <v/>
      </c>
      <c r="AB32" s="26">
        <f>AB31*(1-p_eps_k*$E32)+p_lambda_k*(AD32-AB31*(1-p_eps_k*$E32))</f>
        <v/>
      </c>
      <c r="AC32" s="26">
        <f>INDEX(Calib!$R$1:$R$13,$D32)*$F32*(AA31*(1-p_eps_g*$E32))^INDEX(Calib!$Q$1:$Q$13,$D32)*(AB31*(1-p_eps_k*$E32))^p_alpha</f>
        <v/>
      </c>
      <c r="AD32" s="26">
        <f>p_alpha*(1-INDEX(Calib!$H$1:$H$13,$D32))*AC32/(INDEX(Calib!$K$1:$K$13,$D32)+p_delta)</f>
        <v/>
      </c>
      <c r="AE32" s="26">
        <f>AC32+$G32</f>
        <v/>
      </c>
      <c r="AF32" s="26">
        <f>p_programme*($H32+$I32)</f>
        <v/>
      </c>
      <c r="AG32" s="26">
        <f>INDEX(Calib!$I$1:$I$13,$D32)+p_sh_grant*AF32</f>
        <v/>
      </c>
      <c r="AH32" s="26">
        <f>INDEX(Calib!$H$1:$H$13,$D32)*AC32+p_gov_take*$G32+AG32+p_programme*p_pricing*$J32</f>
        <v/>
      </c>
      <c r="AI32" s="26">
        <f>INDEX(Calib!$Y$1:$Y$13,$D32)-INDEX(Calib!$Z$1:$Z$13,$D32)*(AL31/AE31-INDEX(Calib!$AA$1:$AA$13,$D32))</f>
        <v/>
      </c>
      <c r="AJ32" s="26">
        <f>INDEX(Calib!$X$1:$X$13,$D32)+INDEX(Calib!$G$1:$G$13,$D32)+AF32+AI32-AH32</f>
        <v/>
      </c>
      <c r="AK32" s="26">
        <f>p_rk*AM31+AO31*(AL31-AM31)</f>
        <v/>
      </c>
      <c r="AL32" s="26">
        <f>AL31+AK32+AJ32</f>
        <v/>
      </c>
      <c r="AM32" s="26">
        <f>INDEX(Calib!$U$1:$U$13,$D32)+(AM31-INDEX(Calib!$U$1:$U$13,$D32))*(1-p_amort)+p_sh_conc*AF32</f>
        <v/>
      </c>
      <c r="AN32" s="26">
        <f>AL32/AE32</f>
        <v/>
      </c>
      <c r="AO32" s="26">
        <f>INDEX(Calib!$K$1:$K$13,$D32)+p_eta*MAX(0,AN32-INDEX(Calib!$AA$1:$AA$13,$D32))</f>
        <v/>
      </c>
      <c r="AP32" s="26">
        <f>(1-INDEX(Calib!$H$1:$H$13,$D32))*(1-p_alpha)*AC32+AI32</f>
        <v/>
      </c>
      <c r="AQ32" s="26">
        <f>(AE32/O32-1)*100</f>
        <v/>
      </c>
      <c r="AR32" s="26">
        <f>(AE32/AE29-1)*100</f>
        <v/>
      </c>
      <c r="AS32" s="26">
        <f>(O32/O29-1)*100</f>
        <v/>
      </c>
      <c r="AT32" s="26">
        <f>(AN32-X32)*100</f>
        <v/>
      </c>
      <c r="AU32" s="26">
        <f>(AP32/Z32-1)*100</f>
        <v/>
      </c>
      <c r="AV32" s="26">
        <f>(AI32-S32)*100</f>
        <v/>
      </c>
    </row>
    <row r="33">
      <c r="A33" s="25" t="inlineStr">
        <is>
          <t>SLE</t>
        </is>
      </c>
      <c r="B33" s="25" t="n">
        <v>2028</v>
      </c>
      <c r="C33" s="25" t="n">
        <v>4</v>
      </c>
      <c r="D33" s="25" t="n">
        <v>3</v>
      </c>
      <c r="E33" s="25">
        <f>IF(AND(p_dis_year&gt;0,B33=p_dis_year),1,0)</f>
        <v/>
      </c>
      <c r="F33" s="26">
        <f>IF(AND(p_dis_year&gt;0,B33&gt;=p_dis_year),1-p_eps_a*p_rho_a^(B33-p_dis_year),1)</f>
        <v/>
      </c>
      <c r="G33" s="26">
        <f>INDEX(Calib!$N$1:$N$13,$D33)*(1-p_rent_decline*MIN(1,C33/26))</f>
        <v/>
      </c>
      <c r="H33" s="26">
        <f>IF(C33=0,0,SUMIFS(dl_val,dl_iso,$A33,dl_ind,"pub_cap",dl_year,$B33)/100)</f>
        <v/>
      </c>
      <c r="I33" s="26">
        <f>IF(C33=0,0,SUMIFS(dl_val,dl_iso,$A33,dl_ind,"pub_spend",dl_year,$B33)/100)</f>
        <v/>
      </c>
      <c r="J33" s="26">
        <f>IF(C33=0,0,SUMIFS(dl_val,dl_iso,$A33,dl_ind,"rev",dl_year,$B33)/100)</f>
        <v/>
      </c>
      <c r="K33" s="26">
        <f>(1-p_delta_g)*K32*(1-p_eps_g*$E33)+INDEX(Calib!$E$1:$E$13,$D33)*(INDEX(Calib!$G$1:$G$13,$D33)+0*$H33)</f>
        <v/>
      </c>
      <c r="L33" s="26">
        <f>L32*(1-p_eps_k*$E33)+p_lambda_k*(N33-L32*(1-p_eps_k*$E33))</f>
        <v/>
      </c>
      <c r="M33" s="26">
        <f>INDEX(Calib!$R$1:$R$13,$D33)*$F33*(K32*(1-p_eps_g*$E33))^INDEX(Calib!$Q$1:$Q$13,$D33)*(L32*(1-p_eps_k*$E33))^p_alpha</f>
        <v/>
      </c>
      <c r="N33" s="26">
        <f>p_alpha*(1-INDEX(Calib!$H$1:$H$13,$D33))*M33/(INDEX(Calib!$K$1:$K$13,$D33)+p_delta)</f>
        <v/>
      </c>
      <c r="O33" s="26">
        <f>M33+$G33</f>
        <v/>
      </c>
      <c r="P33" s="26">
        <f>0*($H33+$I33)</f>
        <v/>
      </c>
      <c r="Q33" s="26">
        <f>INDEX(Calib!$I$1:$I$13,$D33)+p_sh_grant*P33</f>
        <v/>
      </c>
      <c r="R33" s="26">
        <f>INDEX(Calib!$H$1:$H$13,$D33)*M33+p_gov_take*$G33+Q33+0*p_pricing*$J33</f>
        <v/>
      </c>
      <c r="S33" s="26">
        <f>INDEX(Calib!$Y$1:$Y$13,$D33)-INDEX(Calib!$Z$1:$Z$13,$D33)*(V32/O32-INDEX(Calib!$AA$1:$AA$13,$D33))</f>
        <v/>
      </c>
      <c r="T33" s="26">
        <f>INDEX(Calib!$X$1:$X$13,$D33)+INDEX(Calib!$G$1:$G$13,$D33)+P33+S33-R33</f>
        <v/>
      </c>
      <c r="U33" s="26">
        <f>p_rk*W32+Y32*(V32-W32)</f>
        <v/>
      </c>
      <c r="V33" s="26">
        <f>V32+U33+T33</f>
        <v/>
      </c>
      <c r="W33" s="26">
        <f>INDEX(Calib!$U$1:$U$13,$D33)+(W32-INDEX(Calib!$U$1:$U$13,$D33))*(1-p_amort)+p_sh_conc*P33</f>
        <v/>
      </c>
      <c r="X33" s="26">
        <f>V33/O33</f>
        <v/>
      </c>
      <c r="Y33" s="26">
        <f>INDEX(Calib!$K$1:$K$13,$D33)+p_eta*MAX(0,X33-INDEX(Calib!$AA$1:$AA$13,$D33))</f>
        <v/>
      </c>
      <c r="Z33" s="26">
        <f>(1-INDEX(Calib!$H$1:$H$13,$D33))*(1-p_alpha)*M33+S33</f>
        <v/>
      </c>
      <c r="AA33" s="26">
        <f>(1-p_delta_g)*AA32*(1-p_eps_g*$E33)+INDEX(Calib!$E$1:$E$13,$D33)*(INDEX(Calib!$G$1:$G$13,$D33)+p_programme*$H33)</f>
        <v/>
      </c>
      <c r="AB33" s="26">
        <f>AB32*(1-p_eps_k*$E33)+p_lambda_k*(AD33-AB32*(1-p_eps_k*$E33))</f>
        <v/>
      </c>
      <c r="AC33" s="26">
        <f>INDEX(Calib!$R$1:$R$13,$D33)*$F33*(AA32*(1-p_eps_g*$E33))^INDEX(Calib!$Q$1:$Q$13,$D33)*(AB32*(1-p_eps_k*$E33))^p_alpha</f>
        <v/>
      </c>
      <c r="AD33" s="26">
        <f>p_alpha*(1-INDEX(Calib!$H$1:$H$13,$D33))*AC33/(INDEX(Calib!$K$1:$K$13,$D33)+p_delta)</f>
        <v/>
      </c>
      <c r="AE33" s="26">
        <f>AC33+$G33</f>
        <v/>
      </c>
      <c r="AF33" s="26">
        <f>p_programme*($H33+$I33)</f>
        <v/>
      </c>
      <c r="AG33" s="26">
        <f>INDEX(Calib!$I$1:$I$13,$D33)+p_sh_grant*AF33</f>
        <v/>
      </c>
      <c r="AH33" s="26">
        <f>INDEX(Calib!$H$1:$H$13,$D33)*AC33+p_gov_take*$G33+AG33+p_programme*p_pricing*$J33</f>
        <v/>
      </c>
      <c r="AI33" s="26">
        <f>INDEX(Calib!$Y$1:$Y$13,$D33)-INDEX(Calib!$Z$1:$Z$13,$D33)*(AL32/AE32-INDEX(Calib!$AA$1:$AA$13,$D33))</f>
        <v/>
      </c>
      <c r="AJ33" s="26">
        <f>INDEX(Calib!$X$1:$X$13,$D33)+INDEX(Calib!$G$1:$G$13,$D33)+AF33+AI33-AH33</f>
        <v/>
      </c>
      <c r="AK33" s="26">
        <f>p_rk*AM32+AO32*(AL32-AM32)</f>
        <v/>
      </c>
      <c r="AL33" s="26">
        <f>AL32+AK33+AJ33</f>
        <v/>
      </c>
      <c r="AM33" s="26">
        <f>INDEX(Calib!$U$1:$U$13,$D33)+(AM32-INDEX(Calib!$U$1:$U$13,$D33))*(1-p_amort)+p_sh_conc*AF33</f>
        <v/>
      </c>
      <c r="AN33" s="26">
        <f>AL33/AE33</f>
        <v/>
      </c>
      <c r="AO33" s="26">
        <f>INDEX(Calib!$K$1:$K$13,$D33)+p_eta*MAX(0,AN33-INDEX(Calib!$AA$1:$AA$13,$D33))</f>
        <v/>
      </c>
      <c r="AP33" s="26">
        <f>(1-INDEX(Calib!$H$1:$H$13,$D33))*(1-p_alpha)*AC33+AI33</f>
        <v/>
      </c>
      <c r="AQ33" s="26">
        <f>(AE33/O33-1)*100</f>
        <v/>
      </c>
      <c r="AR33" s="26">
        <f>(AE33/AE29-1)*100</f>
        <v/>
      </c>
      <c r="AS33" s="26">
        <f>(O33/O29-1)*100</f>
        <v/>
      </c>
      <c r="AT33" s="26">
        <f>(AN33-X33)*100</f>
        <v/>
      </c>
      <c r="AU33" s="26">
        <f>(AP33/Z33-1)*100</f>
        <v/>
      </c>
      <c r="AV33" s="26">
        <f>(AI33-S33)*100</f>
        <v/>
      </c>
    </row>
    <row r="34">
      <c r="A34" s="25" t="inlineStr">
        <is>
          <t>SLE</t>
        </is>
      </c>
      <c r="B34" s="25" t="n">
        <v>2029</v>
      </c>
      <c r="C34" s="25" t="n">
        <v>5</v>
      </c>
      <c r="D34" s="25" t="n">
        <v>3</v>
      </c>
      <c r="E34" s="25">
        <f>IF(AND(p_dis_year&gt;0,B34=p_dis_year),1,0)</f>
        <v/>
      </c>
      <c r="F34" s="26">
        <f>IF(AND(p_dis_year&gt;0,B34&gt;=p_dis_year),1-p_eps_a*p_rho_a^(B34-p_dis_year),1)</f>
        <v/>
      </c>
      <c r="G34" s="26">
        <f>INDEX(Calib!$N$1:$N$13,$D34)*(1-p_rent_decline*MIN(1,C34/26))</f>
        <v/>
      </c>
      <c r="H34" s="26">
        <f>IF(C34=0,0,SUMIFS(dl_val,dl_iso,$A34,dl_ind,"pub_cap",dl_year,$B34)/100)</f>
        <v/>
      </c>
      <c r="I34" s="26">
        <f>IF(C34=0,0,SUMIFS(dl_val,dl_iso,$A34,dl_ind,"pub_spend",dl_year,$B34)/100)</f>
        <v/>
      </c>
      <c r="J34" s="26">
        <f>IF(C34=0,0,SUMIFS(dl_val,dl_iso,$A34,dl_ind,"rev",dl_year,$B34)/100)</f>
        <v/>
      </c>
      <c r="K34" s="26">
        <f>(1-p_delta_g)*K33*(1-p_eps_g*$E34)+INDEX(Calib!$E$1:$E$13,$D34)*(INDEX(Calib!$G$1:$G$13,$D34)+0*$H34)</f>
        <v/>
      </c>
      <c r="L34" s="26">
        <f>L33*(1-p_eps_k*$E34)+p_lambda_k*(N34-L33*(1-p_eps_k*$E34))</f>
        <v/>
      </c>
      <c r="M34" s="26">
        <f>INDEX(Calib!$R$1:$R$13,$D34)*$F34*(K33*(1-p_eps_g*$E34))^INDEX(Calib!$Q$1:$Q$13,$D34)*(L33*(1-p_eps_k*$E34))^p_alpha</f>
        <v/>
      </c>
      <c r="N34" s="26">
        <f>p_alpha*(1-INDEX(Calib!$H$1:$H$13,$D34))*M34/(INDEX(Calib!$K$1:$K$13,$D34)+p_delta)</f>
        <v/>
      </c>
      <c r="O34" s="26">
        <f>M34+$G34</f>
        <v/>
      </c>
      <c r="P34" s="26">
        <f>0*($H34+$I34)</f>
        <v/>
      </c>
      <c r="Q34" s="26">
        <f>INDEX(Calib!$I$1:$I$13,$D34)+p_sh_grant*P34</f>
        <v/>
      </c>
      <c r="R34" s="26">
        <f>INDEX(Calib!$H$1:$H$13,$D34)*M34+p_gov_take*$G34+Q34+0*p_pricing*$J34</f>
        <v/>
      </c>
      <c r="S34" s="26">
        <f>INDEX(Calib!$Y$1:$Y$13,$D34)-INDEX(Calib!$Z$1:$Z$13,$D34)*(V33/O33-INDEX(Calib!$AA$1:$AA$13,$D34))</f>
        <v/>
      </c>
      <c r="T34" s="26">
        <f>INDEX(Calib!$X$1:$X$13,$D34)+INDEX(Calib!$G$1:$G$13,$D34)+P34+S34-R34</f>
        <v/>
      </c>
      <c r="U34" s="26">
        <f>p_rk*W33+Y33*(V33-W33)</f>
        <v/>
      </c>
      <c r="V34" s="26">
        <f>V33+U34+T34</f>
        <v/>
      </c>
      <c r="W34" s="26">
        <f>INDEX(Calib!$U$1:$U$13,$D34)+(W33-INDEX(Calib!$U$1:$U$13,$D34))*(1-p_amort)+p_sh_conc*P34</f>
        <v/>
      </c>
      <c r="X34" s="26">
        <f>V34/O34</f>
        <v/>
      </c>
      <c r="Y34" s="26">
        <f>INDEX(Calib!$K$1:$K$13,$D34)+p_eta*MAX(0,X34-INDEX(Calib!$AA$1:$AA$13,$D34))</f>
        <v/>
      </c>
      <c r="Z34" s="26">
        <f>(1-INDEX(Calib!$H$1:$H$13,$D34))*(1-p_alpha)*M34+S34</f>
        <v/>
      </c>
      <c r="AA34" s="26">
        <f>(1-p_delta_g)*AA33*(1-p_eps_g*$E34)+INDEX(Calib!$E$1:$E$13,$D34)*(INDEX(Calib!$G$1:$G$13,$D34)+p_programme*$H34)</f>
        <v/>
      </c>
      <c r="AB34" s="26">
        <f>AB33*(1-p_eps_k*$E34)+p_lambda_k*(AD34-AB33*(1-p_eps_k*$E34))</f>
        <v/>
      </c>
      <c r="AC34" s="26">
        <f>INDEX(Calib!$R$1:$R$13,$D34)*$F34*(AA33*(1-p_eps_g*$E34))^INDEX(Calib!$Q$1:$Q$13,$D34)*(AB33*(1-p_eps_k*$E34))^p_alpha</f>
        <v/>
      </c>
      <c r="AD34" s="26">
        <f>p_alpha*(1-INDEX(Calib!$H$1:$H$13,$D34))*AC34/(INDEX(Calib!$K$1:$K$13,$D34)+p_delta)</f>
        <v/>
      </c>
      <c r="AE34" s="26">
        <f>AC34+$G34</f>
        <v/>
      </c>
      <c r="AF34" s="26">
        <f>p_programme*($H34+$I34)</f>
        <v/>
      </c>
      <c r="AG34" s="26">
        <f>INDEX(Calib!$I$1:$I$13,$D34)+p_sh_grant*AF34</f>
        <v/>
      </c>
      <c r="AH34" s="26">
        <f>INDEX(Calib!$H$1:$H$13,$D34)*AC34+p_gov_take*$G34+AG34+p_programme*p_pricing*$J34</f>
        <v/>
      </c>
      <c r="AI34" s="26">
        <f>INDEX(Calib!$Y$1:$Y$13,$D34)-INDEX(Calib!$Z$1:$Z$13,$D34)*(AL33/AE33-INDEX(Calib!$AA$1:$AA$13,$D34))</f>
        <v/>
      </c>
      <c r="AJ34" s="26">
        <f>INDEX(Calib!$X$1:$X$13,$D34)+INDEX(Calib!$G$1:$G$13,$D34)+AF34+AI34-AH34</f>
        <v/>
      </c>
      <c r="AK34" s="26">
        <f>p_rk*AM33+AO33*(AL33-AM33)</f>
        <v/>
      </c>
      <c r="AL34" s="26">
        <f>AL33+AK34+AJ34</f>
        <v/>
      </c>
      <c r="AM34" s="26">
        <f>INDEX(Calib!$U$1:$U$13,$D34)+(AM33-INDEX(Calib!$U$1:$U$13,$D34))*(1-p_amort)+p_sh_conc*AF34</f>
        <v/>
      </c>
      <c r="AN34" s="26">
        <f>AL34/AE34</f>
        <v/>
      </c>
      <c r="AO34" s="26">
        <f>INDEX(Calib!$K$1:$K$13,$D34)+p_eta*MAX(0,AN34-INDEX(Calib!$AA$1:$AA$13,$D34))</f>
        <v/>
      </c>
      <c r="AP34" s="26">
        <f>(1-INDEX(Calib!$H$1:$H$13,$D34))*(1-p_alpha)*AC34+AI34</f>
        <v/>
      </c>
      <c r="AQ34" s="26">
        <f>(AE34/O34-1)*100</f>
        <v/>
      </c>
      <c r="AR34" s="26">
        <f>(AE34/AE29-1)*100</f>
        <v/>
      </c>
      <c r="AS34" s="26">
        <f>(O34/O29-1)*100</f>
        <v/>
      </c>
      <c r="AT34" s="26">
        <f>(AN34-X34)*100</f>
        <v/>
      </c>
      <c r="AU34" s="26">
        <f>(AP34/Z34-1)*100</f>
        <v/>
      </c>
      <c r="AV34" s="26">
        <f>(AI34-S34)*100</f>
        <v/>
      </c>
    </row>
    <row r="35">
      <c r="A35" s="25" t="inlineStr">
        <is>
          <t>SLE</t>
        </is>
      </c>
      <c r="B35" s="25" t="n">
        <v>2030</v>
      </c>
      <c r="C35" s="25" t="n">
        <v>6</v>
      </c>
      <c r="D35" s="25" t="n">
        <v>3</v>
      </c>
      <c r="E35" s="25">
        <f>IF(AND(p_dis_year&gt;0,B35=p_dis_year),1,0)</f>
        <v/>
      </c>
      <c r="F35" s="26">
        <f>IF(AND(p_dis_year&gt;0,B35&gt;=p_dis_year),1-p_eps_a*p_rho_a^(B35-p_dis_year),1)</f>
        <v/>
      </c>
      <c r="G35" s="26">
        <f>INDEX(Calib!$N$1:$N$13,$D35)*(1-p_rent_decline*MIN(1,C35/26))</f>
        <v/>
      </c>
      <c r="H35" s="26">
        <f>IF(C35=0,0,SUMIFS(dl_val,dl_iso,$A35,dl_ind,"pub_cap",dl_year,$B35)/100)</f>
        <v/>
      </c>
      <c r="I35" s="26">
        <f>IF(C35=0,0,SUMIFS(dl_val,dl_iso,$A35,dl_ind,"pub_spend",dl_year,$B35)/100)</f>
        <v/>
      </c>
      <c r="J35" s="26">
        <f>IF(C35=0,0,SUMIFS(dl_val,dl_iso,$A35,dl_ind,"rev",dl_year,$B35)/100)</f>
        <v/>
      </c>
      <c r="K35" s="26">
        <f>(1-p_delta_g)*K34*(1-p_eps_g*$E35)+INDEX(Calib!$E$1:$E$13,$D35)*(INDEX(Calib!$G$1:$G$13,$D35)+0*$H35)</f>
        <v/>
      </c>
      <c r="L35" s="26">
        <f>L34*(1-p_eps_k*$E35)+p_lambda_k*(N35-L34*(1-p_eps_k*$E35))</f>
        <v/>
      </c>
      <c r="M35" s="26">
        <f>INDEX(Calib!$R$1:$R$13,$D35)*$F35*(K34*(1-p_eps_g*$E35))^INDEX(Calib!$Q$1:$Q$13,$D35)*(L34*(1-p_eps_k*$E35))^p_alpha</f>
        <v/>
      </c>
      <c r="N35" s="26">
        <f>p_alpha*(1-INDEX(Calib!$H$1:$H$13,$D35))*M35/(INDEX(Calib!$K$1:$K$13,$D35)+p_delta)</f>
        <v/>
      </c>
      <c r="O35" s="26">
        <f>M35+$G35</f>
        <v/>
      </c>
      <c r="P35" s="26">
        <f>0*($H35+$I35)</f>
        <v/>
      </c>
      <c r="Q35" s="26">
        <f>INDEX(Calib!$I$1:$I$13,$D35)+p_sh_grant*P35</f>
        <v/>
      </c>
      <c r="R35" s="26">
        <f>INDEX(Calib!$H$1:$H$13,$D35)*M35+p_gov_take*$G35+Q35+0*p_pricing*$J35</f>
        <v/>
      </c>
      <c r="S35" s="26">
        <f>INDEX(Calib!$Y$1:$Y$13,$D35)-INDEX(Calib!$Z$1:$Z$13,$D35)*(V34/O34-INDEX(Calib!$AA$1:$AA$13,$D35))</f>
        <v/>
      </c>
      <c r="T35" s="26">
        <f>INDEX(Calib!$X$1:$X$13,$D35)+INDEX(Calib!$G$1:$G$13,$D35)+P35+S35-R35</f>
        <v/>
      </c>
      <c r="U35" s="26">
        <f>p_rk*W34+Y34*(V34-W34)</f>
        <v/>
      </c>
      <c r="V35" s="26">
        <f>V34+U35+T35</f>
        <v/>
      </c>
      <c r="W35" s="26">
        <f>INDEX(Calib!$U$1:$U$13,$D35)+(W34-INDEX(Calib!$U$1:$U$13,$D35))*(1-p_amort)+p_sh_conc*P35</f>
        <v/>
      </c>
      <c r="X35" s="26">
        <f>V35/O35</f>
        <v/>
      </c>
      <c r="Y35" s="26">
        <f>INDEX(Calib!$K$1:$K$13,$D35)+p_eta*MAX(0,X35-INDEX(Calib!$AA$1:$AA$13,$D35))</f>
        <v/>
      </c>
      <c r="Z35" s="26">
        <f>(1-INDEX(Calib!$H$1:$H$13,$D35))*(1-p_alpha)*M35+S35</f>
        <v/>
      </c>
      <c r="AA35" s="26">
        <f>(1-p_delta_g)*AA34*(1-p_eps_g*$E35)+INDEX(Calib!$E$1:$E$13,$D35)*(INDEX(Calib!$G$1:$G$13,$D35)+p_programme*$H35)</f>
        <v/>
      </c>
      <c r="AB35" s="26">
        <f>AB34*(1-p_eps_k*$E35)+p_lambda_k*(AD35-AB34*(1-p_eps_k*$E35))</f>
        <v/>
      </c>
      <c r="AC35" s="26">
        <f>INDEX(Calib!$R$1:$R$13,$D35)*$F35*(AA34*(1-p_eps_g*$E35))^INDEX(Calib!$Q$1:$Q$13,$D35)*(AB34*(1-p_eps_k*$E35))^p_alpha</f>
        <v/>
      </c>
      <c r="AD35" s="26">
        <f>p_alpha*(1-INDEX(Calib!$H$1:$H$13,$D35))*AC35/(INDEX(Calib!$K$1:$K$13,$D35)+p_delta)</f>
        <v/>
      </c>
      <c r="AE35" s="26">
        <f>AC35+$G35</f>
        <v/>
      </c>
      <c r="AF35" s="26">
        <f>p_programme*($H35+$I35)</f>
        <v/>
      </c>
      <c r="AG35" s="26">
        <f>INDEX(Calib!$I$1:$I$13,$D35)+p_sh_grant*AF35</f>
        <v/>
      </c>
      <c r="AH35" s="26">
        <f>INDEX(Calib!$H$1:$H$13,$D35)*AC35+p_gov_take*$G35+AG35+p_programme*p_pricing*$J35</f>
        <v/>
      </c>
      <c r="AI35" s="26">
        <f>INDEX(Calib!$Y$1:$Y$13,$D35)-INDEX(Calib!$Z$1:$Z$13,$D35)*(AL34/AE34-INDEX(Calib!$AA$1:$AA$13,$D35))</f>
        <v/>
      </c>
      <c r="AJ35" s="26">
        <f>INDEX(Calib!$X$1:$X$13,$D35)+INDEX(Calib!$G$1:$G$13,$D35)+AF35+AI35-AH35</f>
        <v/>
      </c>
      <c r="AK35" s="26">
        <f>p_rk*AM34+AO34*(AL34-AM34)</f>
        <v/>
      </c>
      <c r="AL35" s="26">
        <f>AL34+AK35+AJ35</f>
        <v/>
      </c>
      <c r="AM35" s="26">
        <f>INDEX(Calib!$U$1:$U$13,$D35)+(AM34-INDEX(Calib!$U$1:$U$13,$D35))*(1-p_amort)+p_sh_conc*AF35</f>
        <v/>
      </c>
      <c r="AN35" s="26">
        <f>AL35/AE35</f>
        <v/>
      </c>
      <c r="AO35" s="26">
        <f>INDEX(Calib!$K$1:$K$13,$D35)+p_eta*MAX(0,AN35-INDEX(Calib!$AA$1:$AA$13,$D35))</f>
        <v/>
      </c>
      <c r="AP35" s="26">
        <f>(1-INDEX(Calib!$H$1:$H$13,$D35))*(1-p_alpha)*AC35+AI35</f>
        <v/>
      </c>
      <c r="AQ35" s="26">
        <f>(AE35/O35-1)*100</f>
        <v/>
      </c>
      <c r="AR35" s="26">
        <f>(AE35/AE29-1)*100</f>
        <v/>
      </c>
      <c r="AS35" s="26">
        <f>(O35/O29-1)*100</f>
        <v/>
      </c>
      <c r="AT35" s="26">
        <f>(AN35-X35)*100</f>
        <v/>
      </c>
      <c r="AU35" s="26">
        <f>(AP35/Z35-1)*100</f>
        <v/>
      </c>
      <c r="AV35" s="26">
        <f>(AI35-S35)*100</f>
        <v/>
      </c>
    </row>
    <row r="36">
      <c r="A36" s="25" t="inlineStr">
        <is>
          <t>SLE</t>
        </is>
      </c>
      <c r="B36" s="25" t="n">
        <v>2031</v>
      </c>
      <c r="C36" s="25" t="n">
        <v>7</v>
      </c>
      <c r="D36" s="25" t="n">
        <v>3</v>
      </c>
      <c r="E36" s="25">
        <f>IF(AND(p_dis_year&gt;0,B36=p_dis_year),1,0)</f>
        <v/>
      </c>
      <c r="F36" s="26">
        <f>IF(AND(p_dis_year&gt;0,B36&gt;=p_dis_year),1-p_eps_a*p_rho_a^(B36-p_dis_year),1)</f>
        <v/>
      </c>
      <c r="G36" s="26">
        <f>INDEX(Calib!$N$1:$N$13,$D36)*(1-p_rent_decline*MIN(1,C36/26))</f>
        <v/>
      </c>
      <c r="H36" s="26">
        <f>IF(C36=0,0,SUMIFS(dl_val,dl_iso,$A36,dl_ind,"pub_cap",dl_year,$B36)/100)</f>
        <v/>
      </c>
      <c r="I36" s="26">
        <f>IF(C36=0,0,SUMIFS(dl_val,dl_iso,$A36,dl_ind,"pub_spend",dl_year,$B36)/100)</f>
        <v/>
      </c>
      <c r="J36" s="26">
        <f>IF(C36=0,0,SUMIFS(dl_val,dl_iso,$A36,dl_ind,"rev",dl_year,$B36)/100)</f>
        <v/>
      </c>
      <c r="K36" s="26">
        <f>(1-p_delta_g)*K35*(1-p_eps_g*$E36)+INDEX(Calib!$E$1:$E$13,$D36)*(INDEX(Calib!$G$1:$G$13,$D36)+0*$H36)</f>
        <v/>
      </c>
      <c r="L36" s="26">
        <f>L35*(1-p_eps_k*$E36)+p_lambda_k*(N36-L35*(1-p_eps_k*$E36))</f>
        <v/>
      </c>
      <c r="M36" s="26">
        <f>INDEX(Calib!$R$1:$R$13,$D36)*$F36*(K35*(1-p_eps_g*$E36))^INDEX(Calib!$Q$1:$Q$13,$D36)*(L35*(1-p_eps_k*$E36))^p_alpha</f>
        <v/>
      </c>
      <c r="N36" s="26">
        <f>p_alpha*(1-INDEX(Calib!$H$1:$H$13,$D36))*M36/(INDEX(Calib!$K$1:$K$13,$D36)+p_delta)</f>
        <v/>
      </c>
      <c r="O36" s="26">
        <f>M36+$G36</f>
        <v/>
      </c>
      <c r="P36" s="26">
        <f>0*($H36+$I36)</f>
        <v/>
      </c>
      <c r="Q36" s="26">
        <f>INDEX(Calib!$I$1:$I$13,$D36)+p_sh_grant*P36</f>
        <v/>
      </c>
      <c r="R36" s="26">
        <f>INDEX(Calib!$H$1:$H$13,$D36)*M36+p_gov_take*$G36+Q36+0*p_pricing*$J36</f>
        <v/>
      </c>
      <c r="S36" s="26">
        <f>INDEX(Calib!$Y$1:$Y$13,$D36)-INDEX(Calib!$Z$1:$Z$13,$D36)*(V35/O35-INDEX(Calib!$AA$1:$AA$13,$D36))</f>
        <v/>
      </c>
      <c r="T36" s="26">
        <f>INDEX(Calib!$X$1:$X$13,$D36)+INDEX(Calib!$G$1:$G$13,$D36)+P36+S36-R36</f>
        <v/>
      </c>
      <c r="U36" s="26">
        <f>p_rk*W35+Y35*(V35-W35)</f>
        <v/>
      </c>
      <c r="V36" s="26">
        <f>V35+U36+T36</f>
        <v/>
      </c>
      <c r="W36" s="26">
        <f>INDEX(Calib!$U$1:$U$13,$D36)+(W35-INDEX(Calib!$U$1:$U$13,$D36))*(1-p_amort)+p_sh_conc*P36</f>
        <v/>
      </c>
      <c r="X36" s="26">
        <f>V36/O36</f>
        <v/>
      </c>
      <c r="Y36" s="26">
        <f>INDEX(Calib!$K$1:$K$13,$D36)+p_eta*MAX(0,X36-INDEX(Calib!$AA$1:$AA$13,$D36))</f>
        <v/>
      </c>
      <c r="Z36" s="26">
        <f>(1-INDEX(Calib!$H$1:$H$13,$D36))*(1-p_alpha)*M36+S36</f>
        <v/>
      </c>
      <c r="AA36" s="26">
        <f>(1-p_delta_g)*AA35*(1-p_eps_g*$E36)+INDEX(Calib!$E$1:$E$13,$D36)*(INDEX(Calib!$G$1:$G$13,$D36)+p_programme*$H36)</f>
        <v/>
      </c>
      <c r="AB36" s="26">
        <f>AB35*(1-p_eps_k*$E36)+p_lambda_k*(AD36-AB35*(1-p_eps_k*$E36))</f>
        <v/>
      </c>
      <c r="AC36" s="26">
        <f>INDEX(Calib!$R$1:$R$13,$D36)*$F36*(AA35*(1-p_eps_g*$E36))^INDEX(Calib!$Q$1:$Q$13,$D36)*(AB35*(1-p_eps_k*$E36))^p_alpha</f>
        <v/>
      </c>
      <c r="AD36" s="26">
        <f>p_alpha*(1-INDEX(Calib!$H$1:$H$13,$D36))*AC36/(INDEX(Calib!$K$1:$K$13,$D36)+p_delta)</f>
        <v/>
      </c>
      <c r="AE36" s="26">
        <f>AC36+$G36</f>
        <v/>
      </c>
      <c r="AF36" s="26">
        <f>p_programme*($H36+$I36)</f>
        <v/>
      </c>
      <c r="AG36" s="26">
        <f>INDEX(Calib!$I$1:$I$13,$D36)+p_sh_grant*AF36</f>
        <v/>
      </c>
      <c r="AH36" s="26">
        <f>INDEX(Calib!$H$1:$H$13,$D36)*AC36+p_gov_take*$G36+AG36+p_programme*p_pricing*$J36</f>
        <v/>
      </c>
      <c r="AI36" s="26">
        <f>INDEX(Calib!$Y$1:$Y$13,$D36)-INDEX(Calib!$Z$1:$Z$13,$D36)*(AL35/AE35-INDEX(Calib!$AA$1:$AA$13,$D36))</f>
        <v/>
      </c>
      <c r="AJ36" s="26">
        <f>INDEX(Calib!$X$1:$X$13,$D36)+INDEX(Calib!$G$1:$G$13,$D36)+AF36+AI36-AH36</f>
        <v/>
      </c>
      <c r="AK36" s="26">
        <f>p_rk*AM35+AO35*(AL35-AM35)</f>
        <v/>
      </c>
      <c r="AL36" s="26">
        <f>AL35+AK36+AJ36</f>
        <v/>
      </c>
      <c r="AM36" s="26">
        <f>INDEX(Calib!$U$1:$U$13,$D36)+(AM35-INDEX(Calib!$U$1:$U$13,$D36))*(1-p_amort)+p_sh_conc*AF36</f>
        <v/>
      </c>
      <c r="AN36" s="26">
        <f>AL36/AE36</f>
        <v/>
      </c>
      <c r="AO36" s="26">
        <f>INDEX(Calib!$K$1:$K$13,$D36)+p_eta*MAX(0,AN36-INDEX(Calib!$AA$1:$AA$13,$D36))</f>
        <v/>
      </c>
      <c r="AP36" s="26">
        <f>(1-INDEX(Calib!$H$1:$H$13,$D36))*(1-p_alpha)*AC36+AI36</f>
        <v/>
      </c>
      <c r="AQ36" s="26">
        <f>(AE36/O36-1)*100</f>
        <v/>
      </c>
      <c r="AR36" s="26">
        <f>(AE36/AE29-1)*100</f>
        <v/>
      </c>
      <c r="AS36" s="26">
        <f>(O36/O29-1)*100</f>
        <v/>
      </c>
      <c r="AT36" s="26">
        <f>(AN36-X36)*100</f>
        <v/>
      </c>
      <c r="AU36" s="26">
        <f>(AP36/Z36-1)*100</f>
        <v/>
      </c>
      <c r="AV36" s="26">
        <f>(AI36-S36)*100</f>
        <v/>
      </c>
    </row>
    <row r="37">
      <c r="A37" s="25" t="inlineStr">
        <is>
          <t>SLE</t>
        </is>
      </c>
      <c r="B37" s="25" t="n">
        <v>2032</v>
      </c>
      <c r="C37" s="25" t="n">
        <v>8</v>
      </c>
      <c r="D37" s="25" t="n">
        <v>3</v>
      </c>
      <c r="E37" s="25">
        <f>IF(AND(p_dis_year&gt;0,B37=p_dis_year),1,0)</f>
        <v/>
      </c>
      <c r="F37" s="26">
        <f>IF(AND(p_dis_year&gt;0,B37&gt;=p_dis_year),1-p_eps_a*p_rho_a^(B37-p_dis_year),1)</f>
        <v/>
      </c>
      <c r="G37" s="26">
        <f>INDEX(Calib!$N$1:$N$13,$D37)*(1-p_rent_decline*MIN(1,C37/26))</f>
        <v/>
      </c>
      <c r="H37" s="26">
        <f>IF(C37=0,0,SUMIFS(dl_val,dl_iso,$A37,dl_ind,"pub_cap",dl_year,$B37)/100)</f>
        <v/>
      </c>
      <c r="I37" s="26">
        <f>IF(C37=0,0,SUMIFS(dl_val,dl_iso,$A37,dl_ind,"pub_spend",dl_year,$B37)/100)</f>
        <v/>
      </c>
      <c r="J37" s="26">
        <f>IF(C37=0,0,SUMIFS(dl_val,dl_iso,$A37,dl_ind,"rev",dl_year,$B37)/100)</f>
        <v/>
      </c>
      <c r="K37" s="26">
        <f>(1-p_delta_g)*K36*(1-p_eps_g*$E37)+INDEX(Calib!$E$1:$E$13,$D37)*(INDEX(Calib!$G$1:$G$13,$D37)+0*$H37)</f>
        <v/>
      </c>
      <c r="L37" s="26">
        <f>L36*(1-p_eps_k*$E37)+p_lambda_k*(N37-L36*(1-p_eps_k*$E37))</f>
        <v/>
      </c>
      <c r="M37" s="26">
        <f>INDEX(Calib!$R$1:$R$13,$D37)*$F37*(K36*(1-p_eps_g*$E37))^INDEX(Calib!$Q$1:$Q$13,$D37)*(L36*(1-p_eps_k*$E37))^p_alpha</f>
        <v/>
      </c>
      <c r="N37" s="26">
        <f>p_alpha*(1-INDEX(Calib!$H$1:$H$13,$D37))*M37/(INDEX(Calib!$K$1:$K$13,$D37)+p_delta)</f>
        <v/>
      </c>
      <c r="O37" s="26">
        <f>M37+$G37</f>
        <v/>
      </c>
      <c r="P37" s="26">
        <f>0*($H37+$I37)</f>
        <v/>
      </c>
      <c r="Q37" s="26">
        <f>INDEX(Calib!$I$1:$I$13,$D37)+p_sh_grant*P37</f>
        <v/>
      </c>
      <c r="R37" s="26">
        <f>INDEX(Calib!$H$1:$H$13,$D37)*M37+p_gov_take*$G37+Q37+0*p_pricing*$J37</f>
        <v/>
      </c>
      <c r="S37" s="26">
        <f>INDEX(Calib!$Y$1:$Y$13,$D37)-INDEX(Calib!$Z$1:$Z$13,$D37)*(V36/O36-INDEX(Calib!$AA$1:$AA$13,$D37))</f>
        <v/>
      </c>
      <c r="T37" s="26">
        <f>INDEX(Calib!$X$1:$X$13,$D37)+INDEX(Calib!$G$1:$G$13,$D37)+P37+S37-R37</f>
        <v/>
      </c>
      <c r="U37" s="26">
        <f>p_rk*W36+Y36*(V36-W36)</f>
        <v/>
      </c>
      <c r="V37" s="26">
        <f>V36+U37+T37</f>
        <v/>
      </c>
      <c r="W37" s="26">
        <f>INDEX(Calib!$U$1:$U$13,$D37)+(W36-INDEX(Calib!$U$1:$U$13,$D37))*(1-p_amort)+p_sh_conc*P37</f>
        <v/>
      </c>
      <c r="X37" s="26">
        <f>V37/O37</f>
        <v/>
      </c>
      <c r="Y37" s="26">
        <f>INDEX(Calib!$K$1:$K$13,$D37)+p_eta*MAX(0,X37-INDEX(Calib!$AA$1:$AA$13,$D37))</f>
        <v/>
      </c>
      <c r="Z37" s="26">
        <f>(1-INDEX(Calib!$H$1:$H$13,$D37))*(1-p_alpha)*M37+S37</f>
        <v/>
      </c>
      <c r="AA37" s="26">
        <f>(1-p_delta_g)*AA36*(1-p_eps_g*$E37)+INDEX(Calib!$E$1:$E$13,$D37)*(INDEX(Calib!$G$1:$G$13,$D37)+p_programme*$H37)</f>
        <v/>
      </c>
      <c r="AB37" s="26">
        <f>AB36*(1-p_eps_k*$E37)+p_lambda_k*(AD37-AB36*(1-p_eps_k*$E37))</f>
        <v/>
      </c>
      <c r="AC37" s="26">
        <f>INDEX(Calib!$R$1:$R$13,$D37)*$F37*(AA36*(1-p_eps_g*$E37))^INDEX(Calib!$Q$1:$Q$13,$D37)*(AB36*(1-p_eps_k*$E37))^p_alpha</f>
        <v/>
      </c>
      <c r="AD37" s="26">
        <f>p_alpha*(1-INDEX(Calib!$H$1:$H$13,$D37))*AC37/(INDEX(Calib!$K$1:$K$13,$D37)+p_delta)</f>
        <v/>
      </c>
      <c r="AE37" s="26">
        <f>AC37+$G37</f>
        <v/>
      </c>
      <c r="AF37" s="26">
        <f>p_programme*($H37+$I37)</f>
        <v/>
      </c>
      <c r="AG37" s="26">
        <f>INDEX(Calib!$I$1:$I$13,$D37)+p_sh_grant*AF37</f>
        <v/>
      </c>
      <c r="AH37" s="26">
        <f>INDEX(Calib!$H$1:$H$13,$D37)*AC37+p_gov_take*$G37+AG37+p_programme*p_pricing*$J37</f>
        <v/>
      </c>
      <c r="AI37" s="26">
        <f>INDEX(Calib!$Y$1:$Y$13,$D37)-INDEX(Calib!$Z$1:$Z$13,$D37)*(AL36/AE36-INDEX(Calib!$AA$1:$AA$13,$D37))</f>
        <v/>
      </c>
      <c r="AJ37" s="26">
        <f>INDEX(Calib!$X$1:$X$13,$D37)+INDEX(Calib!$G$1:$G$13,$D37)+AF37+AI37-AH37</f>
        <v/>
      </c>
      <c r="AK37" s="26">
        <f>p_rk*AM36+AO36*(AL36-AM36)</f>
        <v/>
      </c>
      <c r="AL37" s="26">
        <f>AL36+AK37+AJ37</f>
        <v/>
      </c>
      <c r="AM37" s="26">
        <f>INDEX(Calib!$U$1:$U$13,$D37)+(AM36-INDEX(Calib!$U$1:$U$13,$D37))*(1-p_amort)+p_sh_conc*AF37</f>
        <v/>
      </c>
      <c r="AN37" s="26">
        <f>AL37/AE37</f>
        <v/>
      </c>
      <c r="AO37" s="26">
        <f>INDEX(Calib!$K$1:$K$13,$D37)+p_eta*MAX(0,AN37-INDEX(Calib!$AA$1:$AA$13,$D37))</f>
        <v/>
      </c>
      <c r="AP37" s="26">
        <f>(1-INDEX(Calib!$H$1:$H$13,$D37))*(1-p_alpha)*AC37+AI37</f>
        <v/>
      </c>
      <c r="AQ37" s="26">
        <f>(AE37/O37-1)*100</f>
        <v/>
      </c>
      <c r="AR37" s="26">
        <f>(AE37/AE29-1)*100</f>
        <v/>
      </c>
      <c r="AS37" s="26">
        <f>(O37/O29-1)*100</f>
        <v/>
      </c>
      <c r="AT37" s="26">
        <f>(AN37-X37)*100</f>
        <v/>
      </c>
      <c r="AU37" s="26">
        <f>(AP37/Z37-1)*100</f>
        <v/>
      </c>
      <c r="AV37" s="26">
        <f>(AI37-S37)*100</f>
        <v/>
      </c>
    </row>
    <row r="38">
      <c r="A38" s="25" t="inlineStr">
        <is>
          <t>SLE</t>
        </is>
      </c>
      <c r="B38" s="25" t="n">
        <v>2033</v>
      </c>
      <c r="C38" s="25" t="n">
        <v>9</v>
      </c>
      <c r="D38" s="25" t="n">
        <v>3</v>
      </c>
      <c r="E38" s="25">
        <f>IF(AND(p_dis_year&gt;0,B38=p_dis_year),1,0)</f>
        <v/>
      </c>
      <c r="F38" s="26">
        <f>IF(AND(p_dis_year&gt;0,B38&gt;=p_dis_year),1-p_eps_a*p_rho_a^(B38-p_dis_year),1)</f>
        <v/>
      </c>
      <c r="G38" s="26">
        <f>INDEX(Calib!$N$1:$N$13,$D38)*(1-p_rent_decline*MIN(1,C38/26))</f>
        <v/>
      </c>
      <c r="H38" s="26">
        <f>IF(C38=0,0,SUMIFS(dl_val,dl_iso,$A38,dl_ind,"pub_cap",dl_year,$B38)/100)</f>
        <v/>
      </c>
      <c r="I38" s="26">
        <f>IF(C38=0,0,SUMIFS(dl_val,dl_iso,$A38,dl_ind,"pub_spend",dl_year,$B38)/100)</f>
        <v/>
      </c>
      <c r="J38" s="26">
        <f>IF(C38=0,0,SUMIFS(dl_val,dl_iso,$A38,dl_ind,"rev",dl_year,$B38)/100)</f>
        <v/>
      </c>
      <c r="K38" s="26">
        <f>(1-p_delta_g)*K37*(1-p_eps_g*$E38)+INDEX(Calib!$E$1:$E$13,$D38)*(INDEX(Calib!$G$1:$G$13,$D38)+0*$H38)</f>
        <v/>
      </c>
      <c r="L38" s="26">
        <f>L37*(1-p_eps_k*$E38)+p_lambda_k*(N38-L37*(1-p_eps_k*$E38))</f>
        <v/>
      </c>
      <c r="M38" s="26">
        <f>INDEX(Calib!$R$1:$R$13,$D38)*$F38*(K37*(1-p_eps_g*$E38))^INDEX(Calib!$Q$1:$Q$13,$D38)*(L37*(1-p_eps_k*$E38))^p_alpha</f>
        <v/>
      </c>
      <c r="N38" s="26">
        <f>p_alpha*(1-INDEX(Calib!$H$1:$H$13,$D38))*M38/(INDEX(Calib!$K$1:$K$13,$D38)+p_delta)</f>
        <v/>
      </c>
      <c r="O38" s="26">
        <f>M38+$G38</f>
        <v/>
      </c>
      <c r="P38" s="26">
        <f>0*($H38+$I38)</f>
        <v/>
      </c>
      <c r="Q38" s="26">
        <f>INDEX(Calib!$I$1:$I$13,$D38)+p_sh_grant*P38</f>
        <v/>
      </c>
      <c r="R38" s="26">
        <f>INDEX(Calib!$H$1:$H$13,$D38)*M38+p_gov_take*$G38+Q38+0*p_pricing*$J38</f>
        <v/>
      </c>
      <c r="S38" s="26">
        <f>INDEX(Calib!$Y$1:$Y$13,$D38)-INDEX(Calib!$Z$1:$Z$13,$D38)*(V37/O37-INDEX(Calib!$AA$1:$AA$13,$D38))</f>
        <v/>
      </c>
      <c r="T38" s="26">
        <f>INDEX(Calib!$X$1:$X$13,$D38)+INDEX(Calib!$G$1:$G$13,$D38)+P38+S38-R38</f>
        <v/>
      </c>
      <c r="U38" s="26">
        <f>p_rk*W37+Y37*(V37-W37)</f>
        <v/>
      </c>
      <c r="V38" s="26">
        <f>V37+U38+T38</f>
        <v/>
      </c>
      <c r="W38" s="26">
        <f>INDEX(Calib!$U$1:$U$13,$D38)+(W37-INDEX(Calib!$U$1:$U$13,$D38))*(1-p_amort)+p_sh_conc*P38</f>
        <v/>
      </c>
      <c r="X38" s="26">
        <f>V38/O38</f>
        <v/>
      </c>
      <c r="Y38" s="26">
        <f>INDEX(Calib!$K$1:$K$13,$D38)+p_eta*MAX(0,X38-INDEX(Calib!$AA$1:$AA$13,$D38))</f>
        <v/>
      </c>
      <c r="Z38" s="26">
        <f>(1-INDEX(Calib!$H$1:$H$13,$D38))*(1-p_alpha)*M38+S38</f>
        <v/>
      </c>
      <c r="AA38" s="26">
        <f>(1-p_delta_g)*AA37*(1-p_eps_g*$E38)+INDEX(Calib!$E$1:$E$13,$D38)*(INDEX(Calib!$G$1:$G$13,$D38)+p_programme*$H38)</f>
        <v/>
      </c>
      <c r="AB38" s="26">
        <f>AB37*(1-p_eps_k*$E38)+p_lambda_k*(AD38-AB37*(1-p_eps_k*$E38))</f>
        <v/>
      </c>
      <c r="AC38" s="26">
        <f>INDEX(Calib!$R$1:$R$13,$D38)*$F38*(AA37*(1-p_eps_g*$E38))^INDEX(Calib!$Q$1:$Q$13,$D38)*(AB37*(1-p_eps_k*$E38))^p_alpha</f>
        <v/>
      </c>
      <c r="AD38" s="26">
        <f>p_alpha*(1-INDEX(Calib!$H$1:$H$13,$D38))*AC38/(INDEX(Calib!$K$1:$K$13,$D38)+p_delta)</f>
        <v/>
      </c>
      <c r="AE38" s="26">
        <f>AC38+$G38</f>
        <v/>
      </c>
      <c r="AF38" s="26">
        <f>p_programme*($H38+$I38)</f>
        <v/>
      </c>
      <c r="AG38" s="26">
        <f>INDEX(Calib!$I$1:$I$13,$D38)+p_sh_grant*AF38</f>
        <v/>
      </c>
      <c r="AH38" s="26">
        <f>INDEX(Calib!$H$1:$H$13,$D38)*AC38+p_gov_take*$G38+AG38+p_programme*p_pricing*$J38</f>
        <v/>
      </c>
      <c r="AI38" s="26">
        <f>INDEX(Calib!$Y$1:$Y$13,$D38)-INDEX(Calib!$Z$1:$Z$13,$D38)*(AL37/AE37-INDEX(Calib!$AA$1:$AA$13,$D38))</f>
        <v/>
      </c>
      <c r="AJ38" s="26">
        <f>INDEX(Calib!$X$1:$X$13,$D38)+INDEX(Calib!$G$1:$G$13,$D38)+AF38+AI38-AH38</f>
        <v/>
      </c>
      <c r="AK38" s="26">
        <f>p_rk*AM37+AO37*(AL37-AM37)</f>
        <v/>
      </c>
      <c r="AL38" s="26">
        <f>AL37+AK38+AJ38</f>
        <v/>
      </c>
      <c r="AM38" s="26">
        <f>INDEX(Calib!$U$1:$U$13,$D38)+(AM37-INDEX(Calib!$U$1:$U$13,$D38))*(1-p_amort)+p_sh_conc*AF38</f>
        <v/>
      </c>
      <c r="AN38" s="26">
        <f>AL38/AE38</f>
        <v/>
      </c>
      <c r="AO38" s="26">
        <f>INDEX(Calib!$K$1:$K$13,$D38)+p_eta*MAX(0,AN38-INDEX(Calib!$AA$1:$AA$13,$D38))</f>
        <v/>
      </c>
      <c r="AP38" s="26">
        <f>(1-INDEX(Calib!$H$1:$H$13,$D38))*(1-p_alpha)*AC38+AI38</f>
        <v/>
      </c>
      <c r="AQ38" s="26">
        <f>(AE38/O38-1)*100</f>
        <v/>
      </c>
      <c r="AR38" s="26">
        <f>(AE38/AE29-1)*100</f>
        <v/>
      </c>
      <c r="AS38" s="26">
        <f>(O38/O29-1)*100</f>
        <v/>
      </c>
      <c r="AT38" s="26">
        <f>(AN38-X38)*100</f>
        <v/>
      </c>
      <c r="AU38" s="26">
        <f>(AP38/Z38-1)*100</f>
        <v/>
      </c>
      <c r="AV38" s="26">
        <f>(AI38-S38)*100</f>
        <v/>
      </c>
    </row>
    <row r="39">
      <c r="A39" s="25" t="inlineStr">
        <is>
          <t>SLE</t>
        </is>
      </c>
      <c r="B39" s="25" t="n">
        <v>2034</v>
      </c>
      <c r="C39" s="25" t="n">
        <v>10</v>
      </c>
      <c r="D39" s="25" t="n">
        <v>3</v>
      </c>
      <c r="E39" s="25">
        <f>IF(AND(p_dis_year&gt;0,B39=p_dis_year),1,0)</f>
        <v/>
      </c>
      <c r="F39" s="26">
        <f>IF(AND(p_dis_year&gt;0,B39&gt;=p_dis_year),1-p_eps_a*p_rho_a^(B39-p_dis_year),1)</f>
        <v/>
      </c>
      <c r="G39" s="26">
        <f>INDEX(Calib!$N$1:$N$13,$D39)*(1-p_rent_decline*MIN(1,C39/26))</f>
        <v/>
      </c>
      <c r="H39" s="26">
        <f>IF(C39=0,0,SUMIFS(dl_val,dl_iso,$A39,dl_ind,"pub_cap",dl_year,$B39)/100)</f>
        <v/>
      </c>
      <c r="I39" s="26">
        <f>IF(C39=0,0,SUMIFS(dl_val,dl_iso,$A39,dl_ind,"pub_spend",dl_year,$B39)/100)</f>
        <v/>
      </c>
      <c r="J39" s="26">
        <f>IF(C39=0,0,SUMIFS(dl_val,dl_iso,$A39,dl_ind,"rev",dl_year,$B39)/100)</f>
        <v/>
      </c>
      <c r="K39" s="26">
        <f>(1-p_delta_g)*K38*(1-p_eps_g*$E39)+INDEX(Calib!$E$1:$E$13,$D39)*(INDEX(Calib!$G$1:$G$13,$D39)+0*$H39)</f>
        <v/>
      </c>
      <c r="L39" s="26">
        <f>L38*(1-p_eps_k*$E39)+p_lambda_k*(N39-L38*(1-p_eps_k*$E39))</f>
        <v/>
      </c>
      <c r="M39" s="26">
        <f>INDEX(Calib!$R$1:$R$13,$D39)*$F39*(K38*(1-p_eps_g*$E39))^INDEX(Calib!$Q$1:$Q$13,$D39)*(L38*(1-p_eps_k*$E39))^p_alpha</f>
        <v/>
      </c>
      <c r="N39" s="26">
        <f>p_alpha*(1-INDEX(Calib!$H$1:$H$13,$D39))*M39/(INDEX(Calib!$K$1:$K$13,$D39)+p_delta)</f>
        <v/>
      </c>
      <c r="O39" s="26">
        <f>M39+$G39</f>
        <v/>
      </c>
      <c r="P39" s="26">
        <f>0*($H39+$I39)</f>
        <v/>
      </c>
      <c r="Q39" s="26">
        <f>INDEX(Calib!$I$1:$I$13,$D39)+p_sh_grant*P39</f>
        <v/>
      </c>
      <c r="R39" s="26">
        <f>INDEX(Calib!$H$1:$H$13,$D39)*M39+p_gov_take*$G39+Q39+0*p_pricing*$J39</f>
        <v/>
      </c>
      <c r="S39" s="26">
        <f>INDEX(Calib!$Y$1:$Y$13,$D39)-INDEX(Calib!$Z$1:$Z$13,$D39)*(V38/O38-INDEX(Calib!$AA$1:$AA$13,$D39))</f>
        <v/>
      </c>
      <c r="T39" s="26">
        <f>INDEX(Calib!$X$1:$X$13,$D39)+INDEX(Calib!$G$1:$G$13,$D39)+P39+S39-R39</f>
        <v/>
      </c>
      <c r="U39" s="26">
        <f>p_rk*W38+Y38*(V38-W38)</f>
        <v/>
      </c>
      <c r="V39" s="26">
        <f>V38+U39+T39</f>
        <v/>
      </c>
      <c r="W39" s="26">
        <f>INDEX(Calib!$U$1:$U$13,$D39)+(W38-INDEX(Calib!$U$1:$U$13,$D39))*(1-p_amort)+p_sh_conc*P39</f>
        <v/>
      </c>
      <c r="X39" s="26">
        <f>V39/O39</f>
        <v/>
      </c>
      <c r="Y39" s="26">
        <f>INDEX(Calib!$K$1:$K$13,$D39)+p_eta*MAX(0,X39-INDEX(Calib!$AA$1:$AA$13,$D39))</f>
        <v/>
      </c>
      <c r="Z39" s="26">
        <f>(1-INDEX(Calib!$H$1:$H$13,$D39))*(1-p_alpha)*M39+S39</f>
        <v/>
      </c>
      <c r="AA39" s="26">
        <f>(1-p_delta_g)*AA38*(1-p_eps_g*$E39)+INDEX(Calib!$E$1:$E$13,$D39)*(INDEX(Calib!$G$1:$G$13,$D39)+p_programme*$H39)</f>
        <v/>
      </c>
      <c r="AB39" s="26">
        <f>AB38*(1-p_eps_k*$E39)+p_lambda_k*(AD39-AB38*(1-p_eps_k*$E39))</f>
        <v/>
      </c>
      <c r="AC39" s="26">
        <f>INDEX(Calib!$R$1:$R$13,$D39)*$F39*(AA38*(1-p_eps_g*$E39))^INDEX(Calib!$Q$1:$Q$13,$D39)*(AB38*(1-p_eps_k*$E39))^p_alpha</f>
        <v/>
      </c>
      <c r="AD39" s="26">
        <f>p_alpha*(1-INDEX(Calib!$H$1:$H$13,$D39))*AC39/(INDEX(Calib!$K$1:$K$13,$D39)+p_delta)</f>
        <v/>
      </c>
      <c r="AE39" s="26">
        <f>AC39+$G39</f>
        <v/>
      </c>
      <c r="AF39" s="26">
        <f>p_programme*($H39+$I39)</f>
        <v/>
      </c>
      <c r="AG39" s="26">
        <f>INDEX(Calib!$I$1:$I$13,$D39)+p_sh_grant*AF39</f>
        <v/>
      </c>
      <c r="AH39" s="26">
        <f>INDEX(Calib!$H$1:$H$13,$D39)*AC39+p_gov_take*$G39+AG39+p_programme*p_pricing*$J39</f>
        <v/>
      </c>
      <c r="AI39" s="26">
        <f>INDEX(Calib!$Y$1:$Y$13,$D39)-INDEX(Calib!$Z$1:$Z$13,$D39)*(AL38/AE38-INDEX(Calib!$AA$1:$AA$13,$D39))</f>
        <v/>
      </c>
      <c r="AJ39" s="26">
        <f>INDEX(Calib!$X$1:$X$13,$D39)+INDEX(Calib!$G$1:$G$13,$D39)+AF39+AI39-AH39</f>
        <v/>
      </c>
      <c r="AK39" s="26">
        <f>p_rk*AM38+AO38*(AL38-AM38)</f>
        <v/>
      </c>
      <c r="AL39" s="26">
        <f>AL38+AK39+AJ39</f>
        <v/>
      </c>
      <c r="AM39" s="26">
        <f>INDEX(Calib!$U$1:$U$13,$D39)+(AM38-INDEX(Calib!$U$1:$U$13,$D39))*(1-p_amort)+p_sh_conc*AF39</f>
        <v/>
      </c>
      <c r="AN39" s="26">
        <f>AL39/AE39</f>
        <v/>
      </c>
      <c r="AO39" s="26">
        <f>INDEX(Calib!$K$1:$K$13,$D39)+p_eta*MAX(0,AN39-INDEX(Calib!$AA$1:$AA$13,$D39))</f>
        <v/>
      </c>
      <c r="AP39" s="26">
        <f>(1-INDEX(Calib!$H$1:$H$13,$D39))*(1-p_alpha)*AC39+AI39</f>
        <v/>
      </c>
      <c r="AQ39" s="26">
        <f>(AE39/O39-1)*100</f>
        <v/>
      </c>
      <c r="AR39" s="26">
        <f>(AE39/AE29-1)*100</f>
        <v/>
      </c>
      <c r="AS39" s="26">
        <f>(O39/O29-1)*100</f>
        <v/>
      </c>
      <c r="AT39" s="26">
        <f>(AN39-X39)*100</f>
        <v/>
      </c>
      <c r="AU39" s="26">
        <f>(AP39/Z39-1)*100</f>
        <v/>
      </c>
      <c r="AV39" s="26">
        <f>(AI39-S39)*100</f>
        <v/>
      </c>
    </row>
    <row r="40">
      <c r="A40" s="25" t="inlineStr">
        <is>
          <t>SLE</t>
        </is>
      </c>
      <c r="B40" s="25" t="n">
        <v>2035</v>
      </c>
      <c r="C40" s="25" t="n">
        <v>11</v>
      </c>
      <c r="D40" s="25" t="n">
        <v>3</v>
      </c>
      <c r="E40" s="25">
        <f>IF(AND(p_dis_year&gt;0,B40=p_dis_year),1,0)</f>
        <v/>
      </c>
      <c r="F40" s="26">
        <f>IF(AND(p_dis_year&gt;0,B40&gt;=p_dis_year),1-p_eps_a*p_rho_a^(B40-p_dis_year),1)</f>
        <v/>
      </c>
      <c r="G40" s="26">
        <f>INDEX(Calib!$N$1:$N$13,$D40)*(1-p_rent_decline*MIN(1,C40/26))</f>
        <v/>
      </c>
      <c r="H40" s="26">
        <f>IF(C40=0,0,SUMIFS(dl_val,dl_iso,$A40,dl_ind,"pub_cap",dl_year,$B40)/100)</f>
        <v/>
      </c>
      <c r="I40" s="26">
        <f>IF(C40=0,0,SUMIFS(dl_val,dl_iso,$A40,dl_ind,"pub_spend",dl_year,$B40)/100)</f>
        <v/>
      </c>
      <c r="J40" s="26">
        <f>IF(C40=0,0,SUMIFS(dl_val,dl_iso,$A40,dl_ind,"rev",dl_year,$B40)/100)</f>
        <v/>
      </c>
      <c r="K40" s="26">
        <f>(1-p_delta_g)*K39*(1-p_eps_g*$E40)+INDEX(Calib!$E$1:$E$13,$D40)*(INDEX(Calib!$G$1:$G$13,$D40)+0*$H40)</f>
        <v/>
      </c>
      <c r="L40" s="26">
        <f>L39*(1-p_eps_k*$E40)+p_lambda_k*(N40-L39*(1-p_eps_k*$E40))</f>
        <v/>
      </c>
      <c r="M40" s="26">
        <f>INDEX(Calib!$R$1:$R$13,$D40)*$F40*(K39*(1-p_eps_g*$E40))^INDEX(Calib!$Q$1:$Q$13,$D40)*(L39*(1-p_eps_k*$E40))^p_alpha</f>
        <v/>
      </c>
      <c r="N40" s="26">
        <f>p_alpha*(1-INDEX(Calib!$H$1:$H$13,$D40))*M40/(INDEX(Calib!$K$1:$K$13,$D40)+p_delta)</f>
        <v/>
      </c>
      <c r="O40" s="26">
        <f>M40+$G40</f>
        <v/>
      </c>
      <c r="P40" s="26">
        <f>0*($H40+$I40)</f>
        <v/>
      </c>
      <c r="Q40" s="26">
        <f>INDEX(Calib!$I$1:$I$13,$D40)+p_sh_grant*P40</f>
        <v/>
      </c>
      <c r="R40" s="26">
        <f>INDEX(Calib!$H$1:$H$13,$D40)*M40+p_gov_take*$G40+Q40+0*p_pricing*$J40</f>
        <v/>
      </c>
      <c r="S40" s="26">
        <f>INDEX(Calib!$Y$1:$Y$13,$D40)-INDEX(Calib!$Z$1:$Z$13,$D40)*(V39/O39-INDEX(Calib!$AA$1:$AA$13,$D40))</f>
        <v/>
      </c>
      <c r="T40" s="26">
        <f>INDEX(Calib!$X$1:$X$13,$D40)+INDEX(Calib!$G$1:$G$13,$D40)+P40+S40-R40</f>
        <v/>
      </c>
      <c r="U40" s="26">
        <f>p_rk*W39+Y39*(V39-W39)</f>
        <v/>
      </c>
      <c r="V40" s="26">
        <f>V39+U40+T40</f>
        <v/>
      </c>
      <c r="W40" s="26">
        <f>INDEX(Calib!$U$1:$U$13,$D40)+(W39-INDEX(Calib!$U$1:$U$13,$D40))*(1-p_amort)+p_sh_conc*P40</f>
        <v/>
      </c>
      <c r="X40" s="26">
        <f>V40/O40</f>
        <v/>
      </c>
      <c r="Y40" s="26">
        <f>INDEX(Calib!$K$1:$K$13,$D40)+p_eta*MAX(0,X40-INDEX(Calib!$AA$1:$AA$13,$D40))</f>
        <v/>
      </c>
      <c r="Z40" s="26">
        <f>(1-INDEX(Calib!$H$1:$H$13,$D40))*(1-p_alpha)*M40+S40</f>
        <v/>
      </c>
      <c r="AA40" s="26">
        <f>(1-p_delta_g)*AA39*(1-p_eps_g*$E40)+INDEX(Calib!$E$1:$E$13,$D40)*(INDEX(Calib!$G$1:$G$13,$D40)+p_programme*$H40)</f>
        <v/>
      </c>
      <c r="AB40" s="26">
        <f>AB39*(1-p_eps_k*$E40)+p_lambda_k*(AD40-AB39*(1-p_eps_k*$E40))</f>
        <v/>
      </c>
      <c r="AC40" s="26">
        <f>INDEX(Calib!$R$1:$R$13,$D40)*$F40*(AA39*(1-p_eps_g*$E40))^INDEX(Calib!$Q$1:$Q$13,$D40)*(AB39*(1-p_eps_k*$E40))^p_alpha</f>
        <v/>
      </c>
      <c r="AD40" s="26">
        <f>p_alpha*(1-INDEX(Calib!$H$1:$H$13,$D40))*AC40/(INDEX(Calib!$K$1:$K$13,$D40)+p_delta)</f>
        <v/>
      </c>
      <c r="AE40" s="26">
        <f>AC40+$G40</f>
        <v/>
      </c>
      <c r="AF40" s="26">
        <f>p_programme*($H40+$I40)</f>
        <v/>
      </c>
      <c r="AG40" s="26">
        <f>INDEX(Calib!$I$1:$I$13,$D40)+p_sh_grant*AF40</f>
        <v/>
      </c>
      <c r="AH40" s="26">
        <f>INDEX(Calib!$H$1:$H$13,$D40)*AC40+p_gov_take*$G40+AG40+p_programme*p_pricing*$J40</f>
        <v/>
      </c>
      <c r="AI40" s="26">
        <f>INDEX(Calib!$Y$1:$Y$13,$D40)-INDEX(Calib!$Z$1:$Z$13,$D40)*(AL39/AE39-INDEX(Calib!$AA$1:$AA$13,$D40))</f>
        <v/>
      </c>
      <c r="AJ40" s="26">
        <f>INDEX(Calib!$X$1:$X$13,$D40)+INDEX(Calib!$G$1:$G$13,$D40)+AF40+AI40-AH40</f>
        <v/>
      </c>
      <c r="AK40" s="26">
        <f>p_rk*AM39+AO39*(AL39-AM39)</f>
        <v/>
      </c>
      <c r="AL40" s="26">
        <f>AL39+AK40+AJ40</f>
        <v/>
      </c>
      <c r="AM40" s="26">
        <f>INDEX(Calib!$U$1:$U$13,$D40)+(AM39-INDEX(Calib!$U$1:$U$13,$D40))*(1-p_amort)+p_sh_conc*AF40</f>
        <v/>
      </c>
      <c r="AN40" s="26">
        <f>AL40/AE40</f>
        <v/>
      </c>
      <c r="AO40" s="26">
        <f>INDEX(Calib!$K$1:$K$13,$D40)+p_eta*MAX(0,AN40-INDEX(Calib!$AA$1:$AA$13,$D40))</f>
        <v/>
      </c>
      <c r="AP40" s="26">
        <f>(1-INDEX(Calib!$H$1:$H$13,$D40))*(1-p_alpha)*AC40+AI40</f>
        <v/>
      </c>
      <c r="AQ40" s="26">
        <f>(AE40/O40-1)*100</f>
        <v/>
      </c>
      <c r="AR40" s="26">
        <f>(AE40/AE29-1)*100</f>
        <v/>
      </c>
      <c r="AS40" s="26">
        <f>(O40/O29-1)*100</f>
        <v/>
      </c>
      <c r="AT40" s="26">
        <f>(AN40-X40)*100</f>
        <v/>
      </c>
      <c r="AU40" s="26">
        <f>(AP40/Z40-1)*100</f>
        <v/>
      </c>
      <c r="AV40" s="26">
        <f>(AI40-S40)*100</f>
        <v/>
      </c>
    </row>
    <row r="41">
      <c r="A41" s="25" t="inlineStr">
        <is>
          <t>SLE</t>
        </is>
      </c>
      <c r="B41" s="25" t="n">
        <v>2036</v>
      </c>
      <c r="C41" s="25" t="n">
        <v>12</v>
      </c>
      <c r="D41" s="25" t="n">
        <v>3</v>
      </c>
      <c r="E41" s="25">
        <f>IF(AND(p_dis_year&gt;0,B41=p_dis_year),1,0)</f>
        <v/>
      </c>
      <c r="F41" s="26">
        <f>IF(AND(p_dis_year&gt;0,B41&gt;=p_dis_year),1-p_eps_a*p_rho_a^(B41-p_dis_year),1)</f>
        <v/>
      </c>
      <c r="G41" s="26">
        <f>INDEX(Calib!$N$1:$N$13,$D41)*(1-p_rent_decline*MIN(1,C41/26))</f>
        <v/>
      </c>
      <c r="H41" s="26">
        <f>IF(C41=0,0,SUMIFS(dl_val,dl_iso,$A41,dl_ind,"pub_cap",dl_year,$B41)/100)</f>
        <v/>
      </c>
      <c r="I41" s="26">
        <f>IF(C41=0,0,SUMIFS(dl_val,dl_iso,$A41,dl_ind,"pub_spend",dl_year,$B41)/100)</f>
        <v/>
      </c>
      <c r="J41" s="26">
        <f>IF(C41=0,0,SUMIFS(dl_val,dl_iso,$A41,dl_ind,"rev",dl_year,$B41)/100)</f>
        <v/>
      </c>
      <c r="K41" s="26">
        <f>(1-p_delta_g)*K40*(1-p_eps_g*$E41)+INDEX(Calib!$E$1:$E$13,$D41)*(INDEX(Calib!$G$1:$G$13,$D41)+0*$H41)</f>
        <v/>
      </c>
      <c r="L41" s="26">
        <f>L40*(1-p_eps_k*$E41)+p_lambda_k*(N41-L40*(1-p_eps_k*$E41))</f>
        <v/>
      </c>
      <c r="M41" s="26">
        <f>INDEX(Calib!$R$1:$R$13,$D41)*$F41*(K40*(1-p_eps_g*$E41))^INDEX(Calib!$Q$1:$Q$13,$D41)*(L40*(1-p_eps_k*$E41))^p_alpha</f>
        <v/>
      </c>
      <c r="N41" s="26">
        <f>p_alpha*(1-INDEX(Calib!$H$1:$H$13,$D41))*M41/(INDEX(Calib!$K$1:$K$13,$D41)+p_delta)</f>
        <v/>
      </c>
      <c r="O41" s="26">
        <f>M41+$G41</f>
        <v/>
      </c>
      <c r="P41" s="26">
        <f>0*($H41+$I41)</f>
        <v/>
      </c>
      <c r="Q41" s="26">
        <f>INDEX(Calib!$I$1:$I$13,$D41)+p_sh_grant*P41</f>
        <v/>
      </c>
      <c r="R41" s="26">
        <f>INDEX(Calib!$H$1:$H$13,$D41)*M41+p_gov_take*$G41+Q41+0*p_pricing*$J41</f>
        <v/>
      </c>
      <c r="S41" s="26">
        <f>INDEX(Calib!$Y$1:$Y$13,$D41)-INDEX(Calib!$Z$1:$Z$13,$D41)*(V40/O40-INDEX(Calib!$AA$1:$AA$13,$D41))</f>
        <v/>
      </c>
      <c r="T41" s="26">
        <f>INDEX(Calib!$X$1:$X$13,$D41)+INDEX(Calib!$G$1:$G$13,$D41)+P41+S41-R41</f>
        <v/>
      </c>
      <c r="U41" s="26">
        <f>p_rk*W40+Y40*(V40-W40)</f>
        <v/>
      </c>
      <c r="V41" s="26">
        <f>V40+U41+T41</f>
        <v/>
      </c>
      <c r="W41" s="26">
        <f>INDEX(Calib!$U$1:$U$13,$D41)+(W40-INDEX(Calib!$U$1:$U$13,$D41))*(1-p_amort)+p_sh_conc*P41</f>
        <v/>
      </c>
      <c r="X41" s="26">
        <f>V41/O41</f>
        <v/>
      </c>
      <c r="Y41" s="26">
        <f>INDEX(Calib!$K$1:$K$13,$D41)+p_eta*MAX(0,X41-INDEX(Calib!$AA$1:$AA$13,$D41))</f>
        <v/>
      </c>
      <c r="Z41" s="26">
        <f>(1-INDEX(Calib!$H$1:$H$13,$D41))*(1-p_alpha)*M41+S41</f>
        <v/>
      </c>
      <c r="AA41" s="26">
        <f>(1-p_delta_g)*AA40*(1-p_eps_g*$E41)+INDEX(Calib!$E$1:$E$13,$D41)*(INDEX(Calib!$G$1:$G$13,$D41)+p_programme*$H41)</f>
        <v/>
      </c>
      <c r="AB41" s="26">
        <f>AB40*(1-p_eps_k*$E41)+p_lambda_k*(AD41-AB40*(1-p_eps_k*$E41))</f>
        <v/>
      </c>
      <c r="AC41" s="26">
        <f>INDEX(Calib!$R$1:$R$13,$D41)*$F41*(AA40*(1-p_eps_g*$E41))^INDEX(Calib!$Q$1:$Q$13,$D41)*(AB40*(1-p_eps_k*$E41))^p_alpha</f>
        <v/>
      </c>
      <c r="AD41" s="26">
        <f>p_alpha*(1-INDEX(Calib!$H$1:$H$13,$D41))*AC41/(INDEX(Calib!$K$1:$K$13,$D41)+p_delta)</f>
        <v/>
      </c>
      <c r="AE41" s="26">
        <f>AC41+$G41</f>
        <v/>
      </c>
      <c r="AF41" s="26">
        <f>p_programme*($H41+$I41)</f>
        <v/>
      </c>
      <c r="AG41" s="26">
        <f>INDEX(Calib!$I$1:$I$13,$D41)+p_sh_grant*AF41</f>
        <v/>
      </c>
      <c r="AH41" s="26">
        <f>INDEX(Calib!$H$1:$H$13,$D41)*AC41+p_gov_take*$G41+AG41+p_programme*p_pricing*$J41</f>
        <v/>
      </c>
      <c r="AI41" s="26">
        <f>INDEX(Calib!$Y$1:$Y$13,$D41)-INDEX(Calib!$Z$1:$Z$13,$D41)*(AL40/AE40-INDEX(Calib!$AA$1:$AA$13,$D41))</f>
        <v/>
      </c>
      <c r="AJ41" s="26">
        <f>INDEX(Calib!$X$1:$X$13,$D41)+INDEX(Calib!$G$1:$G$13,$D41)+AF41+AI41-AH41</f>
        <v/>
      </c>
      <c r="AK41" s="26">
        <f>p_rk*AM40+AO40*(AL40-AM40)</f>
        <v/>
      </c>
      <c r="AL41" s="26">
        <f>AL40+AK41+AJ41</f>
        <v/>
      </c>
      <c r="AM41" s="26">
        <f>INDEX(Calib!$U$1:$U$13,$D41)+(AM40-INDEX(Calib!$U$1:$U$13,$D41))*(1-p_amort)+p_sh_conc*AF41</f>
        <v/>
      </c>
      <c r="AN41" s="26">
        <f>AL41/AE41</f>
        <v/>
      </c>
      <c r="AO41" s="26">
        <f>INDEX(Calib!$K$1:$K$13,$D41)+p_eta*MAX(0,AN41-INDEX(Calib!$AA$1:$AA$13,$D41))</f>
        <v/>
      </c>
      <c r="AP41" s="26">
        <f>(1-INDEX(Calib!$H$1:$H$13,$D41))*(1-p_alpha)*AC41+AI41</f>
        <v/>
      </c>
      <c r="AQ41" s="26">
        <f>(AE41/O41-1)*100</f>
        <v/>
      </c>
      <c r="AR41" s="26">
        <f>(AE41/AE29-1)*100</f>
        <v/>
      </c>
      <c r="AS41" s="26">
        <f>(O41/O29-1)*100</f>
        <v/>
      </c>
      <c r="AT41" s="26">
        <f>(AN41-X41)*100</f>
        <v/>
      </c>
      <c r="AU41" s="26">
        <f>(AP41/Z41-1)*100</f>
        <v/>
      </c>
      <c r="AV41" s="26">
        <f>(AI41-S41)*100</f>
        <v/>
      </c>
    </row>
    <row r="42">
      <c r="A42" s="25" t="inlineStr">
        <is>
          <t>SLE</t>
        </is>
      </c>
      <c r="B42" s="25" t="n">
        <v>2037</v>
      </c>
      <c r="C42" s="25" t="n">
        <v>13</v>
      </c>
      <c r="D42" s="25" t="n">
        <v>3</v>
      </c>
      <c r="E42" s="25">
        <f>IF(AND(p_dis_year&gt;0,B42=p_dis_year),1,0)</f>
        <v/>
      </c>
      <c r="F42" s="26">
        <f>IF(AND(p_dis_year&gt;0,B42&gt;=p_dis_year),1-p_eps_a*p_rho_a^(B42-p_dis_year),1)</f>
        <v/>
      </c>
      <c r="G42" s="26">
        <f>INDEX(Calib!$N$1:$N$13,$D42)*(1-p_rent_decline*MIN(1,C42/26))</f>
        <v/>
      </c>
      <c r="H42" s="26">
        <f>IF(C42=0,0,SUMIFS(dl_val,dl_iso,$A42,dl_ind,"pub_cap",dl_year,$B42)/100)</f>
        <v/>
      </c>
      <c r="I42" s="26">
        <f>IF(C42=0,0,SUMIFS(dl_val,dl_iso,$A42,dl_ind,"pub_spend",dl_year,$B42)/100)</f>
        <v/>
      </c>
      <c r="J42" s="26">
        <f>IF(C42=0,0,SUMIFS(dl_val,dl_iso,$A42,dl_ind,"rev",dl_year,$B42)/100)</f>
        <v/>
      </c>
      <c r="K42" s="26">
        <f>(1-p_delta_g)*K41*(1-p_eps_g*$E42)+INDEX(Calib!$E$1:$E$13,$D42)*(INDEX(Calib!$G$1:$G$13,$D42)+0*$H42)</f>
        <v/>
      </c>
      <c r="L42" s="26">
        <f>L41*(1-p_eps_k*$E42)+p_lambda_k*(N42-L41*(1-p_eps_k*$E42))</f>
        <v/>
      </c>
      <c r="M42" s="26">
        <f>INDEX(Calib!$R$1:$R$13,$D42)*$F42*(K41*(1-p_eps_g*$E42))^INDEX(Calib!$Q$1:$Q$13,$D42)*(L41*(1-p_eps_k*$E42))^p_alpha</f>
        <v/>
      </c>
      <c r="N42" s="26">
        <f>p_alpha*(1-INDEX(Calib!$H$1:$H$13,$D42))*M42/(INDEX(Calib!$K$1:$K$13,$D42)+p_delta)</f>
        <v/>
      </c>
      <c r="O42" s="26">
        <f>M42+$G42</f>
        <v/>
      </c>
      <c r="P42" s="26">
        <f>0*($H42+$I42)</f>
        <v/>
      </c>
      <c r="Q42" s="26">
        <f>INDEX(Calib!$I$1:$I$13,$D42)+p_sh_grant*P42</f>
        <v/>
      </c>
      <c r="R42" s="26">
        <f>INDEX(Calib!$H$1:$H$13,$D42)*M42+p_gov_take*$G42+Q42+0*p_pricing*$J42</f>
        <v/>
      </c>
      <c r="S42" s="26">
        <f>INDEX(Calib!$Y$1:$Y$13,$D42)-INDEX(Calib!$Z$1:$Z$13,$D42)*(V41/O41-INDEX(Calib!$AA$1:$AA$13,$D42))</f>
        <v/>
      </c>
      <c r="T42" s="26">
        <f>INDEX(Calib!$X$1:$X$13,$D42)+INDEX(Calib!$G$1:$G$13,$D42)+P42+S42-R42</f>
        <v/>
      </c>
      <c r="U42" s="26">
        <f>p_rk*W41+Y41*(V41-W41)</f>
        <v/>
      </c>
      <c r="V42" s="26">
        <f>V41+U42+T42</f>
        <v/>
      </c>
      <c r="W42" s="26">
        <f>INDEX(Calib!$U$1:$U$13,$D42)+(W41-INDEX(Calib!$U$1:$U$13,$D42))*(1-p_amort)+p_sh_conc*P42</f>
        <v/>
      </c>
      <c r="X42" s="26">
        <f>V42/O42</f>
        <v/>
      </c>
      <c r="Y42" s="26">
        <f>INDEX(Calib!$K$1:$K$13,$D42)+p_eta*MAX(0,X42-INDEX(Calib!$AA$1:$AA$13,$D42))</f>
        <v/>
      </c>
      <c r="Z42" s="26">
        <f>(1-INDEX(Calib!$H$1:$H$13,$D42))*(1-p_alpha)*M42+S42</f>
        <v/>
      </c>
      <c r="AA42" s="26">
        <f>(1-p_delta_g)*AA41*(1-p_eps_g*$E42)+INDEX(Calib!$E$1:$E$13,$D42)*(INDEX(Calib!$G$1:$G$13,$D42)+p_programme*$H42)</f>
        <v/>
      </c>
      <c r="AB42" s="26">
        <f>AB41*(1-p_eps_k*$E42)+p_lambda_k*(AD42-AB41*(1-p_eps_k*$E42))</f>
        <v/>
      </c>
      <c r="AC42" s="26">
        <f>INDEX(Calib!$R$1:$R$13,$D42)*$F42*(AA41*(1-p_eps_g*$E42))^INDEX(Calib!$Q$1:$Q$13,$D42)*(AB41*(1-p_eps_k*$E42))^p_alpha</f>
        <v/>
      </c>
      <c r="AD42" s="26">
        <f>p_alpha*(1-INDEX(Calib!$H$1:$H$13,$D42))*AC42/(INDEX(Calib!$K$1:$K$13,$D42)+p_delta)</f>
        <v/>
      </c>
      <c r="AE42" s="26">
        <f>AC42+$G42</f>
        <v/>
      </c>
      <c r="AF42" s="26">
        <f>p_programme*($H42+$I42)</f>
        <v/>
      </c>
      <c r="AG42" s="26">
        <f>INDEX(Calib!$I$1:$I$13,$D42)+p_sh_grant*AF42</f>
        <v/>
      </c>
      <c r="AH42" s="26">
        <f>INDEX(Calib!$H$1:$H$13,$D42)*AC42+p_gov_take*$G42+AG42+p_programme*p_pricing*$J42</f>
        <v/>
      </c>
      <c r="AI42" s="26">
        <f>INDEX(Calib!$Y$1:$Y$13,$D42)-INDEX(Calib!$Z$1:$Z$13,$D42)*(AL41/AE41-INDEX(Calib!$AA$1:$AA$13,$D42))</f>
        <v/>
      </c>
      <c r="AJ42" s="26">
        <f>INDEX(Calib!$X$1:$X$13,$D42)+INDEX(Calib!$G$1:$G$13,$D42)+AF42+AI42-AH42</f>
        <v/>
      </c>
      <c r="AK42" s="26">
        <f>p_rk*AM41+AO41*(AL41-AM41)</f>
        <v/>
      </c>
      <c r="AL42" s="26">
        <f>AL41+AK42+AJ42</f>
        <v/>
      </c>
      <c r="AM42" s="26">
        <f>INDEX(Calib!$U$1:$U$13,$D42)+(AM41-INDEX(Calib!$U$1:$U$13,$D42))*(1-p_amort)+p_sh_conc*AF42</f>
        <v/>
      </c>
      <c r="AN42" s="26">
        <f>AL42/AE42</f>
        <v/>
      </c>
      <c r="AO42" s="26">
        <f>INDEX(Calib!$K$1:$K$13,$D42)+p_eta*MAX(0,AN42-INDEX(Calib!$AA$1:$AA$13,$D42))</f>
        <v/>
      </c>
      <c r="AP42" s="26">
        <f>(1-INDEX(Calib!$H$1:$H$13,$D42))*(1-p_alpha)*AC42+AI42</f>
        <v/>
      </c>
      <c r="AQ42" s="26">
        <f>(AE42/O42-1)*100</f>
        <v/>
      </c>
      <c r="AR42" s="26">
        <f>(AE42/AE29-1)*100</f>
        <v/>
      </c>
      <c r="AS42" s="26">
        <f>(O42/O29-1)*100</f>
        <v/>
      </c>
      <c r="AT42" s="26">
        <f>(AN42-X42)*100</f>
        <v/>
      </c>
      <c r="AU42" s="26">
        <f>(AP42/Z42-1)*100</f>
        <v/>
      </c>
      <c r="AV42" s="26">
        <f>(AI42-S42)*100</f>
        <v/>
      </c>
    </row>
    <row r="43">
      <c r="A43" s="25" t="inlineStr">
        <is>
          <t>SLE</t>
        </is>
      </c>
      <c r="B43" s="25" t="n">
        <v>2038</v>
      </c>
      <c r="C43" s="25" t="n">
        <v>14</v>
      </c>
      <c r="D43" s="25" t="n">
        <v>3</v>
      </c>
      <c r="E43" s="25">
        <f>IF(AND(p_dis_year&gt;0,B43=p_dis_year),1,0)</f>
        <v/>
      </c>
      <c r="F43" s="26">
        <f>IF(AND(p_dis_year&gt;0,B43&gt;=p_dis_year),1-p_eps_a*p_rho_a^(B43-p_dis_year),1)</f>
        <v/>
      </c>
      <c r="G43" s="26">
        <f>INDEX(Calib!$N$1:$N$13,$D43)*(1-p_rent_decline*MIN(1,C43/26))</f>
        <v/>
      </c>
      <c r="H43" s="26">
        <f>IF(C43=0,0,SUMIFS(dl_val,dl_iso,$A43,dl_ind,"pub_cap",dl_year,$B43)/100)</f>
        <v/>
      </c>
      <c r="I43" s="26">
        <f>IF(C43=0,0,SUMIFS(dl_val,dl_iso,$A43,dl_ind,"pub_spend",dl_year,$B43)/100)</f>
        <v/>
      </c>
      <c r="J43" s="26">
        <f>IF(C43=0,0,SUMIFS(dl_val,dl_iso,$A43,dl_ind,"rev",dl_year,$B43)/100)</f>
        <v/>
      </c>
      <c r="K43" s="26">
        <f>(1-p_delta_g)*K42*(1-p_eps_g*$E43)+INDEX(Calib!$E$1:$E$13,$D43)*(INDEX(Calib!$G$1:$G$13,$D43)+0*$H43)</f>
        <v/>
      </c>
      <c r="L43" s="26">
        <f>L42*(1-p_eps_k*$E43)+p_lambda_k*(N43-L42*(1-p_eps_k*$E43))</f>
        <v/>
      </c>
      <c r="M43" s="26">
        <f>INDEX(Calib!$R$1:$R$13,$D43)*$F43*(K42*(1-p_eps_g*$E43))^INDEX(Calib!$Q$1:$Q$13,$D43)*(L42*(1-p_eps_k*$E43))^p_alpha</f>
        <v/>
      </c>
      <c r="N43" s="26">
        <f>p_alpha*(1-INDEX(Calib!$H$1:$H$13,$D43))*M43/(INDEX(Calib!$K$1:$K$13,$D43)+p_delta)</f>
        <v/>
      </c>
      <c r="O43" s="26">
        <f>M43+$G43</f>
        <v/>
      </c>
      <c r="P43" s="26">
        <f>0*($H43+$I43)</f>
        <v/>
      </c>
      <c r="Q43" s="26">
        <f>INDEX(Calib!$I$1:$I$13,$D43)+p_sh_grant*P43</f>
        <v/>
      </c>
      <c r="R43" s="26">
        <f>INDEX(Calib!$H$1:$H$13,$D43)*M43+p_gov_take*$G43+Q43+0*p_pricing*$J43</f>
        <v/>
      </c>
      <c r="S43" s="26">
        <f>INDEX(Calib!$Y$1:$Y$13,$D43)-INDEX(Calib!$Z$1:$Z$13,$D43)*(V42/O42-INDEX(Calib!$AA$1:$AA$13,$D43))</f>
        <v/>
      </c>
      <c r="T43" s="26">
        <f>INDEX(Calib!$X$1:$X$13,$D43)+INDEX(Calib!$G$1:$G$13,$D43)+P43+S43-R43</f>
        <v/>
      </c>
      <c r="U43" s="26">
        <f>p_rk*W42+Y42*(V42-W42)</f>
        <v/>
      </c>
      <c r="V43" s="26">
        <f>V42+U43+T43</f>
        <v/>
      </c>
      <c r="W43" s="26">
        <f>INDEX(Calib!$U$1:$U$13,$D43)+(W42-INDEX(Calib!$U$1:$U$13,$D43))*(1-p_amort)+p_sh_conc*P43</f>
        <v/>
      </c>
      <c r="X43" s="26">
        <f>V43/O43</f>
        <v/>
      </c>
      <c r="Y43" s="26">
        <f>INDEX(Calib!$K$1:$K$13,$D43)+p_eta*MAX(0,X43-INDEX(Calib!$AA$1:$AA$13,$D43))</f>
        <v/>
      </c>
      <c r="Z43" s="26">
        <f>(1-INDEX(Calib!$H$1:$H$13,$D43))*(1-p_alpha)*M43+S43</f>
        <v/>
      </c>
      <c r="AA43" s="26">
        <f>(1-p_delta_g)*AA42*(1-p_eps_g*$E43)+INDEX(Calib!$E$1:$E$13,$D43)*(INDEX(Calib!$G$1:$G$13,$D43)+p_programme*$H43)</f>
        <v/>
      </c>
      <c r="AB43" s="26">
        <f>AB42*(1-p_eps_k*$E43)+p_lambda_k*(AD43-AB42*(1-p_eps_k*$E43))</f>
        <v/>
      </c>
      <c r="AC43" s="26">
        <f>INDEX(Calib!$R$1:$R$13,$D43)*$F43*(AA42*(1-p_eps_g*$E43))^INDEX(Calib!$Q$1:$Q$13,$D43)*(AB42*(1-p_eps_k*$E43))^p_alpha</f>
        <v/>
      </c>
      <c r="AD43" s="26">
        <f>p_alpha*(1-INDEX(Calib!$H$1:$H$13,$D43))*AC43/(INDEX(Calib!$K$1:$K$13,$D43)+p_delta)</f>
        <v/>
      </c>
      <c r="AE43" s="26">
        <f>AC43+$G43</f>
        <v/>
      </c>
      <c r="AF43" s="26">
        <f>p_programme*($H43+$I43)</f>
        <v/>
      </c>
      <c r="AG43" s="26">
        <f>INDEX(Calib!$I$1:$I$13,$D43)+p_sh_grant*AF43</f>
        <v/>
      </c>
      <c r="AH43" s="26">
        <f>INDEX(Calib!$H$1:$H$13,$D43)*AC43+p_gov_take*$G43+AG43+p_programme*p_pricing*$J43</f>
        <v/>
      </c>
      <c r="AI43" s="26">
        <f>INDEX(Calib!$Y$1:$Y$13,$D43)-INDEX(Calib!$Z$1:$Z$13,$D43)*(AL42/AE42-INDEX(Calib!$AA$1:$AA$13,$D43))</f>
        <v/>
      </c>
      <c r="AJ43" s="26">
        <f>INDEX(Calib!$X$1:$X$13,$D43)+INDEX(Calib!$G$1:$G$13,$D43)+AF43+AI43-AH43</f>
        <v/>
      </c>
      <c r="AK43" s="26">
        <f>p_rk*AM42+AO42*(AL42-AM42)</f>
        <v/>
      </c>
      <c r="AL43" s="26">
        <f>AL42+AK43+AJ43</f>
        <v/>
      </c>
      <c r="AM43" s="26">
        <f>INDEX(Calib!$U$1:$U$13,$D43)+(AM42-INDEX(Calib!$U$1:$U$13,$D43))*(1-p_amort)+p_sh_conc*AF43</f>
        <v/>
      </c>
      <c r="AN43" s="26">
        <f>AL43/AE43</f>
        <v/>
      </c>
      <c r="AO43" s="26">
        <f>INDEX(Calib!$K$1:$K$13,$D43)+p_eta*MAX(0,AN43-INDEX(Calib!$AA$1:$AA$13,$D43))</f>
        <v/>
      </c>
      <c r="AP43" s="26">
        <f>(1-INDEX(Calib!$H$1:$H$13,$D43))*(1-p_alpha)*AC43+AI43</f>
        <v/>
      </c>
      <c r="AQ43" s="26">
        <f>(AE43/O43-1)*100</f>
        <v/>
      </c>
      <c r="AR43" s="26">
        <f>(AE43/AE29-1)*100</f>
        <v/>
      </c>
      <c r="AS43" s="26">
        <f>(O43/O29-1)*100</f>
        <v/>
      </c>
      <c r="AT43" s="26">
        <f>(AN43-X43)*100</f>
        <v/>
      </c>
      <c r="AU43" s="26">
        <f>(AP43/Z43-1)*100</f>
        <v/>
      </c>
      <c r="AV43" s="26">
        <f>(AI43-S43)*100</f>
        <v/>
      </c>
    </row>
    <row r="44">
      <c r="A44" s="25" t="inlineStr">
        <is>
          <t>SLE</t>
        </is>
      </c>
      <c r="B44" s="25" t="n">
        <v>2039</v>
      </c>
      <c r="C44" s="25" t="n">
        <v>15</v>
      </c>
      <c r="D44" s="25" t="n">
        <v>3</v>
      </c>
      <c r="E44" s="25">
        <f>IF(AND(p_dis_year&gt;0,B44=p_dis_year),1,0)</f>
        <v/>
      </c>
      <c r="F44" s="26">
        <f>IF(AND(p_dis_year&gt;0,B44&gt;=p_dis_year),1-p_eps_a*p_rho_a^(B44-p_dis_year),1)</f>
        <v/>
      </c>
      <c r="G44" s="26">
        <f>INDEX(Calib!$N$1:$N$13,$D44)*(1-p_rent_decline*MIN(1,C44/26))</f>
        <v/>
      </c>
      <c r="H44" s="26">
        <f>IF(C44=0,0,SUMIFS(dl_val,dl_iso,$A44,dl_ind,"pub_cap",dl_year,$B44)/100)</f>
        <v/>
      </c>
      <c r="I44" s="26">
        <f>IF(C44=0,0,SUMIFS(dl_val,dl_iso,$A44,dl_ind,"pub_spend",dl_year,$B44)/100)</f>
        <v/>
      </c>
      <c r="J44" s="26">
        <f>IF(C44=0,0,SUMIFS(dl_val,dl_iso,$A44,dl_ind,"rev",dl_year,$B44)/100)</f>
        <v/>
      </c>
      <c r="K44" s="26">
        <f>(1-p_delta_g)*K43*(1-p_eps_g*$E44)+INDEX(Calib!$E$1:$E$13,$D44)*(INDEX(Calib!$G$1:$G$13,$D44)+0*$H44)</f>
        <v/>
      </c>
      <c r="L44" s="26">
        <f>L43*(1-p_eps_k*$E44)+p_lambda_k*(N44-L43*(1-p_eps_k*$E44))</f>
        <v/>
      </c>
      <c r="M44" s="26">
        <f>INDEX(Calib!$R$1:$R$13,$D44)*$F44*(K43*(1-p_eps_g*$E44))^INDEX(Calib!$Q$1:$Q$13,$D44)*(L43*(1-p_eps_k*$E44))^p_alpha</f>
        <v/>
      </c>
      <c r="N44" s="26">
        <f>p_alpha*(1-INDEX(Calib!$H$1:$H$13,$D44))*M44/(INDEX(Calib!$K$1:$K$13,$D44)+p_delta)</f>
        <v/>
      </c>
      <c r="O44" s="26">
        <f>M44+$G44</f>
        <v/>
      </c>
      <c r="P44" s="26">
        <f>0*($H44+$I44)</f>
        <v/>
      </c>
      <c r="Q44" s="26">
        <f>INDEX(Calib!$I$1:$I$13,$D44)+p_sh_grant*P44</f>
        <v/>
      </c>
      <c r="R44" s="26">
        <f>INDEX(Calib!$H$1:$H$13,$D44)*M44+p_gov_take*$G44+Q44+0*p_pricing*$J44</f>
        <v/>
      </c>
      <c r="S44" s="26">
        <f>INDEX(Calib!$Y$1:$Y$13,$D44)-INDEX(Calib!$Z$1:$Z$13,$D44)*(V43/O43-INDEX(Calib!$AA$1:$AA$13,$D44))</f>
        <v/>
      </c>
      <c r="T44" s="26">
        <f>INDEX(Calib!$X$1:$X$13,$D44)+INDEX(Calib!$G$1:$G$13,$D44)+P44+S44-R44</f>
        <v/>
      </c>
      <c r="U44" s="26">
        <f>p_rk*W43+Y43*(V43-W43)</f>
        <v/>
      </c>
      <c r="V44" s="26">
        <f>V43+U44+T44</f>
        <v/>
      </c>
      <c r="W44" s="26">
        <f>INDEX(Calib!$U$1:$U$13,$D44)+(W43-INDEX(Calib!$U$1:$U$13,$D44))*(1-p_amort)+p_sh_conc*P44</f>
        <v/>
      </c>
      <c r="X44" s="26">
        <f>V44/O44</f>
        <v/>
      </c>
      <c r="Y44" s="26">
        <f>INDEX(Calib!$K$1:$K$13,$D44)+p_eta*MAX(0,X44-INDEX(Calib!$AA$1:$AA$13,$D44))</f>
        <v/>
      </c>
      <c r="Z44" s="26">
        <f>(1-INDEX(Calib!$H$1:$H$13,$D44))*(1-p_alpha)*M44+S44</f>
        <v/>
      </c>
      <c r="AA44" s="26">
        <f>(1-p_delta_g)*AA43*(1-p_eps_g*$E44)+INDEX(Calib!$E$1:$E$13,$D44)*(INDEX(Calib!$G$1:$G$13,$D44)+p_programme*$H44)</f>
        <v/>
      </c>
      <c r="AB44" s="26">
        <f>AB43*(1-p_eps_k*$E44)+p_lambda_k*(AD44-AB43*(1-p_eps_k*$E44))</f>
        <v/>
      </c>
      <c r="AC44" s="26">
        <f>INDEX(Calib!$R$1:$R$13,$D44)*$F44*(AA43*(1-p_eps_g*$E44))^INDEX(Calib!$Q$1:$Q$13,$D44)*(AB43*(1-p_eps_k*$E44))^p_alpha</f>
        <v/>
      </c>
      <c r="AD44" s="26">
        <f>p_alpha*(1-INDEX(Calib!$H$1:$H$13,$D44))*AC44/(INDEX(Calib!$K$1:$K$13,$D44)+p_delta)</f>
        <v/>
      </c>
      <c r="AE44" s="26">
        <f>AC44+$G44</f>
        <v/>
      </c>
      <c r="AF44" s="26">
        <f>p_programme*($H44+$I44)</f>
        <v/>
      </c>
      <c r="AG44" s="26">
        <f>INDEX(Calib!$I$1:$I$13,$D44)+p_sh_grant*AF44</f>
        <v/>
      </c>
      <c r="AH44" s="26">
        <f>INDEX(Calib!$H$1:$H$13,$D44)*AC44+p_gov_take*$G44+AG44+p_programme*p_pricing*$J44</f>
        <v/>
      </c>
      <c r="AI44" s="26">
        <f>INDEX(Calib!$Y$1:$Y$13,$D44)-INDEX(Calib!$Z$1:$Z$13,$D44)*(AL43/AE43-INDEX(Calib!$AA$1:$AA$13,$D44))</f>
        <v/>
      </c>
      <c r="AJ44" s="26">
        <f>INDEX(Calib!$X$1:$X$13,$D44)+INDEX(Calib!$G$1:$G$13,$D44)+AF44+AI44-AH44</f>
        <v/>
      </c>
      <c r="AK44" s="26">
        <f>p_rk*AM43+AO43*(AL43-AM43)</f>
        <v/>
      </c>
      <c r="AL44" s="26">
        <f>AL43+AK44+AJ44</f>
        <v/>
      </c>
      <c r="AM44" s="26">
        <f>INDEX(Calib!$U$1:$U$13,$D44)+(AM43-INDEX(Calib!$U$1:$U$13,$D44))*(1-p_amort)+p_sh_conc*AF44</f>
        <v/>
      </c>
      <c r="AN44" s="26">
        <f>AL44/AE44</f>
        <v/>
      </c>
      <c r="AO44" s="26">
        <f>INDEX(Calib!$K$1:$K$13,$D44)+p_eta*MAX(0,AN44-INDEX(Calib!$AA$1:$AA$13,$D44))</f>
        <v/>
      </c>
      <c r="AP44" s="26">
        <f>(1-INDEX(Calib!$H$1:$H$13,$D44))*(1-p_alpha)*AC44+AI44</f>
        <v/>
      </c>
      <c r="AQ44" s="26">
        <f>(AE44/O44-1)*100</f>
        <v/>
      </c>
      <c r="AR44" s="26">
        <f>(AE44/AE29-1)*100</f>
        <v/>
      </c>
      <c r="AS44" s="26">
        <f>(O44/O29-1)*100</f>
        <v/>
      </c>
      <c r="AT44" s="26">
        <f>(AN44-X44)*100</f>
        <v/>
      </c>
      <c r="AU44" s="26">
        <f>(AP44/Z44-1)*100</f>
        <v/>
      </c>
      <c r="AV44" s="26">
        <f>(AI44-S44)*100</f>
        <v/>
      </c>
    </row>
    <row r="45">
      <c r="A45" s="25" t="inlineStr">
        <is>
          <t>SLE</t>
        </is>
      </c>
      <c r="B45" s="25" t="n">
        <v>2040</v>
      </c>
      <c r="C45" s="25" t="n">
        <v>16</v>
      </c>
      <c r="D45" s="25" t="n">
        <v>3</v>
      </c>
      <c r="E45" s="25">
        <f>IF(AND(p_dis_year&gt;0,B45=p_dis_year),1,0)</f>
        <v/>
      </c>
      <c r="F45" s="26">
        <f>IF(AND(p_dis_year&gt;0,B45&gt;=p_dis_year),1-p_eps_a*p_rho_a^(B45-p_dis_year),1)</f>
        <v/>
      </c>
      <c r="G45" s="26">
        <f>INDEX(Calib!$N$1:$N$13,$D45)*(1-p_rent_decline*MIN(1,C45/26))</f>
        <v/>
      </c>
      <c r="H45" s="26">
        <f>IF(C45=0,0,SUMIFS(dl_val,dl_iso,$A45,dl_ind,"pub_cap",dl_year,$B45)/100)</f>
        <v/>
      </c>
      <c r="I45" s="26">
        <f>IF(C45=0,0,SUMIFS(dl_val,dl_iso,$A45,dl_ind,"pub_spend",dl_year,$B45)/100)</f>
        <v/>
      </c>
      <c r="J45" s="26">
        <f>IF(C45=0,0,SUMIFS(dl_val,dl_iso,$A45,dl_ind,"rev",dl_year,$B45)/100)</f>
        <v/>
      </c>
      <c r="K45" s="26">
        <f>(1-p_delta_g)*K44*(1-p_eps_g*$E45)+INDEX(Calib!$E$1:$E$13,$D45)*(INDEX(Calib!$G$1:$G$13,$D45)+0*$H45)</f>
        <v/>
      </c>
      <c r="L45" s="26">
        <f>L44*(1-p_eps_k*$E45)+p_lambda_k*(N45-L44*(1-p_eps_k*$E45))</f>
        <v/>
      </c>
      <c r="M45" s="26">
        <f>INDEX(Calib!$R$1:$R$13,$D45)*$F45*(K44*(1-p_eps_g*$E45))^INDEX(Calib!$Q$1:$Q$13,$D45)*(L44*(1-p_eps_k*$E45))^p_alpha</f>
        <v/>
      </c>
      <c r="N45" s="26">
        <f>p_alpha*(1-INDEX(Calib!$H$1:$H$13,$D45))*M45/(INDEX(Calib!$K$1:$K$13,$D45)+p_delta)</f>
        <v/>
      </c>
      <c r="O45" s="26">
        <f>M45+$G45</f>
        <v/>
      </c>
      <c r="P45" s="26">
        <f>0*($H45+$I45)</f>
        <v/>
      </c>
      <c r="Q45" s="26">
        <f>INDEX(Calib!$I$1:$I$13,$D45)+p_sh_grant*P45</f>
        <v/>
      </c>
      <c r="R45" s="26">
        <f>INDEX(Calib!$H$1:$H$13,$D45)*M45+p_gov_take*$G45+Q45+0*p_pricing*$J45</f>
        <v/>
      </c>
      <c r="S45" s="26">
        <f>INDEX(Calib!$Y$1:$Y$13,$D45)-INDEX(Calib!$Z$1:$Z$13,$D45)*(V44/O44-INDEX(Calib!$AA$1:$AA$13,$D45))</f>
        <v/>
      </c>
      <c r="T45" s="26">
        <f>INDEX(Calib!$X$1:$X$13,$D45)+INDEX(Calib!$G$1:$G$13,$D45)+P45+S45-R45</f>
        <v/>
      </c>
      <c r="U45" s="26">
        <f>p_rk*W44+Y44*(V44-W44)</f>
        <v/>
      </c>
      <c r="V45" s="26">
        <f>V44+U45+T45</f>
        <v/>
      </c>
      <c r="W45" s="26">
        <f>INDEX(Calib!$U$1:$U$13,$D45)+(W44-INDEX(Calib!$U$1:$U$13,$D45))*(1-p_amort)+p_sh_conc*P45</f>
        <v/>
      </c>
      <c r="X45" s="26">
        <f>V45/O45</f>
        <v/>
      </c>
      <c r="Y45" s="26">
        <f>INDEX(Calib!$K$1:$K$13,$D45)+p_eta*MAX(0,X45-INDEX(Calib!$AA$1:$AA$13,$D45))</f>
        <v/>
      </c>
      <c r="Z45" s="26">
        <f>(1-INDEX(Calib!$H$1:$H$13,$D45))*(1-p_alpha)*M45+S45</f>
        <v/>
      </c>
      <c r="AA45" s="26">
        <f>(1-p_delta_g)*AA44*(1-p_eps_g*$E45)+INDEX(Calib!$E$1:$E$13,$D45)*(INDEX(Calib!$G$1:$G$13,$D45)+p_programme*$H45)</f>
        <v/>
      </c>
      <c r="AB45" s="26">
        <f>AB44*(1-p_eps_k*$E45)+p_lambda_k*(AD45-AB44*(1-p_eps_k*$E45))</f>
        <v/>
      </c>
      <c r="AC45" s="26">
        <f>INDEX(Calib!$R$1:$R$13,$D45)*$F45*(AA44*(1-p_eps_g*$E45))^INDEX(Calib!$Q$1:$Q$13,$D45)*(AB44*(1-p_eps_k*$E45))^p_alpha</f>
        <v/>
      </c>
      <c r="AD45" s="26">
        <f>p_alpha*(1-INDEX(Calib!$H$1:$H$13,$D45))*AC45/(INDEX(Calib!$K$1:$K$13,$D45)+p_delta)</f>
        <v/>
      </c>
      <c r="AE45" s="26">
        <f>AC45+$G45</f>
        <v/>
      </c>
      <c r="AF45" s="26">
        <f>p_programme*($H45+$I45)</f>
        <v/>
      </c>
      <c r="AG45" s="26">
        <f>INDEX(Calib!$I$1:$I$13,$D45)+p_sh_grant*AF45</f>
        <v/>
      </c>
      <c r="AH45" s="26">
        <f>INDEX(Calib!$H$1:$H$13,$D45)*AC45+p_gov_take*$G45+AG45+p_programme*p_pricing*$J45</f>
        <v/>
      </c>
      <c r="AI45" s="26">
        <f>INDEX(Calib!$Y$1:$Y$13,$D45)-INDEX(Calib!$Z$1:$Z$13,$D45)*(AL44/AE44-INDEX(Calib!$AA$1:$AA$13,$D45))</f>
        <v/>
      </c>
      <c r="AJ45" s="26">
        <f>INDEX(Calib!$X$1:$X$13,$D45)+INDEX(Calib!$G$1:$G$13,$D45)+AF45+AI45-AH45</f>
        <v/>
      </c>
      <c r="AK45" s="26">
        <f>p_rk*AM44+AO44*(AL44-AM44)</f>
        <v/>
      </c>
      <c r="AL45" s="26">
        <f>AL44+AK45+AJ45</f>
        <v/>
      </c>
      <c r="AM45" s="26">
        <f>INDEX(Calib!$U$1:$U$13,$D45)+(AM44-INDEX(Calib!$U$1:$U$13,$D45))*(1-p_amort)+p_sh_conc*AF45</f>
        <v/>
      </c>
      <c r="AN45" s="26">
        <f>AL45/AE45</f>
        <v/>
      </c>
      <c r="AO45" s="26">
        <f>INDEX(Calib!$K$1:$K$13,$D45)+p_eta*MAX(0,AN45-INDEX(Calib!$AA$1:$AA$13,$D45))</f>
        <v/>
      </c>
      <c r="AP45" s="26">
        <f>(1-INDEX(Calib!$H$1:$H$13,$D45))*(1-p_alpha)*AC45+AI45</f>
        <v/>
      </c>
      <c r="AQ45" s="26">
        <f>(AE45/O45-1)*100</f>
        <v/>
      </c>
      <c r="AR45" s="26">
        <f>(AE45/AE29-1)*100</f>
        <v/>
      </c>
      <c r="AS45" s="26">
        <f>(O45/O29-1)*100</f>
        <v/>
      </c>
      <c r="AT45" s="26">
        <f>(AN45-X45)*100</f>
        <v/>
      </c>
      <c r="AU45" s="26">
        <f>(AP45/Z45-1)*100</f>
        <v/>
      </c>
      <c r="AV45" s="26">
        <f>(AI45-S45)*100</f>
        <v/>
      </c>
    </row>
    <row r="46">
      <c r="A46" s="25" t="inlineStr">
        <is>
          <t>SLE</t>
        </is>
      </c>
      <c r="B46" s="25" t="n">
        <v>2041</v>
      </c>
      <c r="C46" s="25" t="n">
        <v>17</v>
      </c>
      <c r="D46" s="25" t="n">
        <v>3</v>
      </c>
      <c r="E46" s="25">
        <f>IF(AND(p_dis_year&gt;0,B46=p_dis_year),1,0)</f>
        <v/>
      </c>
      <c r="F46" s="26">
        <f>IF(AND(p_dis_year&gt;0,B46&gt;=p_dis_year),1-p_eps_a*p_rho_a^(B46-p_dis_year),1)</f>
        <v/>
      </c>
      <c r="G46" s="26">
        <f>INDEX(Calib!$N$1:$N$13,$D46)*(1-p_rent_decline*MIN(1,C46/26))</f>
        <v/>
      </c>
      <c r="H46" s="26">
        <f>IF(C46=0,0,SUMIFS(dl_val,dl_iso,$A46,dl_ind,"pub_cap",dl_year,$B46)/100)</f>
        <v/>
      </c>
      <c r="I46" s="26">
        <f>IF(C46=0,0,SUMIFS(dl_val,dl_iso,$A46,dl_ind,"pub_spend",dl_year,$B46)/100)</f>
        <v/>
      </c>
      <c r="J46" s="26">
        <f>IF(C46=0,0,SUMIFS(dl_val,dl_iso,$A46,dl_ind,"rev",dl_year,$B46)/100)</f>
        <v/>
      </c>
      <c r="K46" s="26">
        <f>(1-p_delta_g)*K45*(1-p_eps_g*$E46)+INDEX(Calib!$E$1:$E$13,$D46)*(INDEX(Calib!$G$1:$G$13,$D46)+0*$H46)</f>
        <v/>
      </c>
      <c r="L46" s="26">
        <f>L45*(1-p_eps_k*$E46)+p_lambda_k*(N46-L45*(1-p_eps_k*$E46))</f>
        <v/>
      </c>
      <c r="M46" s="26">
        <f>INDEX(Calib!$R$1:$R$13,$D46)*$F46*(K45*(1-p_eps_g*$E46))^INDEX(Calib!$Q$1:$Q$13,$D46)*(L45*(1-p_eps_k*$E46))^p_alpha</f>
        <v/>
      </c>
      <c r="N46" s="26">
        <f>p_alpha*(1-INDEX(Calib!$H$1:$H$13,$D46))*M46/(INDEX(Calib!$K$1:$K$13,$D46)+p_delta)</f>
        <v/>
      </c>
      <c r="O46" s="26">
        <f>M46+$G46</f>
        <v/>
      </c>
      <c r="P46" s="26">
        <f>0*($H46+$I46)</f>
        <v/>
      </c>
      <c r="Q46" s="26">
        <f>INDEX(Calib!$I$1:$I$13,$D46)+p_sh_grant*P46</f>
        <v/>
      </c>
      <c r="R46" s="26">
        <f>INDEX(Calib!$H$1:$H$13,$D46)*M46+p_gov_take*$G46+Q46+0*p_pricing*$J46</f>
        <v/>
      </c>
      <c r="S46" s="26">
        <f>INDEX(Calib!$Y$1:$Y$13,$D46)-INDEX(Calib!$Z$1:$Z$13,$D46)*(V45/O45-INDEX(Calib!$AA$1:$AA$13,$D46))</f>
        <v/>
      </c>
      <c r="T46" s="26">
        <f>INDEX(Calib!$X$1:$X$13,$D46)+INDEX(Calib!$G$1:$G$13,$D46)+P46+S46-R46</f>
        <v/>
      </c>
      <c r="U46" s="26">
        <f>p_rk*W45+Y45*(V45-W45)</f>
        <v/>
      </c>
      <c r="V46" s="26">
        <f>V45+U46+T46</f>
        <v/>
      </c>
      <c r="W46" s="26">
        <f>INDEX(Calib!$U$1:$U$13,$D46)+(W45-INDEX(Calib!$U$1:$U$13,$D46))*(1-p_amort)+p_sh_conc*P46</f>
        <v/>
      </c>
      <c r="X46" s="26">
        <f>V46/O46</f>
        <v/>
      </c>
      <c r="Y46" s="26">
        <f>INDEX(Calib!$K$1:$K$13,$D46)+p_eta*MAX(0,X46-INDEX(Calib!$AA$1:$AA$13,$D46))</f>
        <v/>
      </c>
      <c r="Z46" s="26">
        <f>(1-INDEX(Calib!$H$1:$H$13,$D46))*(1-p_alpha)*M46+S46</f>
        <v/>
      </c>
      <c r="AA46" s="26">
        <f>(1-p_delta_g)*AA45*(1-p_eps_g*$E46)+INDEX(Calib!$E$1:$E$13,$D46)*(INDEX(Calib!$G$1:$G$13,$D46)+p_programme*$H46)</f>
        <v/>
      </c>
      <c r="AB46" s="26">
        <f>AB45*(1-p_eps_k*$E46)+p_lambda_k*(AD46-AB45*(1-p_eps_k*$E46))</f>
        <v/>
      </c>
      <c r="AC46" s="26">
        <f>INDEX(Calib!$R$1:$R$13,$D46)*$F46*(AA45*(1-p_eps_g*$E46))^INDEX(Calib!$Q$1:$Q$13,$D46)*(AB45*(1-p_eps_k*$E46))^p_alpha</f>
        <v/>
      </c>
      <c r="AD46" s="26">
        <f>p_alpha*(1-INDEX(Calib!$H$1:$H$13,$D46))*AC46/(INDEX(Calib!$K$1:$K$13,$D46)+p_delta)</f>
        <v/>
      </c>
      <c r="AE46" s="26">
        <f>AC46+$G46</f>
        <v/>
      </c>
      <c r="AF46" s="26">
        <f>p_programme*($H46+$I46)</f>
        <v/>
      </c>
      <c r="AG46" s="26">
        <f>INDEX(Calib!$I$1:$I$13,$D46)+p_sh_grant*AF46</f>
        <v/>
      </c>
      <c r="AH46" s="26">
        <f>INDEX(Calib!$H$1:$H$13,$D46)*AC46+p_gov_take*$G46+AG46+p_programme*p_pricing*$J46</f>
        <v/>
      </c>
      <c r="AI46" s="26">
        <f>INDEX(Calib!$Y$1:$Y$13,$D46)-INDEX(Calib!$Z$1:$Z$13,$D46)*(AL45/AE45-INDEX(Calib!$AA$1:$AA$13,$D46))</f>
        <v/>
      </c>
      <c r="AJ46" s="26">
        <f>INDEX(Calib!$X$1:$X$13,$D46)+INDEX(Calib!$G$1:$G$13,$D46)+AF46+AI46-AH46</f>
        <v/>
      </c>
      <c r="AK46" s="26">
        <f>p_rk*AM45+AO45*(AL45-AM45)</f>
        <v/>
      </c>
      <c r="AL46" s="26">
        <f>AL45+AK46+AJ46</f>
        <v/>
      </c>
      <c r="AM46" s="26">
        <f>INDEX(Calib!$U$1:$U$13,$D46)+(AM45-INDEX(Calib!$U$1:$U$13,$D46))*(1-p_amort)+p_sh_conc*AF46</f>
        <v/>
      </c>
      <c r="AN46" s="26">
        <f>AL46/AE46</f>
        <v/>
      </c>
      <c r="AO46" s="26">
        <f>INDEX(Calib!$K$1:$K$13,$D46)+p_eta*MAX(0,AN46-INDEX(Calib!$AA$1:$AA$13,$D46))</f>
        <v/>
      </c>
      <c r="AP46" s="26">
        <f>(1-INDEX(Calib!$H$1:$H$13,$D46))*(1-p_alpha)*AC46+AI46</f>
        <v/>
      </c>
      <c r="AQ46" s="26">
        <f>(AE46/O46-1)*100</f>
        <v/>
      </c>
      <c r="AR46" s="26">
        <f>(AE46/AE29-1)*100</f>
        <v/>
      </c>
      <c r="AS46" s="26">
        <f>(O46/O29-1)*100</f>
        <v/>
      </c>
      <c r="AT46" s="26">
        <f>(AN46-X46)*100</f>
        <v/>
      </c>
      <c r="AU46" s="26">
        <f>(AP46/Z46-1)*100</f>
        <v/>
      </c>
      <c r="AV46" s="26">
        <f>(AI46-S46)*100</f>
        <v/>
      </c>
    </row>
    <row r="47">
      <c r="A47" s="25" t="inlineStr">
        <is>
          <t>SLE</t>
        </is>
      </c>
      <c r="B47" s="25" t="n">
        <v>2042</v>
      </c>
      <c r="C47" s="25" t="n">
        <v>18</v>
      </c>
      <c r="D47" s="25" t="n">
        <v>3</v>
      </c>
      <c r="E47" s="25">
        <f>IF(AND(p_dis_year&gt;0,B47=p_dis_year),1,0)</f>
        <v/>
      </c>
      <c r="F47" s="26">
        <f>IF(AND(p_dis_year&gt;0,B47&gt;=p_dis_year),1-p_eps_a*p_rho_a^(B47-p_dis_year),1)</f>
        <v/>
      </c>
      <c r="G47" s="26">
        <f>INDEX(Calib!$N$1:$N$13,$D47)*(1-p_rent_decline*MIN(1,C47/26))</f>
        <v/>
      </c>
      <c r="H47" s="26">
        <f>IF(C47=0,0,SUMIFS(dl_val,dl_iso,$A47,dl_ind,"pub_cap",dl_year,$B47)/100)</f>
        <v/>
      </c>
      <c r="I47" s="26">
        <f>IF(C47=0,0,SUMIFS(dl_val,dl_iso,$A47,dl_ind,"pub_spend",dl_year,$B47)/100)</f>
        <v/>
      </c>
      <c r="J47" s="26">
        <f>IF(C47=0,0,SUMIFS(dl_val,dl_iso,$A47,dl_ind,"rev",dl_year,$B47)/100)</f>
        <v/>
      </c>
      <c r="K47" s="26">
        <f>(1-p_delta_g)*K46*(1-p_eps_g*$E47)+INDEX(Calib!$E$1:$E$13,$D47)*(INDEX(Calib!$G$1:$G$13,$D47)+0*$H47)</f>
        <v/>
      </c>
      <c r="L47" s="26">
        <f>L46*(1-p_eps_k*$E47)+p_lambda_k*(N47-L46*(1-p_eps_k*$E47))</f>
        <v/>
      </c>
      <c r="M47" s="26">
        <f>INDEX(Calib!$R$1:$R$13,$D47)*$F47*(K46*(1-p_eps_g*$E47))^INDEX(Calib!$Q$1:$Q$13,$D47)*(L46*(1-p_eps_k*$E47))^p_alpha</f>
        <v/>
      </c>
      <c r="N47" s="26">
        <f>p_alpha*(1-INDEX(Calib!$H$1:$H$13,$D47))*M47/(INDEX(Calib!$K$1:$K$13,$D47)+p_delta)</f>
        <v/>
      </c>
      <c r="O47" s="26">
        <f>M47+$G47</f>
        <v/>
      </c>
      <c r="P47" s="26">
        <f>0*($H47+$I47)</f>
        <v/>
      </c>
      <c r="Q47" s="26">
        <f>INDEX(Calib!$I$1:$I$13,$D47)+p_sh_grant*P47</f>
        <v/>
      </c>
      <c r="R47" s="26">
        <f>INDEX(Calib!$H$1:$H$13,$D47)*M47+p_gov_take*$G47+Q47+0*p_pricing*$J47</f>
        <v/>
      </c>
      <c r="S47" s="26">
        <f>INDEX(Calib!$Y$1:$Y$13,$D47)-INDEX(Calib!$Z$1:$Z$13,$D47)*(V46/O46-INDEX(Calib!$AA$1:$AA$13,$D47))</f>
        <v/>
      </c>
      <c r="T47" s="26">
        <f>INDEX(Calib!$X$1:$X$13,$D47)+INDEX(Calib!$G$1:$G$13,$D47)+P47+S47-R47</f>
        <v/>
      </c>
      <c r="U47" s="26">
        <f>p_rk*W46+Y46*(V46-W46)</f>
        <v/>
      </c>
      <c r="V47" s="26">
        <f>V46+U47+T47</f>
        <v/>
      </c>
      <c r="W47" s="26">
        <f>INDEX(Calib!$U$1:$U$13,$D47)+(W46-INDEX(Calib!$U$1:$U$13,$D47))*(1-p_amort)+p_sh_conc*P47</f>
        <v/>
      </c>
      <c r="X47" s="26">
        <f>V47/O47</f>
        <v/>
      </c>
      <c r="Y47" s="26">
        <f>INDEX(Calib!$K$1:$K$13,$D47)+p_eta*MAX(0,X47-INDEX(Calib!$AA$1:$AA$13,$D47))</f>
        <v/>
      </c>
      <c r="Z47" s="26">
        <f>(1-INDEX(Calib!$H$1:$H$13,$D47))*(1-p_alpha)*M47+S47</f>
        <v/>
      </c>
      <c r="AA47" s="26">
        <f>(1-p_delta_g)*AA46*(1-p_eps_g*$E47)+INDEX(Calib!$E$1:$E$13,$D47)*(INDEX(Calib!$G$1:$G$13,$D47)+p_programme*$H47)</f>
        <v/>
      </c>
      <c r="AB47" s="26">
        <f>AB46*(1-p_eps_k*$E47)+p_lambda_k*(AD47-AB46*(1-p_eps_k*$E47))</f>
        <v/>
      </c>
      <c r="AC47" s="26">
        <f>INDEX(Calib!$R$1:$R$13,$D47)*$F47*(AA46*(1-p_eps_g*$E47))^INDEX(Calib!$Q$1:$Q$13,$D47)*(AB46*(1-p_eps_k*$E47))^p_alpha</f>
        <v/>
      </c>
      <c r="AD47" s="26">
        <f>p_alpha*(1-INDEX(Calib!$H$1:$H$13,$D47))*AC47/(INDEX(Calib!$K$1:$K$13,$D47)+p_delta)</f>
        <v/>
      </c>
      <c r="AE47" s="26">
        <f>AC47+$G47</f>
        <v/>
      </c>
      <c r="AF47" s="26">
        <f>p_programme*($H47+$I47)</f>
        <v/>
      </c>
      <c r="AG47" s="26">
        <f>INDEX(Calib!$I$1:$I$13,$D47)+p_sh_grant*AF47</f>
        <v/>
      </c>
      <c r="AH47" s="26">
        <f>INDEX(Calib!$H$1:$H$13,$D47)*AC47+p_gov_take*$G47+AG47+p_programme*p_pricing*$J47</f>
        <v/>
      </c>
      <c r="AI47" s="26">
        <f>INDEX(Calib!$Y$1:$Y$13,$D47)-INDEX(Calib!$Z$1:$Z$13,$D47)*(AL46/AE46-INDEX(Calib!$AA$1:$AA$13,$D47))</f>
        <v/>
      </c>
      <c r="AJ47" s="26">
        <f>INDEX(Calib!$X$1:$X$13,$D47)+INDEX(Calib!$G$1:$G$13,$D47)+AF47+AI47-AH47</f>
        <v/>
      </c>
      <c r="AK47" s="26">
        <f>p_rk*AM46+AO46*(AL46-AM46)</f>
        <v/>
      </c>
      <c r="AL47" s="26">
        <f>AL46+AK47+AJ47</f>
        <v/>
      </c>
      <c r="AM47" s="26">
        <f>INDEX(Calib!$U$1:$U$13,$D47)+(AM46-INDEX(Calib!$U$1:$U$13,$D47))*(1-p_amort)+p_sh_conc*AF47</f>
        <v/>
      </c>
      <c r="AN47" s="26">
        <f>AL47/AE47</f>
        <v/>
      </c>
      <c r="AO47" s="26">
        <f>INDEX(Calib!$K$1:$K$13,$D47)+p_eta*MAX(0,AN47-INDEX(Calib!$AA$1:$AA$13,$D47))</f>
        <v/>
      </c>
      <c r="AP47" s="26">
        <f>(1-INDEX(Calib!$H$1:$H$13,$D47))*(1-p_alpha)*AC47+AI47</f>
        <v/>
      </c>
      <c r="AQ47" s="26">
        <f>(AE47/O47-1)*100</f>
        <v/>
      </c>
      <c r="AR47" s="26">
        <f>(AE47/AE29-1)*100</f>
        <v/>
      </c>
      <c r="AS47" s="26">
        <f>(O47/O29-1)*100</f>
        <v/>
      </c>
      <c r="AT47" s="26">
        <f>(AN47-X47)*100</f>
        <v/>
      </c>
      <c r="AU47" s="26">
        <f>(AP47/Z47-1)*100</f>
        <v/>
      </c>
      <c r="AV47" s="26">
        <f>(AI47-S47)*100</f>
        <v/>
      </c>
    </row>
    <row r="48">
      <c r="A48" s="25" t="inlineStr">
        <is>
          <t>SLE</t>
        </is>
      </c>
      <c r="B48" s="25" t="n">
        <v>2043</v>
      </c>
      <c r="C48" s="25" t="n">
        <v>19</v>
      </c>
      <c r="D48" s="25" t="n">
        <v>3</v>
      </c>
      <c r="E48" s="25">
        <f>IF(AND(p_dis_year&gt;0,B48=p_dis_year),1,0)</f>
        <v/>
      </c>
      <c r="F48" s="26">
        <f>IF(AND(p_dis_year&gt;0,B48&gt;=p_dis_year),1-p_eps_a*p_rho_a^(B48-p_dis_year),1)</f>
        <v/>
      </c>
      <c r="G48" s="26">
        <f>INDEX(Calib!$N$1:$N$13,$D48)*(1-p_rent_decline*MIN(1,C48/26))</f>
        <v/>
      </c>
      <c r="H48" s="26">
        <f>IF(C48=0,0,SUMIFS(dl_val,dl_iso,$A48,dl_ind,"pub_cap",dl_year,$B48)/100)</f>
        <v/>
      </c>
      <c r="I48" s="26">
        <f>IF(C48=0,0,SUMIFS(dl_val,dl_iso,$A48,dl_ind,"pub_spend",dl_year,$B48)/100)</f>
        <v/>
      </c>
      <c r="J48" s="26">
        <f>IF(C48=0,0,SUMIFS(dl_val,dl_iso,$A48,dl_ind,"rev",dl_year,$B48)/100)</f>
        <v/>
      </c>
      <c r="K48" s="26">
        <f>(1-p_delta_g)*K47*(1-p_eps_g*$E48)+INDEX(Calib!$E$1:$E$13,$D48)*(INDEX(Calib!$G$1:$G$13,$D48)+0*$H48)</f>
        <v/>
      </c>
      <c r="L48" s="26">
        <f>L47*(1-p_eps_k*$E48)+p_lambda_k*(N48-L47*(1-p_eps_k*$E48))</f>
        <v/>
      </c>
      <c r="M48" s="26">
        <f>INDEX(Calib!$R$1:$R$13,$D48)*$F48*(K47*(1-p_eps_g*$E48))^INDEX(Calib!$Q$1:$Q$13,$D48)*(L47*(1-p_eps_k*$E48))^p_alpha</f>
        <v/>
      </c>
      <c r="N48" s="26">
        <f>p_alpha*(1-INDEX(Calib!$H$1:$H$13,$D48))*M48/(INDEX(Calib!$K$1:$K$13,$D48)+p_delta)</f>
        <v/>
      </c>
      <c r="O48" s="26">
        <f>M48+$G48</f>
        <v/>
      </c>
      <c r="P48" s="26">
        <f>0*($H48+$I48)</f>
        <v/>
      </c>
      <c r="Q48" s="26">
        <f>INDEX(Calib!$I$1:$I$13,$D48)+p_sh_grant*P48</f>
        <v/>
      </c>
      <c r="R48" s="26">
        <f>INDEX(Calib!$H$1:$H$13,$D48)*M48+p_gov_take*$G48+Q48+0*p_pricing*$J48</f>
        <v/>
      </c>
      <c r="S48" s="26">
        <f>INDEX(Calib!$Y$1:$Y$13,$D48)-INDEX(Calib!$Z$1:$Z$13,$D48)*(V47/O47-INDEX(Calib!$AA$1:$AA$13,$D48))</f>
        <v/>
      </c>
      <c r="T48" s="26">
        <f>INDEX(Calib!$X$1:$X$13,$D48)+INDEX(Calib!$G$1:$G$13,$D48)+P48+S48-R48</f>
        <v/>
      </c>
      <c r="U48" s="26">
        <f>p_rk*W47+Y47*(V47-W47)</f>
        <v/>
      </c>
      <c r="V48" s="26">
        <f>V47+U48+T48</f>
        <v/>
      </c>
      <c r="W48" s="26">
        <f>INDEX(Calib!$U$1:$U$13,$D48)+(W47-INDEX(Calib!$U$1:$U$13,$D48))*(1-p_amort)+p_sh_conc*P48</f>
        <v/>
      </c>
      <c r="X48" s="26">
        <f>V48/O48</f>
        <v/>
      </c>
      <c r="Y48" s="26">
        <f>INDEX(Calib!$K$1:$K$13,$D48)+p_eta*MAX(0,X48-INDEX(Calib!$AA$1:$AA$13,$D48))</f>
        <v/>
      </c>
      <c r="Z48" s="26">
        <f>(1-INDEX(Calib!$H$1:$H$13,$D48))*(1-p_alpha)*M48+S48</f>
        <v/>
      </c>
      <c r="AA48" s="26">
        <f>(1-p_delta_g)*AA47*(1-p_eps_g*$E48)+INDEX(Calib!$E$1:$E$13,$D48)*(INDEX(Calib!$G$1:$G$13,$D48)+p_programme*$H48)</f>
        <v/>
      </c>
      <c r="AB48" s="26">
        <f>AB47*(1-p_eps_k*$E48)+p_lambda_k*(AD48-AB47*(1-p_eps_k*$E48))</f>
        <v/>
      </c>
      <c r="AC48" s="26">
        <f>INDEX(Calib!$R$1:$R$13,$D48)*$F48*(AA47*(1-p_eps_g*$E48))^INDEX(Calib!$Q$1:$Q$13,$D48)*(AB47*(1-p_eps_k*$E48))^p_alpha</f>
        <v/>
      </c>
      <c r="AD48" s="26">
        <f>p_alpha*(1-INDEX(Calib!$H$1:$H$13,$D48))*AC48/(INDEX(Calib!$K$1:$K$13,$D48)+p_delta)</f>
        <v/>
      </c>
      <c r="AE48" s="26">
        <f>AC48+$G48</f>
        <v/>
      </c>
      <c r="AF48" s="26">
        <f>p_programme*($H48+$I48)</f>
        <v/>
      </c>
      <c r="AG48" s="26">
        <f>INDEX(Calib!$I$1:$I$13,$D48)+p_sh_grant*AF48</f>
        <v/>
      </c>
      <c r="AH48" s="26">
        <f>INDEX(Calib!$H$1:$H$13,$D48)*AC48+p_gov_take*$G48+AG48+p_programme*p_pricing*$J48</f>
        <v/>
      </c>
      <c r="AI48" s="26">
        <f>INDEX(Calib!$Y$1:$Y$13,$D48)-INDEX(Calib!$Z$1:$Z$13,$D48)*(AL47/AE47-INDEX(Calib!$AA$1:$AA$13,$D48))</f>
        <v/>
      </c>
      <c r="AJ48" s="26">
        <f>INDEX(Calib!$X$1:$X$13,$D48)+INDEX(Calib!$G$1:$G$13,$D48)+AF48+AI48-AH48</f>
        <v/>
      </c>
      <c r="AK48" s="26">
        <f>p_rk*AM47+AO47*(AL47-AM47)</f>
        <v/>
      </c>
      <c r="AL48" s="26">
        <f>AL47+AK48+AJ48</f>
        <v/>
      </c>
      <c r="AM48" s="26">
        <f>INDEX(Calib!$U$1:$U$13,$D48)+(AM47-INDEX(Calib!$U$1:$U$13,$D48))*(1-p_amort)+p_sh_conc*AF48</f>
        <v/>
      </c>
      <c r="AN48" s="26">
        <f>AL48/AE48</f>
        <v/>
      </c>
      <c r="AO48" s="26">
        <f>INDEX(Calib!$K$1:$K$13,$D48)+p_eta*MAX(0,AN48-INDEX(Calib!$AA$1:$AA$13,$D48))</f>
        <v/>
      </c>
      <c r="AP48" s="26">
        <f>(1-INDEX(Calib!$H$1:$H$13,$D48))*(1-p_alpha)*AC48+AI48</f>
        <v/>
      </c>
      <c r="AQ48" s="26">
        <f>(AE48/O48-1)*100</f>
        <v/>
      </c>
      <c r="AR48" s="26">
        <f>(AE48/AE29-1)*100</f>
        <v/>
      </c>
      <c r="AS48" s="26">
        <f>(O48/O29-1)*100</f>
        <v/>
      </c>
      <c r="AT48" s="26">
        <f>(AN48-X48)*100</f>
        <v/>
      </c>
      <c r="AU48" s="26">
        <f>(AP48/Z48-1)*100</f>
        <v/>
      </c>
      <c r="AV48" s="26">
        <f>(AI48-S48)*100</f>
        <v/>
      </c>
    </row>
    <row r="49">
      <c r="A49" s="25" t="inlineStr">
        <is>
          <t>SLE</t>
        </is>
      </c>
      <c r="B49" s="25" t="n">
        <v>2044</v>
      </c>
      <c r="C49" s="25" t="n">
        <v>20</v>
      </c>
      <c r="D49" s="25" t="n">
        <v>3</v>
      </c>
      <c r="E49" s="25">
        <f>IF(AND(p_dis_year&gt;0,B49=p_dis_year),1,0)</f>
        <v/>
      </c>
      <c r="F49" s="26">
        <f>IF(AND(p_dis_year&gt;0,B49&gt;=p_dis_year),1-p_eps_a*p_rho_a^(B49-p_dis_year),1)</f>
        <v/>
      </c>
      <c r="G49" s="26">
        <f>INDEX(Calib!$N$1:$N$13,$D49)*(1-p_rent_decline*MIN(1,C49/26))</f>
        <v/>
      </c>
      <c r="H49" s="26">
        <f>IF(C49=0,0,SUMIFS(dl_val,dl_iso,$A49,dl_ind,"pub_cap",dl_year,$B49)/100)</f>
        <v/>
      </c>
      <c r="I49" s="26">
        <f>IF(C49=0,0,SUMIFS(dl_val,dl_iso,$A49,dl_ind,"pub_spend",dl_year,$B49)/100)</f>
        <v/>
      </c>
      <c r="J49" s="26">
        <f>IF(C49=0,0,SUMIFS(dl_val,dl_iso,$A49,dl_ind,"rev",dl_year,$B49)/100)</f>
        <v/>
      </c>
      <c r="K49" s="26">
        <f>(1-p_delta_g)*K48*(1-p_eps_g*$E49)+INDEX(Calib!$E$1:$E$13,$D49)*(INDEX(Calib!$G$1:$G$13,$D49)+0*$H49)</f>
        <v/>
      </c>
      <c r="L49" s="26">
        <f>L48*(1-p_eps_k*$E49)+p_lambda_k*(N49-L48*(1-p_eps_k*$E49))</f>
        <v/>
      </c>
      <c r="M49" s="26">
        <f>INDEX(Calib!$R$1:$R$13,$D49)*$F49*(K48*(1-p_eps_g*$E49))^INDEX(Calib!$Q$1:$Q$13,$D49)*(L48*(1-p_eps_k*$E49))^p_alpha</f>
        <v/>
      </c>
      <c r="N49" s="26">
        <f>p_alpha*(1-INDEX(Calib!$H$1:$H$13,$D49))*M49/(INDEX(Calib!$K$1:$K$13,$D49)+p_delta)</f>
        <v/>
      </c>
      <c r="O49" s="26">
        <f>M49+$G49</f>
        <v/>
      </c>
      <c r="P49" s="26">
        <f>0*($H49+$I49)</f>
        <v/>
      </c>
      <c r="Q49" s="26">
        <f>INDEX(Calib!$I$1:$I$13,$D49)+p_sh_grant*P49</f>
        <v/>
      </c>
      <c r="R49" s="26">
        <f>INDEX(Calib!$H$1:$H$13,$D49)*M49+p_gov_take*$G49+Q49+0*p_pricing*$J49</f>
        <v/>
      </c>
      <c r="S49" s="26">
        <f>INDEX(Calib!$Y$1:$Y$13,$D49)-INDEX(Calib!$Z$1:$Z$13,$D49)*(V48/O48-INDEX(Calib!$AA$1:$AA$13,$D49))</f>
        <v/>
      </c>
      <c r="T49" s="26">
        <f>INDEX(Calib!$X$1:$X$13,$D49)+INDEX(Calib!$G$1:$G$13,$D49)+P49+S49-R49</f>
        <v/>
      </c>
      <c r="U49" s="26">
        <f>p_rk*W48+Y48*(V48-W48)</f>
        <v/>
      </c>
      <c r="V49" s="26">
        <f>V48+U49+T49</f>
        <v/>
      </c>
      <c r="W49" s="26">
        <f>INDEX(Calib!$U$1:$U$13,$D49)+(W48-INDEX(Calib!$U$1:$U$13,$D49))*(1-p_amort)+p_sh_conc*P49</f>
        <v/>
      </c>
      <c r="X49" s="26">
        <f>V49/O49</f>
        <v/>
      </c>
      <c r="Y49" s="26">
        <f>INDEX(Calib!$K$1:$K$13,$D49)+p_eta*MAX(0,X49-INDEX(Calib!$AA$1:$AA$13,$D49))</f>
        <v/>
      </c>
      <c r="Z49" s="26">
        <f>(1-INDEX(Calib!$H$1:$H$13,$D49))*(1-p_alpha)*M49+S49</f>
        <v/>
      </c>
      <c r="AA49" s="26">
        <f>(1-p_delta_g)*AA48*(1-p_eps_g*$E49)+INDEX(Calib!$E$1:$E$13,$D49)*(INDEX(Calib!$G$1:$G$13,$D49)+p_programme*$H49)</f>
        <v/>
      </c>
      <c r="AB49" s="26">
        <f>AB48*(1-p_eps_k*$E49)+p_lambda_k*(AD49-AB48*(1-p_eps_k*$E49))</f>
        <v/>
      </c>
      <c r="AC49" s="26">
        <f>INDEX(Calib!$R$1:$R$13,$D49)*$F49*(AA48*(1-p_eps_g*$E49))^INDEX(Calib!$Q$1:$Q$13,$D49)*(AB48*(1-p_eps_k*$E49))^p_alpha</f>
        <v/>
      </c>
      <c r="AD49" s="26">
        <f>p_alpha*(1-INDEX(Calib!$H$1:$H$13,$D49))*AC49/(INDEX(Calib!$K$1:$K$13,$D49)+p_delta)</f>
        <v/>
      </c>
      <c r="AE49" s="26">
        <f>AC49+$G49</f>
        <v/>
      </c>
      <c r="AF49" s="26">
        <f>p_programme*($H49+$I49)</f>
        <v/>
      </c>
      <c r="AG49" s="26">
        <f>INDEX(Calib!$I$1:$I$13,$D49)+p_sh_grant*AF49</f>
        <v/>
      </c>
      <c r="AH49" s="26">
        <f>INDEX(Calib!$H$1:$H$13,$D49)*AC49+p_gov_take*$G49+AG49+p_programme*p_pricing*$J49</f>
        <v/>
      </c>
      <c r="AI49" s="26">
        <f>INDEX(Calib!$Y$1:$Y$13,$D49)-INDEX(Calib!$Z$1:$Z$13,$D49)*(AL48/AE48-INDEX(Calib!$AA$1:$AA$13,$D49))</f>
        <v/>
      </c>
      <c r="AJ49" s="26">
        <f>INDEX(Calib!$X$1:$X$13,$D49)+INDEX(Calib!$G$1:$G$13,$D49)+AF49+AI49-AH49</f>
        <v/>
      </c>
      <c r="AK49" s="26">
        <f>p_rk*AM48+AO48*(AL48-AM48)</f>
        <v/>
      </c>
      <c r="AL49" s="26">
        <f>AL48+AK49+AJ49</f>
        <v/>
      </c>
      <c r="AM49" s="26">
        <f>INDEX(Calib!$U$1:$U$13,$D49)+(AM48-INDEX(Calib!$U$1:$U$13,$D49))*(1-p_amort)+p_sh_conc*AF49</f>
        <v/>
      </c>
      <c r="AN49" s="26">
        <f>AL49/AE49</f>
        <v/>
      </c>
      <c r="AO49" s="26">
        <f>INDEX(Calib!$K$1:$K$13,$D49)+p_eta*MAX(0,AN49-INDEX(Calib!$AA$1:$AA$13,$D49))</f>
        <v/>
      </c>
      <c r="AP49" s="26">
        <f>(1-INDEX(Calib!$H$1:$H$13,$D49))*(1-p_alpha)*AC49+AI49</f>
        <v/>
      </c>
      <c r="AQ49" s="26">
        <f>(AE49/O49-1)*100</f>
        <v/>
      </c>
      <c r="AR49" s="26">
        <f>(AE49/AE29-1)*100</f>
        <v/>
      </c>
      <c r="AS49" s="26">
        <f>(O49/O29-1)*100</f>
        <v/>
      </c>
      <c r="AT49" s="26">
        <f>(AN49-X49)*100</f>
        <v/>
      </c>
      <c r="AU49" s="26">
        <f>(AP49/Z49-1)*100</f>
        <v/>
      </c>
      <c r="AV49" s="26">
        <f>(AI49-S49)*100</f>
        <v/>
      </c>
    </row>
    <row r="50">
      <c r="A50" s="25" t="inlineStr">
        <is>
          <t>SLE</t>
        </is>
      </c>
      <c r="B50" s="25" t="n">
        <v>2045</v>
      </c>
      <c r="C50" s="25" t="n">
        <v>21</v>
      </c>
      <c r="D50" s="25" t="n">
        <v>3</v>
      </c>
      <c r="E50" s="25">
        <f>IF(AND(p_dis_year&gt;0,B50=p_dis_year),1,0)</f>
        <v/>
      </c>
      <c r="F50" s="26">
        <f>IF(AND(p_dis_year&gt;0,B50&gt;=p_dis_year),1-p_eps_a*p_rho_a^(B50-p_dis_year),1)</f>
        <v/>
      </c>
      <c r="G50" s="26">
        <f>INDEX(Calib!$N$1:$N$13,$D50)*(1-p_rent_decline*MIN(1,C50/26))</f>
        <v/>
      </c>
      <c r="H50" s="26">
        <f>IF(C50=0,0,SUMIFS(dl_val,dl_iso,$A50,dl_ind,"pub_cap",dl_year,$B50)/100)</f>
        <v/>
      </c>
      <c r="I50" s="26">
        <f>IF(C50=0,0,SUMIFS(dl_val,dl_iso,$A50,dl_ind,"pub_spend",dl_year,$B50)/100)</f>
        <v/>
      </c>
      <c r="J50" s="26">
        <f>IF(C50=0,0,SUMIFS(dl_val,dl_iso,$A50,dl_ind,"rev",dl_year,$B50)/100)</f>
        <v/>
      </c>
      <c r="K50" s="26">
        <f>(1-p_delta_g)*K49*(1-p_eps_g*$E50)+INDEX(Calib!$E$1:$E$13,$D50)*(INDEX(Calib!$G$1:$G$13,$D50)+0*$H50)</f>
        <v/>
      </c>
      <c r="L50" s="26">
        <f>L49*(1-p_eps_k*$E50)+p_lambda_k*(N50-L49*(1-p_eps_k*$E50))</f>
        <v/>
      </c>
      <c r="M50" s="26">
        <f>INDEX(Calib!$R$1:$R$13,$D50)*$F50*(K49*(1-p_eps_g*$E50))^INDEX(Calib!$Q$1:$Q$13,$D50)*(L49*(1-p_eps_k*$E50))^p_alpha</f>
        <v/>
      </c>
      <c r="N50" s="26">
        <f>p_alpha*(1-INDEX(Calib!$H$1:$H$13,$D50))*M50/(INDEX(Calib!$K$1:$K$13,$D50)+p_delta)</f>
        <v/>
      </c>
      <c r="O50" s="26">
        <f>M50+$G50</f>
        <v/>
      </c>
      <c r="P50" s="26">
        <f>0*($H50+$I50)</f>
        <v/>
      </c>
      <c r="Q50" s="26">
        <f>INDEX(Calib!$I$1:$I$13,$D50)+p_sh_grant*P50</f>
        <v/>
      </c>
      <c r="R50" s="26">
        <f>INDEX(Calib!$H$1:$H$13,$D50)*M50+p_gov_take*$G50+Q50+0*p_pricing*$J50</f>
        <v/>
      </c>
      <c r="S50" s="26">
        <f>INDEX(Calib!$Y$1:$Y$13,$D50)-INDEX(Calib!$Z$1:$Z$13,$D50)*(V49/O49-INDEX(Calib!$AA$1:$AA$13,$D50))</f>
        <v/>
      </c>
      <c r="T50" s="26">
        <f>INDEX(Calib!$X$1:$X$13,$D50)+INDEX(Calib!$G$1:$G$13,$D50)+P50+S50-R50</f>
        <v/>
      </c>
      <c r="U50" s="26">
        <f>p_rk*W49+Y49*(V49-W49)</f>
        <v/>
      </c>
      <c r="V50" s="26">
        <f>V49+U50+T50</f>
        <v/>
      </c>
      <c r="W50" s="26">
        <f>INDEX(Calib!$U$1:$U$13,$D50)+(W49-INDEX(Calib!$U$1:$U$13,$D50))*(1-p_amort)+p_sh_conc*P50</f>
        <v/>
      </c>
      <c r="X50" s="26">
        <f>V50/O50</f>
        <v/>
      </c>
      <c r="Y50" s="26">
        <f>INDEX(Calib!$K$1:$K$13,$D50)+p_eta*MAX(0,X50-INDEX(Calib!$AA$1:$AA$13,$D50))</f>
        <v/>
      </c>
      <c r="Z50" s="26">
        <f>(1-INDEX(Calib!$H$1:$H$13,$D50))*(1-p_alpha)*M50+S50</f>
        <v/>
      </c>
      <c r="AA50" s="26">
        <f>(1-p_delta_g)*AA49*(1-p_eps_g*$E50)+INDEX(Calib!$E$1:$E$13,$D50)*(INDEX(Calib!$G$1:$G$13,$D50)+p_programme*$H50)</f>
        <v/>
      </c>
      <c r="AB50" s="26">
        <f>AB49*(1-p_eps_k*$E50)+p_lambda_k*(AD50-AB49*(1-p_eps_k*$E50))</f>
        <v/>
      </c>
      <c r="AC50" s="26">
        <f>INDEX(Calib!$R$1:$R$13,$D50)*$F50*(AA49*(1-p_eps_g*$E50))^INDEX(Calib!$Q$1:$Q$13,$D50)*(AB49*(1-p_eps_k*$E50))^p_alpha</f>
        <v/>
      </c>
      <c r="AD50" s="26">
        <f>p_alpha*(1-INDEX(Calib!$H$1:$H$13,$D50))*AC50/(INDEX(Calib!$K$1:$K$13,$D50)+p_delta)</f>
        <v/>
      </c>
      <c r="AE50" s="26">
        <f>AC50+$G50</f>
        <v/>
      </c>
      <c r="AF50" s="26">
        <f>p_programme*($H50+$I50)</f>
        <v/>
      </c>
      <c r="AG50" s="26">
        <f>INDEX(Calib!$I$1:$I$13,$D50)+p_sh_grant*AF50</f>
        <v/>
      </c>
      <c r="AH50" s="26">
        <f>INDEX(Calib!$H$1:$H$13,$D50)*AC50+p_gov_take*$G50+AG50+p_programme*p_pricing*$J50</f>
        <v/>
      </c>
      <c r="AI50" s="26">
        <f>INDEX(Calib!$Y$1:$Y$13,$D50)-INDEX(Calib!$Z$1:$Z$13,$D50)*(AL49/AE49-INDEX(Calib!$AA$1:$AA$13,$D50))</f>
        <v/>
      </c>
      <c r="AJ50" s="26">
        <f>INDEX(Calib!$X$1:$X$13,$D50)+INDEX(Calib!$G$1:$G$13,$D50)+AF50+AI50-AH50</f>
        <v/>
      </c>
      <c r="AK50" s="26">
        <f>p_rk*AM49+AO49*(AL49-AM49)</f>
        <v/>
      </c>
      <c r="AL50" s="26">
        <f>AL49+AK50+AJ50</f>
        <v/>
      </c>
      <c r="AM50" s="26">
        <f>INDEX(Calib!$U$1:$U$13,$D50)+(AM49-INDEX(Calib!$U$1:$U$13,$D50))*(1-p_amort)+p_sh_conc*AF50</f>
        <v/>
      </c>
      <c r="AN50" s="26">
        <f>AL50/AE50</f>
        <v/>
      </c>
      <c r="AO50" s="26">
        <f>INDEX(Calib!$K$1:$K$13,$D50)+p_eta*MAX(0,AN50-INDEX(Calib!$AA$1:$AA$13,$D50))</f>
        <v/>
      </c>
      <c r="AP50" s="26">
        <f>(1-INDEX(Calib!$H$1:$H$13,$D50))*(1-p_alpha)*AC50+AI50</f>
        <v/>
      </c>
      <c r="AQ50" s="26">
        <f>(AE50/O50-1)*100</f>
        <v/>
      </c>
      <c r="AR50" s="26">
        <f>(AE50/AE29-1)*100</f>
        <v/>
      </c>
      <c r="AS50" s="26">
        <f>(O50/O29-1)*100</f>
        <v/>
      </c>
      <c r="AT50" s="26">
        <f>(AN50-X50)*100</f>
        <v/>
      </c>
      <c r="AU50" s="26">
        <f>(AP50/Z50-1)*100</f>
        <v/>
      </c>
      <c r="AV50" s="26">
        <f>(AI50-S50)*100</f>
        <v/>
      </c>
    </row>
    <row r="51">
      <c r="A51" s="25" t="inlineStr">
        <is>
          <t>SLE</t>
        </is>
      </c>
      <c r="B51" s="25" t="n">
        <v>2046</v>
      </c>
      <c r="C51" s="25" t="n">
        <v>22</v>
      </c>
      <c r="D51" s="25" t="n">
        <v>3</v>
      </c>
      <c r="E51" s="25">
        <f>IF(AND(p_dis_year&gt;0,B51=p_dis_year),1,0)</f>
        <v/>
      </c>
      <c r="F51" s="26">
        <f>IF(AND(p_dis_year&gt;0,B51&gt;=p_dis_year),1-p_eps_a*p_rho_a^(B51-p_dis_year),1)</f>
        <v/>
      </c>
      <c r="G51" s="26">
        <f>INDEX(Calib!$N$1:$N$13,$D51)*(1-p_rent_decline*MIN(1,C51/26))</f>
        <v/>
      </c>
      <c r="H51" s="26">
        <f>IF(C51=0,0,SUMIFS(dl_val,dl_iso,$A51,dl_ind,"pub_cap",dl_year,$B51)/100)</f>
        <v/>
      </c>
      <c r="I51" s="26">
        <f>IF(C51=0,0,SUMIFS(dl_val,dl_iso,$A51,dl_ind,"pub_spend",dl_year,$B51)/100)</f>
        <v/>
      </c>
      <c r="J51" s="26">
        <f>IF(C51=0,0,SUMIFS(dl_val,dl_iso,$A51,dl_ind,"rev",dl_year,$B51)/100)</f>
        <v/>
      </c>
      <c r="K51" s="26">
        <f>(1-p_delta_g)*K50*(1-p_eps_g*$E51)+INDEX(Calib!$E$1:$E$13,$D51)*(INDEX(Calib!$G$1:$G$13,$D51)+0*$H51)</f>
        <v/>
      </c>
      <c r="L51" s="26">
        <f>L50*(1-p_eps_k*$E51)+p_lambda_k*(N51-L50*(1-p_eps_k*$E51))</f>
        <v/>
      </c>
      <c r="M51" s="26">
        <f>INDEX(Calib!$R$1:$R$13,$D51)*$F51*(K50*(1-p_eps_g*$E51))^INDEX(Calib!$Q$1:$Q$13,$D51)*(L50*(1-p_eps_k*$E51))^p_alpha</f>
        <v/>
      </c>
      <c r="N51" s="26">
        <f>p_alpha*(1-INDEX(Calib!$H$1:$H$13,$D51))*M51/(INDEX(Calib!$K$1:$K$13,$D51)+p_delta)</f>
        <v/>
      </c>
      <c r="O51" s="26">
        <f>M51+$G51</f>
        <v/>
      </c>
      <c r="P51" s="26">
        <f>0*($H51+$I51)</f>
        <v/>
      </c>
      <c r="Q51" s="26">
        <f>INDEX(Calib!$I$1:$I$13,$D51)+p_sh_grant*P51</f>
        <v/>
      </c>
      <c r="R51" s="26">
        <f>INDEX(Calib!$H$1:$H$13,$D51)*M51+p_gov_take*$G51+Q51+0*p_pricing*$J51</f>
        <v/>
      </c>
      <c r="S51" s="26">
        <f>INDEX(Calib!$Y$1:$Y$13,$D51)-INDEX(Calib!$Z$1:$Z$13,$D51)*(V50/O50-INDEX(Calib!$AA$1:$AA$13,$D51))</f>
        <v/>
      </c>
      <c r="T51" s="26">
        <f>INDEX(Calib!$X$1:$X$13,$D51)+INDEX(Calib!$G$1:$G$13,$D51)+P51+S51-R51</f>
        <v/>
      </c>
      <c r="U51" s="26">
        <f>p_rk*W50+Y50*(V50-W50)</f>
        <v/>
      </c>
      <c r="V51" s="26">
        <f>V50+U51+T51</f>
        <v/>
      </c>
      <c r="W51" s="26">
        <f>INDEX(Calib!$U$1:$U$13,$D51)+(W50-INDEX(Calib!$U$1:$U$13,$D51))*(1-p_amort)+p_sh_conc*P51</f>
        <v/>
      </c>
      <c r="X51" s="26">
        <f>V51/O51</f>
        <v/>
      </c>
      <c r="Y51" s="26">
        <f>INDEX(Calib!$K$1:$K$13,$D51)+p_eta*MAX(0,X51-INDEX(Calib!$AA$1:$AA$13,$D51))</f>
        <v/>
      </c>
      <c r="Z51" s="26">
        <f>(1-INDEX(Calib!$H$1:$H$13,$D51))*(1-p_alpha)*M51+S51</f>
        <v/>
      </c>
      <c r="AA51" s="26">
        <f>(1-p_delta_g)*AA50*(1-p_eps_g*$E51)+INDEX(Calib!$E$1:$E$13,$D51)*(INDEX(Calib!$G$1:$G$13,$D51)+p_programme*$H51)</f>
        <v/>
      </c>
      <c r="AB51" s="26">
        <f>AB50*(1-p_eps_k*$E51)+p_lambda_k*(AD51-AB50*(1-p_eps_k*$E51))</f>
        <v/>
      </c>
      <c r="AC51" s="26">
        <f>INDEX(Calib!$R$1:$R$13,$D51)*$F51*(AA50*(1-p_eps_g*$E51))^INDEX(Calib!$Q$1:$Q$13,$D51)*(AB50*(1-p_eps_k*$E51))^p_alpha</f>
        <v/>
      </c>
      <c r="AD51" s="26">
        <f>p_alpha*(1-INDEX(Calib!$H$1:$H$13,$D51))*AC51/(INDEX(Calib!$K$1:$K$13,$D51)+p_delta)</f>
        <v/>
      </c>
      <c r="AE51" s="26">
        <f>AC51+$G51</f>
        <v/>
      </c>
      <c r="AF51" s="26">
        <f>p_programme*($H51+$I51)</f>
        <v/>
      </c>
      <c r="AG51" s="26">
        <f>INDEX(Calib!$I$1:$I$13,$D51)+p_sh_grant*AF51</f>
        <v/>
      </c>
      <c r="AH51" s="26">
        <f>INDEX(Calib!$H$1:$H$13,$D51)*AC51+p_gov_take*$G51+AG51+p_programme*p_pricing*$J51</f>
        <v/>
      </c>
      <c r="AI51" s="26">
        <f>INDEX(Calib!$Y$1:$Y$13,$D51)-INDEX(Calib!$Z$1:$Z$13,$D51)*(AL50/AE50-INDEX(Calib!$AA$1:$AA$13,$D51))</f>
        <v/>
      </c>
      <c r="AJ51" s="26">
        <f>INDEX(Calib!$X$1:$X$13,$D51)+INDEX(Calib!$G$1:$G$13,$D51)+AF51+AI51-AH51</f>
        <v/>
      </c>
      <c r="AK51" s="26">
        <f>p_rk*AM50+AO50*(AL50-AM50)</f>
        <v/>
      </c>
      <c r="AL51" s="26">
        <f>AL50+AK51+AJ51</f>
        <v/>
      </c>
      <c r="AM51" s="26">
        <f>INDEX(Calib!$U$1:$U$13,$D51)+(AM50-INDEX(Calib!$U$1:$U$13,$D51))*(1-p_amort)+p_sh_conc*AF51</f>
        <v/>
      </c>
      <c r="AN51" s="26">
        <f>AL51/AE51</f>
        <v/>
      </c>
      <c r="AO51" s="26">
        <f>INDEX(Calib!$K$1:$K$13,$D51)+p_eta*MAX(0,AN51-INDEX(Calib!$AA$1:$AA$13,$D51))</f>
        <v/>
      </c>
      <c r="AP51" s="26">
        <f>(1-INDEX(Calib!$H$1:$H$13,$D51))*(1-p_alpha)*AC51+AI51</f>
        <v/>
      </c>
      <c r="AQ51" s="26">
        <f>(AE51/O51-1)*100</f>
        <v/>
      </c>
      <c r="AR51" s="26">
        <f>(AE51/AE29-1)*100</f>
        <v/>
      </c>
      <c r="AS51" s="26">
        <f>(O51/O29-1)*100</f>
        <v/>
      </c>
      <c r="AT51" s="26">
        <f>(AN51-X51)*100</f>
        <v/>
      </c>
      <c r="AU51" s="26">
        <f>(AP51/Z51-1)*100</f>
        <v/>
      </c>
      <c r="AV51" s="26">
        <f>(AI51-S51)*100</f>
        <v/>
      </c>
    </row>
    <row r="52">
      <c r="A52" s="25" t="inlineStr">
        <is>
          <t>SLE</t>
        </is>
      </c>
      <c r="B52" s="25" t="n">
        <v>2047</v>
      </c>
      <c r="C52" s="25" t="n">
        <v>23</v>
      </c>
      <c r="D52" s="25" t="n">
        <v>3</v>
      </c>
      <c r="E52" s="25">
        <f>IF(AND(p_dis_year&gt;0,B52=p_dis_year),1,0)</f>
        <v/>
      </c>
      <c r="F52" s="26">
        <f>IF(AND(p_dis_year&gt;0,B52&gt;=p_dis_year),1-p_eps_a*p_rho_a^(B52-p_dis_year),1)</f>
        <v/>
      </c>
      <c r="G52" s="26">
        <f>INDEX(Calib!$N$1:$N$13,$D52)*(1-p_rent_decline*MIN(1,C52/26))</f>
        <v/>
      </c>
      <c r="H52" s="26">
        <f>IF(C52=0,0,SUMIFS(dl_val,dl_iso,$A52,dl_ind,"pub_cap",dl_year,$B52)/100)</f>
        <v/>
      </c>
      <c r="I52" s="26">
        <f>IF(C52=0,0,SUMIFS(dl_val,dl_iso,$A52,dl_ind,"pub_spend",dl_year,$B52)/100)</f>
        <v/>
      </c>
      <c r="J52" s="26">
        <f>IF(C52=0,0,SUMIFS(dl_val,dl_iso,$A52,dl_ind,"rev",dl_year,$B52)/100)</f>
        <v/>
      </c>
      <c r="K52" s="26">
        <f>(1-p_delta_g)*K51*(1-p_eps_g*$E52)+INDEX(Calib!$E$1:$E$13,$D52)*(INDEX(Calib!$G$1:$G$13,$D52)+0*$H52)</f>
        <v/>
      </c>
      <c r="L52" s="26">
        <f>L51*(1-p_eps_k*$E52)+p_lambda_k*(N52-L51*(1-p_eps_k*$E52))</f>
        <v/>
      </c>
      <c r="M52" s="26">
        <f>INDEX(Calib!$R$1:$R$13,$D52)*$F52*(K51*(1-p_eps_g*$E52))^INDEX(Calib!$Q$1:$Q$13,$D52)*(L51*(1-p_eps_k*$E52))^p_alpha</f>
        <v/>
      </c>
      <c r="N52" s="26">
        <f>p_alpha*(1-INDEX(Calib!$H$1:$H$13,$D52))*M52/(INDEX(Calib!$K$1:$K$13,$D52)+p_delta)</f>
        <v/>
      </c>
      <c r="O52" s="26">
        <f>M52+$G52</f>
        <v/>
      </c>
      <c r="P52" s="26">
        <f>0*($H52+$I52)</f>
        <v/>
      </c>
      <c r="Q52" s="26">
        <f>INDEX(Calib!$I$1:$I$13,$D52)+p_sh_grant*P52</f>
        <v/>
      </c>
      <c r="R52" s="26">
        <f>INDEX(Calib!$H$1:$H$13,$D52)*M52+p_gov_take*$G52+Q52+0*p_pricing*$J52</f>
        <v/>
      </c>
      <c r="S52" s="26">
        <f>INDEX(Calib!$Y$1:$Y$13,$D52)-INDEX(Calib!$Z$1:$Z$13,$D52)*(V51/O51-INDEX(Calib!$AA$1:$AA$13,$D52))</f>
        <v/>
      </c>
      <c r="T52" s="26">
        <f>INDEX(Calib!$X$1:$X$13,$D52)+INDEX(Calib!$G$1:$G$13,$D52)+P52+S52-R52</f>
        <v/>
      </c>
      <c r="U52" s="26">
        <f>p_rk*W51+Y51*(V51-W51)</f>
        <v/>
      </c>
      <c r="V52" s="26">
        <f>V51+U52+T52</f>
        <v/>
      </c>
      <c r="W52" s="26">
        <f>INDEX(Calib!$U$1:$U$13,$D52)+(W51-INDEX(Calib!$U$1:$U$13,$D52))*(1-p_amort)+p_sh_conc*P52</f>
        <v/>
      </c>
      <c r="X52" s="26">
        <f>V52/O52</f>
        <v/>
      </c>
      <c r="Y52" s="26">
        <f>INDEX(Calib!$K$1:$K$13,$D52)+p_eta*MAX(0,X52-INDEX(Calib!$AA$1:$AA$13,$D52))</f>
        <v/>
      </c>
      <c r="Z52" s="26">
        <f>(1-INDEX(Calib!$H$1:$H$13,$D52))*(1-p_alpha)*M52+S52</f>
        <v/>
      </c>
      <c r="AA52" s="26">
        <f>(1-p_delta_g)*AA51*(1-p_eps_g*$E52)+INDEX(Calib!$E$1:$E$13,$D52)*(INDEX(Calib!$G$1:$G$13,$D52)+p_programme*$H52)</f>
        <v/>
      </c>
      <c r="AB52" s="26">
        <f>AB51*(1-p_eps_k*$E52)+p_lambda_k*(AD52-AB51*(1-p_eps_k*$E52))</f>
        <v/>
      </c>
      <c r="AC52" s="26">
        <f>INDEX(Calib!$R$1:$R$13,$D52)*$F52*(AA51*(1-p_eps_g*$E52))^INDEX(Calib!$Q$1:$Q$13,$D52)*(AB51*(1-p_eps_k*$E52))^p_alpha</f>
        <v/>
      </c>
      <c r="AD52" s="26">
        <f>p_alpha*(1-INDEX(Calib!$H$1:$H$13,$D52))*AC52/(INDEX(Calib!$K$1:$K$13,$D52)+p_delta)</f>
        <v/>
      </c>
      <c r="AE52" s="26">
        <f>AC52+$G52</f>
        <v/>
      </c>
      <c r="AF52" s="26">
        <f>p_programme*($H52+$I52)</f>
        <v/>
      </c>
      <c r="AG52" s="26">
        <f>INDEX(Calib!$I$1:$I$13,$D52)+p_sh_grant*AF52</f>
        <v/>
      </c>
      <c r="AH52" s="26">
        <f>INDEX(Calib!$H$1:$H$13,$D52)*AC52+p_gov_take*$G52+AG52+p_programme*p_pricing*$J52</f>
        <v/>
      </c>
      <c r="AI52" s="26">
        <f>INDEX(Calib!$Y$1:$Y$13,$D52)-INDEX(Calib!$Z$1:$Z$13,$D52)*(AL51/AE51-INDEX(Calib!$AA$1:$AA$13,$D52))</f>
        <v/>
      </c>
      <c r="AJ52" s="26">
        <f>INDEX(Calib!$X$1:$X$13,$D52)+INDEX(Calib!$G$1:$G$13,$D52)+AF52+AI52-AH52</f>
        <v/>
      </c>
      <c r="AK52" s="26">
        <f>p_rk*AM51+AO51*(AL51-AM51)</f>
        <v/>
      </c>
      <c r="AL52" s="26">
        <f>AL51+AK52+AJ52</f>
        <v/>
      </c>
      <c r="AM52" s="26">
        <f>INDEX(Calib!$U$1:$U$13,$D52)+(AM51-INDEX(Calib!$U$1:$U$13,$D52))*(1-p_amort)+p_sh_conc*AF52</f>
        <v/>
      </c>
      <c r="AN52" s="26">
        <f>AL52/AE52</f>
        <v/>
      </c>
      <c r="AO52" s="26">
        <f>INDEX(Calib!$K$1:$K$13,$D52)+p_eta*MAX(0,AN52-INDEX(Calib!$AA$1:$AA$13,$D52))</f>
        <v/>
      </c>
      <c r="AP52" s="26">
        <f>(1-INDEX(Calib!$H$1:$H$13,$D52))*(1-p_alpha)*AC52+AI52</f>
        <v/>
      </c>
      <c r="AQ52" s="26">
        <f>(AE52/O52-1)*100</f>
        <v/>
      </c>
      <c r="AR52" s="26">
        <f>(AE52/AE29-1)*100</f>
        <v/>
      </c>
      <c r="AS52" s="26">
        <f>(O52/O29-1)*100</f>
        <v/>
      </c>
      <c r="AT52" s="26">
        <f>(AN52-X52)*100</f>
        <v/>
      </c>
      <c r="AU52" s="26">
        <f>(AP52/Z52-1)*100</f>
        <v/>
      </c>
      <c r="AV52" s="26">
        <f>(AI52-S52)*100</f>
        <v/>
      </c>
    </row>
    <row r="53">
      <c r="A53" s="25" t="inlineStr">
        <is>
          <t>SLE</t>
        </is>
      </c>
      <c r="B53" s="25" t="n">
        <v>2048</v>
      </c>
      <c r="C53" s="25" t="n">
        <v>24</v>
      </c>
      <c r="D53" s="25" t="n">
        <v>3</v>
      </c>
      <c r="E53" s="25">
        <f>IF(AND(p_dis_year&gt;0,B53=p_dis_year),1,0)</f>
        <v/>
      </c>
      <c r="F53" s="26">
        <f>IF(AND(p_dis_year&gt;0,B53&gt;=p_dis_year),1-p_eps_a*p_rho_a^(B53-p_dis_year),1)</f>
        <v/>
      </c>
      <c r="G53" s="26">
        <f>INDEX(Calib!$N$1:$N$13,$D53)*(1-p_rent_decline*MIN(1,C53/26))</f>
        <v/>
      </c>
      <c r="H53" s="26">
        <f>IF(C53=0,0,SUMIFS(dl_val,dl_iso,$A53,dl_ind,"pub_cap",dl_year,$B53)/100)</f>
        <v/>
      </c>
      <c r="I53" s="26">
        <f>IF(C53=0,0,SUMIFS(dl_val,dl_iso,$A53,dl_ind,"pub_spend",dl_year,$B53)/100)</f>
        <v/>
      </c>
      <c r="J53" s="26">
        <f>IF(C53=0,0,SUMIFS(dl_val,dl_iso,$A53,dl_ind,"rev",dl_year,$B53)/100)</f>
        <v/>
      </c>
      <c r="K53" s="26">
        <f>(1-p_delta_g)*K52*(1-p_eps_g*$E53)+INDEX(Calib!$E$1:$E$13,$D53)*(INDEX(Calib!$G$1:$G$13,$D53)+0*$H53)</f>
        <v/>
      </c>
      <c r="L53" s="26">
        <f>L52*(1-p_eps_k*$E53)+p_lambda_k*(N53-L52*(1-p_eps_k*$E53))</f>
        <v/>
      </c>
      <c r="M53" s="26">
        <f>INDEX(Calib!$R$1:$R$13,$D53)*$F53*(K52*(1-p_eps_g*$E53))^INDEX(Calib!$Q$1:$Q$13,$D53)*(L52*(1-p_eps_k*$E53))^p_alpha</f>
        <v/>
      </c>
      <c r="N53" s="26">
        <f>p_alpha*(1-INDEX(Calib!$H$1:$H$13,$D53))*M53/(INDEX(Calib!$K$1:$K$13,$D53)+p_delta)</f>
        <v/>
      </c>
      <c r="O53" s="26">
        <f>M53+$G53</f>
        <v/>
      </c>
      <c r="P53" s="26">
        <f>0*($H53+$I53)</f>
        <v/>
      </c>
      <c r="Q53" s="26">
        <f>INDEX(Calib!$I$1:$I$13,$D53)+p_sh_grant*P53</f>
        <v/>
      </c>
      <c r="R53" s="26">
        <f>INDEX(Calib!$H$1:$H$13,$D53)*M53+p_gov_take*$G53+Q53+0*p_pricing*$J53</f>
        <v/>
      </c>
      <c r="S53" s="26">
        <f>INDEX(Calib!$Y$1:$Y$13,$D53)-INDEX(Calib!$Z$1:$Z$13,$D53)*(V52/O52-INDEX(Calib!$AA$1:$AA$13,$D53))</f>
        <v/>
      </c>
      <c r="T53" s="26">
        <f>INDEX(Calib!$X$1:$X$13,$D53)+INDEX(Calib!$G$1:$G$13,$D53)+P53+S53-R53</f>
        <v/>
      </c>
      <c r="U53" s="26">
        <f>p_rk*W52+Y52*(V52-W52)</f>
        <v/>
      </c>
      <c r="V53" s="26">
        <f>V52+U53+T53</f>
        <v/>
      </c>
      <c r="W53" s="26">
        <f>INDEX(Calib!$U$1:$U$13,$D53)+(W52-INDEX(Calib!$U$1:$U$13,$D53))*(1-p_amort)+p_sh_conc*P53</f>
        <v/>
      </c>
      <c r="X53" s="26">
        <f>V53/O53</f>
        <v/>
      </c>
      <c r="Y53" s="26">
        <f>INDEX(Calib!$K$1:$K$13,$D53)+p_eta*MAX(0,X53-INDEX(Calib!$AA$1:$AA$13,$D53))</f>
        <v/>
      </c>
      <c r="Z53" s="26">
        <f>(1-INDEX(Calib!$H$1:$H$13,$D53))*(1-p_alpha)*M53+S53</f>
        <v/>
      </c>
      <c r="AA53" s="26">
        <f>(1-p_delta_g)*AA52*(1-p_eps_g*$E53)+INDEX(Calib!$E$1:$E$13,$D53)*(INDEX(Calib!$G$1:$G$13,$D53)+p_programme*$H53)</f>
        <v/>
      </c>
      <c r="AB53" s="26">
        <f>AB52*(1-p_eps_k*$E53)+p_lambda_k*(AD53-AB52*(1-p_eps_k*$E53))</f>
        <v/>
      </c>
      <c r="AC53" s="26">
        <f>INDEX(Calib!$R$1:$R$13,$D53)*$F53*(AA52*(1-p_eps_g*$E53))^INDEX(Calib!$Q$1:$Q$13,$D53)*(AB52*(1-p_eps_k*$E53))^p_alpha</f>
        <v/>
      </c>
      <c r="AD53" s="26">
        <f>p_alpha*(1-INDEX(Calib!$H$1:$H$13,$D53))*AC53/(INDEX(Calib!$K$1:$K$13,$D53)+p_delta)</f>
        <v/>
      </c>
      <c r="AE53" s="26">
        <f>AC53+$G53</f>
        <v/>
      </c>
      <c r="AF53" s="26">
        <f>p_programme*($H53+$I53)</f>
        <v/>
      </c>
      <c r="AG53" s="26">
        <f>INDEX(Calib!$I$1:$I$13,$D53)+p_sh_grant*AF53</f>
        <v/>
      </c>
      <c r="AH53" s="26">
        <f>INDEX(Calib!$H$1:$H$13,$D53)*AC53+p_gov_take*$G53+AG53+p_programme*p_pricing*$J53</f>
        <v/>
      </c>
      <c r="AI53" s="26">
        <f>INDEX(Calib!$Y$1:$Y$13,$D53)-INDEX(Calib!$Z$1:$Z$13,$D53)*(AL52/AE52-INDEX(Calib!$AA$1:$AA$13,$D53))</f>
        <v/>
      </c>
      <c r="AJ53" s="26">
        <f>INDEX(Calib!$X$1:$X$13,$D53)+INDEX(Calib!$G$1:$G$13,$D53)+AF53+AI53-AH53</f>
        <v/>
      </c>
      <c r="AK53" s="26">
        <f>p_rk*AM52+AO52*(AL52-AM52)</f>
        <v/>
      </c>
      <c r="AL53" s="26">
        <f>AL52+AK53+AJ53</f>
        <v/>
      </c>
      <c r="AM53" s="26">
        <f>INDEX(Calib!$U$1:$U$13,$D53)+(AM52-INDEX(Calib!$U$1:$U$13,$D53))*(1-p_amort)+p_sh_conc*AF53</f>
        <v/>
      </c>
      <c r="AN53" s="26">
        <f>AL53/AE53</f>
        <v/>
      </c>
      <c r="AO53" s="26">
        <f>INDEX(Calib!$K$1:$K$13,$D53)+p_eta*MAX(0,AN53-INDEX(Calib!$AA$1:$AA$13,$D53))</f>
        <v/>
      </c>
      <c r="AP53" s="26">
        <f>(1-INDEX(Calib!$H$1:$H$13,$D53))*(1-p_alpha)*AC53+AI53</f>
        <v/>
      </c>
      <c r="AQ53" s="26">
        <f>(AE53/O53-1)*100</f>
        <v/>
      </c>
      <c r="AR53" s="26">
        <f>(AE53/AE29-1)*100</f>
        <v/>
      </c>
      <c r="AS53" s="26">
        <f>(O53/O29-1)*100</f>
        <v/>
      </c>
      <c r="AT53" s="26">
        <f>(AN53-X53)*100</f>
        <v/>
      </c>
      <c r="AU53" s="26">
        <f>(AP53/Z53-1)*100</f>
        <v/>
      </c>
      <c r="AV53" s="26">
        <f>(AI53-S53)*100</f>
        <v/>
      </c>
    </row>
    <row r="54">
      <c r="A54" s="25" t="inlineStr">
        <is>
          <t>SLE</t>
        </is>
      </c>
      <c r="B54" s="25" t="n">
        <v>2049</v>
      </c>
      <c r="C54" s="25" t="n">
        <v>25</v>
      </c>
      <c r="D54" s="25" t="n">
        <v>3</v>
      </c>
      <c r="E54" s="25">
        <f>IF(AND(p_dis_year&gt;0,B54=p_dis_year),1,0)</f>
        <v/>
      </c>
      <c r="F54" s="26">
        <f>IF(AND(p_dis_year&gt;0,B54&gt;=p_dis_year),1-p_eps_a*p_rho_a^(B54-p_dis_year),1)</f>
        <v/>
      </c>
      <c r="G54" s="26">
        <f>INDEX(Calib!$N$1:$N$13,$D54)*(1-p_rent_decline*MIN(1,C54/26))</f>
        <v/>
      </c>
      <c r="H54" s="26">
        <f>IF(C54=0,0,SUMIFS(dl_val,dl_iso,$A54,dl_ind,"pub_cap",dl_year,$B54)/100)</f>
        <v/>
      </c>
      <c r="I54" s="26">
        <f>IF(C54=0,0,SUMIFS(dl_val,dl_iso,$A54,dl_ind,"pub_spend",dl_year,$B54)/100)</f>
        <v/>
      </c>
      <c r="J54" s="26">
        <f>IF(C54=0,0,SUMIFS(dl_val,dl_iso,$A54,dl_ind,"rev",dl_year,$B54)/100)</f>
        <v/>
      </c>
      <c r="K54" s="26">
        <f>(1-p_delta_g)*K53*(1-p_eps_g*$E54)+INDEX(Calib!$E$1:$E$13,$D54)*(INDEX(Calib!$G$1:$G$13,$D54)+0*$H54)</f>
        <v/>
      </c>
      <c r="L54" s="26">
        <f>L53*(1-p_eps_k*$E54)+p_lambda_k*(N54-L53*(1-p_eps_k*$E54))</f>
        <v/>
      </c>
      <c r="M54" s="26">
        <f>INDEX(Calib!$R$1:$R$13,$D54)*$F54*(K53*(1-p_eps_g*$E54))^INDEX(Calib!$Q$1:$Q$13,$D54)*(L53*(1-p_eps_k*$E54))^p_alpha</f>
        <v/>
      </c>
      <c r="N54" s="26">
        <f>p_alpha*(1-INDEX(Calib!$H$1:$H$13,$D54))*M54/(INDEX(Calib!$K$1:$K$13,$D54)+p_delta)</f>
        <v/>
      </c>
      <c r="O54" s="26">
        <f>M54+$G54</f>
        <v/>
      </c>
      <c r="P54" s="26">
        <f>0*($H54+$I54)</f>
        <v/>
      </c>
      <c r="Q54" s="26">
        <f>INDEX(Calib!$I$1:$I$13,$D54)+p_sh_grant*P54</f>
        <v/>
      </c>
      <c r="R54" s="26">
        <f>INDEX(Calib!$H$1:$H$13,$D54)*M54+p_gov_take*$G54+Q54+0*p_pricing*$J54</f>
        <v/>
      </c>
      <c r="S54" s="26">
        <f>INDEX(Calib!$Y$1:$Y$13,$D54)-INDEX(Calib!$Z$1:$Z$13,$D54)*(V53/O53-INDEX(Calib!$AA$1:$AA$13,$D54))</f>
        <v/>
      </c>
      <c r="T54" s="26">
        <f>INDEX(Calib!$X$1:$X$13,$D54)+INDEX(Calib!$G$1:$G$13,$D54)+P54+S54-R54</f>
        <v/>
      </c>
      <c r="U54" s="26">
        <f>p_rk*W53+Y53*(V53-W53)</f>
        <v/>
      </c>
      <c r="V54" s="26">
        <f>V53+U54+T54</f>
        <v/>
      </c>
      <c r="W54" s="26">
        <f>INDEX(Calib!$U$1:$U$13,$D54)+(W53-INDEX(Calib!$U$1:$U$13,$D54))*(1-p_amort)+p_sh_conc*P54</f>
        <v/>
      </c>
      <c r="X54" s="26">
        <f>V54/O54</f>
        <v/>
      </c>
      <c r="Y54" s="26">
        <f>INDEX(Calib!$K$1:$K$13,$D54)+p_eta*MAX(0,X54-INDEX(Calib!$AA$1:$AA$13,$D54))</f>
        <v/>
      </c>
      <c r="Z54" s="26">
        <f>(1-INDEX(Calib!$H$1:$H$13,$D54))*(1-p_alpha)*M54+S54</f>
        <v/>
      </c>
      <c r="AA54" s="26">
        <f>(1-p_delta_g)*AA53*(1-p_eps_g*$E54)+INDEX(Calib!$E$1:$E$13,$D54)*(INDEX(Calib!$G$1:$G$13,$D54)+p_programme*$H54)</f>
        <v/>
      </c>
      <c r="AB54" s="26">
        <f>AB53*(1-p_eps_k*$E54)+p_lambda_k*(AD54-AB53*(1-p_eps_k*$E54))</f>
        <v/>
      </c>
      <c r="AC54" s="26">
        <f>INDEX(Calib!$R$1:$R$13,$D54)*$F54*(AA53*(1-p_eps_g*$E54))^INDEX(Calib!$Q$1:$Q$13,$D54)*(AB53*(1-p_eps_k*$E54))^p_alpha</f>
        <v/>
      </c>
      <c r="AD54" s="26">
        <f>p_alpha*(1-INDEX(Calib!$H$1:$H$13,$D54))*AC54/(INDEX(Calib!$K$1:$K$13,$D54)+p_delta)</f>
        <v/>
      </c>
      <c r="AE54" s="26">
        <f>AC54+$G54</f>
        <v/>
      </c>
      <c r="AF54" s="26">
        <f>p_programme*($H54+$I54)</f>
        <v/>
      </c>
      <c r="AG54" s="26">
        <f>INDEX(Calib!$I$1:$I$13,$D54)+p_sh_grant*AF54</f>
        <v/>
      </c>
      <c r="AH54" s="26">
        <f>INDEX(Calib!$H$1:$H$13,$D54)*AC54+p_gov_take*$G54+AG54+p_programme*p_pricing*$J54</f>
        <v/>
      </c>
      <c r="AI54" s="26">
        <f>INDEX(Calib!$Y$1:$Y$13,$D54)-INDEX(Calib!$Z$1:$Z$13,$D54)*(AL53/AE53-INDEX(Calib!$AA$1:$AA$13,$D54))</f>
        <v/>
      </c>
      <c r="AJ54" s="26">
        <f>INDEX(Calib!$X$1:$X$13,$D54)+INDEX(Calib!$G$1:$G$13,$D54)+AF54+AI54-AH54</f>
        <v/>
      </c>
      <c r="AK54" s="26">
        <f>p_rk*AM53+AO53*(AL53-AM53)</f>
        <v/>
      </c>
      <c r="AL54" s="26">
        <f>AL53+AK54+AJ54</f>
        <v/>
      </c>
      <c r="AM54" s="26">
        <f>INDEX(Calib!$U$1:$U$13,$D54)+(AM53-INDEX(Calib!$U$1:$U$13,$D54))*(1-p_amort)+p_sh_conc*AF54</f>
        <v/>
      </c>
      <c r="AN54" s="26">
        <f>AL54/AE54</f>
        <v/>
      </c>
      <c r="AO54" s="26">
        <f>INDEX(Calib!$K$1:$K$13,$D54)+p_eta*MAX(0,AN54-INDEX(Calib!$AA$1:$AA$13,$D54))</f>
        <v/>
      </c>
      <c r="AP54" s="26">
        <f>(1-INDEX(Calib!$H$1:$H$13,$D54))*(1-p_alpha)*AC54+AI54</f>
        <v/>
      </c>
      <c r="AQ54" s="26">
        <f>(AE54/O54-1)*100</f>
        <v/>
      </c>
      <c r="AR54" s="26">
        <f>(AE54/AE29-1)*100</f>
        <v/>
      </c>
      <c r="AS54" s="26">
        <f>(O54/O29-1)*100</f>
        <v/>
      </c>
      <c r="AT54" s="26">
        <f>(AN54-X54)*100</f>
        <v/>
      </c>
      <c r="AU54" s="26">
        <f>(AP54/Z54-1)*100</f>
        <v/>
      </c>
      <c r="AV54" s="26">
        <f>(AI54-S54)*100</f>
        <v/>
      </c>
    </row>
    <row r="55">
      <c r="A55" s="25" t="inlineStr">
        <is>
          <t>SLE</t>
        </is>
      </c>
      <c r="B55" s="25" t="n">
        <v>2050</v>
      </c>
      <c r="C55" s="25" t="n">
        <v>26</v>
      </c>
      <c r="D55" s="25" t="n">
        <v>3</v>
      </c>
      <c r="E55" s="25">
        <f>IF(AND(p_dis_year&gt;0,B55=p_dis_year),1,0)</f>
        <v/>
      </c>
      <c r="F55" s="26">
        <f>IF(AND(p_dis_year&gt;0,B55&gt;=p_dis_year),1-p_eps_a*p_rho_a^(B55-p_dis_year),1)</f>
        <v/>
      </c>
      <c r="G55" s="26">
        <f>INDEX(Calib!$N$1:$N$13,$D55)*(1-p_rent_decline*MIN(1,C55/26))</f>
        <v/>
      </c>
      <c r="H55" s="26">
        <f>IF(C55=0,0,SUMIFS(dl_val,dl_iso,$A55,dl_ind,"pub_cap",dl_year,$B55)/100)</f>
        <v/>
      </c>
      <c r="I55" s="26">
        <f>IF(C55=0,0,SUMIFS(dl_val,dl_iso,$A55,dl_ind,"pub_spend",dl_year,$B55)/100)</f>
        <v/>
      </c>
      <c r="J55" s="26">
        <f>IF(C55=0,0,SUMIFS(dl_val,dl_iso,$A55,dl_ind,"rev",dl_year,$B55)/100)</f>
        <v/>
      </c>
      <c r="K55" s="26">
        <f>(1-p_delta_g)*K54*(1-p_eps_g*$E55)+INDEX(Calib!$E$1:$E$13,$D55)*(INDEX(Calib!$G$1:$G$13,$D55)+0*$H55)</f>
        <v/>
      </c>
      <c r="L55" s="26">
        <f>L54*(1-p_eps_k*$E55)+p_lambda_k*(N55-L54*(1-p_eps_k*$E55))</f>
        <v/>
      </c>
      <c r="M55" s="26">
        <f>INDEX(Calib!$R$1:$R$13,$D55)*$F55*(K54*(1-p_eps_g*$E55))^INDEX(Calib!$Q$1:$Q$13,$D55)*(L54*(1-p_eps_k*$E55))^p_alpha</f>
        <v/>
      </c>
      <c r="N55" s="26">
        <f>p_alpha*(1-INDEX(Calib!$H$1:$H$13,$D55))*M55/(INDEX(Calib!$K$1:$K$13,$D55)+p_delta)</f>
        <v/>
      </c>
      <c r="O55" s="26">
        <f>M55+$G55</f>
        <v/>
      </c>
      <c r="P55" s="26">
        <f>0*($H55+$I55)</f>
        <v/>
      </c>
      <c r="Q55" s="26">
        <f>INDEX(Calib!$I$1:$I$13,$D55)+p_sh_grant*P55</f>
        <v/>
      </c>
      <c r="R55" s="26">
        <f>INDEX(Calib!$H$1:$H$13,$D55)*M55+p_gov_take*$G55+Q55+0*p_pricing*$J55</f>
        <v/>
      </c>
      <c r="S55" s="26">
        <f>INDEX(Calib!$Y$1:$Y$13,$D55)-INDEX(Calib!$Z$1:$Z$13,$D55)*(V54/O54-INDEX(Calib!$AA$1:$AA$13,$D55))</f>
        <v/>
      </c>
      <c r="T55" s="26">
        <f>INDEX(Calib!$X$1:$X$13,$D55)+INDEX(Calib!$G$1:$G$13,$D55)+P55+S55-R55</f>
        <v/>
      </c>
      <c r="U55" s="26">
        <f>p_rk*W54+Y54*(V54-W54)</f>
        <v/>
      </c>
      <c r="V55" s="26">
        <f>V54+U55+T55</f>
        <v/>
      </c>
      <c r="W55" s="26">
        <f>INDEX(Calib!$U$1:$U$13,$D55)+(W54-INDEX(Calib!$U$1:$U$13,$D55))*(1-p_amort)+p_sh_conc*P55</f>
        <v/>
      </c>
      <c r="X55" s="26">
        <f>V55/O55</f>
        <v/>
      </c>
      <c r="Y55" s="26">
        <f>INDEX(Calib!$K$1:$K$13,$D55)+p_eta*MAX(0,X55-INDEX(Calib!$AA$1:$AA$13,$D55))</f>
        <v/>
      </c>
      <c r="Z55" s="26">
        <f>(1-INDEX(Calib!$H$1:$H$13,$D55))*(1-p_alpha)*M55+S55</f>
        <v/>
      </c>
      <c r="AA55" s="26">
        <f>(1-p_delta_g)*AA54*(1-p_eps_g*$E55)+INDEX(Calib!$E$1:$E$13,$D55)*(INDEX(Calib!$G$1:$G$13,$D55)+p_programme*$H55)</f>
        <v/>
      </c>
      <c r="AB55" s="26">
        <f>AB54*(1-p_eps_k*$E55)+p_lambda_k*(AD55-AB54*(1-p_eps_k*$E55))</f>
        <v/>
      </c>
      <c r="AC55" s="26">
        <f>INDEX(Calib!$R$1:$R$13,$D55)*$F55*(AA54*(1-p_eps_g*$E55))^INDEX(Calib!$Q$1:$Q$13,$D55)*(AB54*(1-p_eps_k*$E55))^p_alpha</f>
        <v/>
      </c>
      <c r="AD55" s="26">
        <f>p_alpha*(1-INDEX(Calib!$H$1:$H$13,$D55))*AC55/(INDEX(Calib!$K$1:$K$13,$D55)+p_delta)</f>
        <v/>
      </c>
      <c r="AE55" s="26">
        <f>AC55+$G55</f>
        <v/>
      </c>
      <c r="AF55" s="26">
        <f>p_programme*($H55+$I55)</f>
        <v/>
      </c>
      <c r="AG55" s="26">
        <f>INDEX(Calib!$I$1:$I$13,$D55)+p_sh_grant*AF55</f>
        <v/>
      </c>
      <c r="AH55" s="26">
        <f>INDEX(Calib!$H$1:$H$13,$D55)*AC55+p_gov_take*$G55+AG55+p_programme*p_pricing*$J55</f>
        <v/>
      </c>
      <c r="AI55" s="26">
        <f>INDEX(Calib!$Y$1:$Y$13,$D55)-INDEX(Calib!$Z$1:$Z$13,$D55)*(AL54/AE54-INDEX(Calib!$AA$1:$AA$13,$D55))</f>
        <v/>
      </c>
      <c r="AJ55" s="26">
        <f>INDEX(Calib!$X$1:$X$13,$D55)+INDEX(Calib!$G$1:$G$13,$D55)+AF55+AI55-AH55</f>
        <v/>
      </c>
      <c r="AK55" s="26">
        <f>p_rk*AM54+AO54*(AL54-AM54)</f>
        <v/>
      </c>
      <c r="AL55" s="26">
        <f>AL54+AK55+AJ55</f>
        <v/>
      </c>
      <c r="AM55" s="26">
        <f>INDEX(Calib!$U$1:$U$13,$D55)+(AM54-INDEX(Calib!$U$1:$U$13,$D55))*(1-p_amort)+p_sh_conc*AF55</f>
        <v/>
      </c>
      <c r="AN55" s="26">
        <f>AL55/AE55</f>
        <v/>
      </c>
      <c r="AO55" s="26">
        <f>INDEX(Calib!$K$1:$K$13,$D55)+p_eta*MAX(0,AN55-INDEX(Calib!$AA$1:$AA$13,$D55))</f>
        <v/>
      </c>
      <c r="AP55" s="26">
        <f>(1-INDEX(Calib!$H$1:$H$13,$D55))*(1-p_alpha)*AC55+AI55</f>
        <v/>
      </c>
      <c r="AQ55" s="26">
        <f>(AE55/O55-1)*100</f>
        <v/>
      </c>
      <c r="AR55" s="26">
        <f>(AE55/AE29-1)*100</f>
        <v/>
      </c>
      <c r="AS55" s="26">
        <f>(O55/O29-1)*100</f>
        <v/>
      </c>
      <c r="AT55" s="26">
        <f>(AN55-X55)*100</f>
        <v/>
      </c>
      <c r="AU55" s="26">
        <f>(AP55/Z55-1)*100</f>
        <v/>
      </c>
      <c r="AV55" s="26">
        <f>(AI55-S55)*100</f>
        <v/>
      </c>
    </row>
    <row r="56">
      <c r="A56" s="25" t="inlineStr">
        <is>
          <t>UGA</t>
        </is>
      </c>
      <c r="B56" s="25" t="n">
        <v>2024</v>
      </c>
      <c r="C56" s="25" t="n">
        <v>0</v>
      </c>
      <c r="D56" s="25" t="n">
        <v>4</v>
      </c>
      <c r="E56" s="25">
        <f>IF(AND(p_dis_year&gt;0,B56=p_dis_year),1,0)</f>
        <v/>
      </c>
      <c r="F56" s="26">
        <f>IF(AND(p_dis_year&gt;0,B56&gt;=p_dis_year),1-p_eps_a*p_rho_a^(B56-p_dis_year),1)</f>
        <v/>
      </c>
      <c r="G56" s="26">
        <f>INDEX(Calib!$N$1:$N$13,$D56)*(1-p_rent_decline*MIN(1,C56/26))</f>
        <v/>
      </c>
      <c r="H56" s="26">
        <f>IF(C56=0,0,SUMIFS(dl_val,dl_iso,$A56,dl_ind,"pub_cap",dl_year,$B56)/100)</f>
        <v/>
      </c>
      <c r="I56" s="26">
        <f>IF(C56=0,0,SUMIFS(dl_val,dl_iso,$A56,dl_ind,"pub_spend",dl_year,$B56)/100)</f>
        <v/>
      </c>
      <c r="J56" s="26">
        <f>IF(C56=0,0,SUMIFS(dl_val,dl_iso,$A56,dl_ind,"rev",dl_year,$B56)/100)</f>
        <v/>
      </c>
      <c r="K56" s="26">
        <f>INDEX(Calib!$P$1:$P$13,$D56)</f>
        <v/>
      </c>
      <c r="L56" s="26">
        <f>INDEX(Calib!$O$1:$O$13,$D56)</f>
        <v/>
      </c>
      <c r="M56" s="26">
        <f>1</f>
        <v/>
      </c>
      <c r="N56" s="26">
        <f>INDEX(Calib!$O$1:$O$13,$D56)</f>
        <v/>
      </c>
      <c r="O56" s="26">
        <f>INDEX(Calib!$S$1:$S$13,$D56)</f>
        <v/>
      </c>
      <c r="P56" s="26">
        <f>0</f>
        <v/>
      </c>
      <c r="Q56" s="26">
        <f>INDEX(Calib!$I$1:$I$13,$D56)</f>
        <v/>
      </c>
      <c r="R56" s="26">
        <f>INDEX(Calib!$W$1:$W$13,$D56)</f>
        <v/>
      </c>
      <c r="S56" s="26">
        <f>INDEX(Calib!$Y$1:$Y$13,$D56)</f>
        <v/>
      </c>
      <c r="T56" s="26">
        <f>-INDEX(Calib!$V$1:$V$13,$D56)</f>
        <v/>
      </c>
      <c r="U56" s="26">
        <f>INDEX(Calib!$V$1:$V$13,$D56)</f>
        <v/>
      </c>
      <c r="V56" s="26">
        <f>INDEX(Calib!$T$1:$T$13,$D56)</f>
        <v/>
      </c>
      <c r="W56" s="26">
        <f>INDEX(Calib!$U$1:$U$13,$D56)</f>
        <v/>
      </c>
      <c r="X56" s="26">
        <f>V56/O56</f>
        <v/>
      </c>
      <c r="Y56" s="26">
        <f>INDEX(Calib!$K$1:$K$13,$D56)</f>
        <v/>
      </c>
      <c r="Z56" s="26">
        <f>(1-INDEX(Calib!$H$1:$H$13,$D56))*(1-p_alpha)*M56+S56</f>
        <v/>
      </c>
      <c r="AA56" s="26">
        <f>INDEX(Calib!$P$1:$P$13,$D56)</f>
        <v/>
      </c>
      <c r="AB56" s="26">
        <f>INDEX(Calib!$O$1:$O$13,$D56)</f>
        <v/>
      </c>
      <c r="AC56" s="26">
        <f>1</f>
        <v/>
      </c>
      <c r="AD56" s="26">
        <f>INDEX(Calib!$O$1:$O$13,$D56)</f>
        <v/>
      </c>
      <c r="AE56" s="26">
        <f>INDEX(Calib!$S$1:$S$13,$D56)</f>
        <v/>
      </c>
      <c r="AF56" s="26">
        <f>0</f>
        <v/>
      </c>
      <c r="AG56" s="26">
        <f>INDEX(Calib!$I$1:$I$13,$D56)</f>
        <v/>
      </c>
      <c r="AH56" s="26">
        <f>INDEX(Calib!$W$1:$W$13,$D56)</f>
        <v/>
      </c>
      <c r="AI56" s="26">
        <f>INDEX(Calib!$Y$1:$Y$13,$D56)</f>
        <v/>
      </c>
      <c r="AJ56" s="26">
        <f>-INDEX(Calib!$V$1:$V$13,$D56)</f>
        <v/>
      </c>
      <c r="AK56" s="26">
        <f>INDEX(Calib!$V$1:$V$13,$D56)</f>
        <v/>
      </c>
      <c r="AL56" s="26">
        <f>INDEX(Calib!$T$1:$T$13,$D56)</f>
        <v/>
      </c>
      <c r="AM56" s="26">
        <f>INDEX(Calib!$U$1:$U$13,$D56)</f>
        <v/>
      </c>
      <c r="AN56" s="26">
        <f>AL56/AE56</f>
        <v/>
      </c>
      <c r="AO56" s="26">
        <f>INDEX(Calib!$K$1:$K$13,$D56)</f>
        <v/>
      </c>
      <c r="AP56" s="26">
        <f>(1-INDEX(Calib!$H$1:$H$13,$D56))*(1-p_alpha)*AC56+AI56</f>
        <v/>
      </c>
      <c r="AQ56" s="26">
        <f>(AE56/O56-1)*100</f>
        <v/>
      </c>
      <c r="AR56" s="26">
        <f>(AE56/AE56-1)*100</f>
        <v/>
      </c>
      <c r="AS56" s="26">
        <f>(O56/O56-1)*100</f>
        <v/>
      </c>
      <c r="AT56" s="26">
        <f>(AN56-X56)*100</f>
        <v/>
      </c>
      <c r="AU56" s="26">
        <f>(AP56/Z56-1)*100</f>
        <v/>
      </c>
      <c r="AV56" s="26">
        <f>(AI56-S56)*100</f>
        <v/>
      </c>
    </row>
    <row r="57">
      <c r="A57" s="25" t="inlineStr">
        <is>
          <t>UGA</t>
        </is>
      </c>
      <c r="B57" s="25" t="n">
        <v>2025</v>
      </c>
      <c r="C57" s="25" t="n">
        <v>1</v>
      </c>
      <c r="D57" s="25" t="n">
        <v>4</v>
      </c>
      <c r="E57" s="25">
        <f>IF(AND(p_dis_year&gt;0,B57=p_dis_year),1,0)</f>
        <v/>
      </c>
      <c r="F57" s="26">
        <f>IF(AND(p_dis_year&gt;0,B57&gt;=p_dis_year),1-p_eps_a*p_rho_a^(B57-p_dis_year),1)</f>
        <v/>
      </c>
      <c r="G57" s="26">
        <f>INDEX(Calib!$N$1:$N$13,$D57)*(1-p_rent_decline*MIN(1,C57/26))</f>
        <v/>
      </c>
      <c r="H57" s="26">
        <f>IF(C57=0,0,SUMIFS(dl_val,dl_iso,$A57,dl_ind,"pub_cap",dl_year,$B57)/100)</f>
        <v/>
      </c>
      <c r="I57" s="26">
        <f>IF(C57=0,0,SUMIFS(dl_val,dl_iso,$A57,dl_ind,"pub_spend",dl_year,$B57)/100)</f>
        <v/>
      </c>
      <c r="J57" s="26">
        <f>IF(C57=0,0,SUMIFS(dl_val,dl_iso,$A57,dl_ind,"rev",dl_year,$B57)/100)</f>
        <v/>
      </c>
      <c r="K57" s="26">
        <f>(1-p_delta_g)*K56*(1-p_eps_g*$E57)+INDEX(Calib!$E$1:$E$13,$D57)*(INDEX(Calib!$G$1:$G$13,$D57)+0*$H57)</f>
        <v/>
      </c>
      <c r="L57" s="26">
        <f>L56*(1-p_eps_k*$E57)+p_lambda_k*(N57-L56*(1-p_eps_k*$E57))</f>
        <v/>
      </c>
      <c r="M57" s="26">
        <f>INDEX(Calib!$R$1:$R$13,$D57)*$F57*(K56*(1-p_eps_g*$E57))^INDEX(Calib!$Q$1:$Q$13,$D57)*(L56*(1-p_eps_k*$E57))^p_alpha</f>
        <v/>
      </c>
      <c r="N57" s="26">
        <f>p_alpha*(1-INDEX(Calib!$H$1:$H$13,$D57))*M57/(INDEX(Calib!$K$1:$K$13,$D57)+p_delta)</f>
        <v/>
      </c>
      <c r="O57" s="26">
        <f>M57+$G57</f>
        <v/>
      </c>
      <c r="P57" s="26">
        <f>0*($H57+$I57)</f>
        <v/>
      </c>
      <c r="Q57" s="26">
        <f>INDEX(Calib!$I$1:$I$13,$D57)+p_sh_grant*P57</f>
        <v/>
      </c>
      <c r="R57" s="26">
        <f>INDEX(Calib!$H$1:$H$13,$D57)*M57+p_gov_take*$G57+Q57+0*p_pricing*$J57</f>
        <v/>
      </c>
      <c r="S57" s="26">
        <f>INDEX(Calib!$Y$1:$Y$13,$D57)-INDEX(Calib!$Z$1:$Z$13,$D57)*(V56/O56-INDEX(Calib!$AA$1:$AA$13,$D57))</f>
        <v/>
      </c>
      <c r="T57" s="26">
        <f>INDEX(Calib!$X$1:$X$13,$D57)+INDEX(Calib!$G$1:$G$13,$D57)+P57+S57-R57</f>
        <v/>
      </c>
      <c r="U57" s="26">
        <f>p_rk*W56+Y56*(V56-W56)</f>
        <v/>
      </c>
      <c r="V57" s="26">
        <f>V56+U57+T57</f>
        <v/>
      </c>
      <c r="W57" s="26">
        <f>INDEX(Calib!$U$1:$U$13,$D57)+(W56-INDEX(Calib!$U$1:$U$13,$D57))*(1-p_amort)+p_sh_conc*P57</f>
        <v/>
      </c>
      <c r="X57" s="26">
        <f>V57/O57</f>
        <v/>
      </c>
      <c r="Y57" s="26">
        <f>INDEX(Calib!$K$1:$K$13,$D57)+p_eta*MAX(0,X57-INDEX(Calib!$AA$1:$AA$13,$D57))</f>
        <v/>
      </c>
      <c r="Z57" s="26">
        <f>(1-INDEX(Calib!$H$1:$H$13,$D57))*(1-p_alpha)*M57+S57</f>
        <v/>
      </c>
      <c r="AA57" s="26">
        <f>(1-p_delta_g)*AA56*(1-p_eps_g*$E57)+INDEX(Calib!$E$1:$E$13,$D57)*(INDEX(Calib!$G$1:$G$13,$D57)+p_programme*$H57)</f>
        <v/>
      </c>
      <c r="AB57" s="26">
        <f>AB56*(1-p_eps_k*$E57)+p_lambda_k*(AD57-AB56*(1-p_eps_k*$E57))</f>
        <v/>
      </c>
      <c r="AC57" s="26">
        <f>INDEX(Calib!$R$1:$R$13,$D57)*$F57*(AA56*(1-p_eps_g*$E57))^INDEX(Calib!$Q$1:$Q$13,$D57)*(AB56*(1-p_eps_k*$E57))^p_alpha</f>
        <v/>
      </c>
      <c r="AD57" s="26">
        <f>p_alpha*(1-INDEX(Calib!$H$1:$H$13,$D57))*AC57/(INDEX(Calib!$K$1:$K$13,$D57)+p_delta)</f>
        <v/>
      </c>
      <c r="AE57" s="26">
        <f>AC57+$G57</f>
        <v/>
      </c>
      <c r="AF57" s="26">
        <f>p_programme*($H57+$I57)</f>
        <v/>
      </c>
      <c r="AG57" s="26">
        <f>INDEX(Calib!$I$1:$I$13,$D57)+p_sh_grant*AF57</f>
        <v/>
      </c>
      <c r="AH57" s="26">
        <f>INDEX(Calib!$H$1:$H$13,$D57)*AC57+p_gov_take*$G57+AG57+p_programme*p_pricing*$J57</f>
        <v/>
      </c>
      <c r="AI57" s="26">
        <f>INDEX(Calib!$Y$1:$Y$13,$D57)-INDEX(Calib!$Z$1:$Z$13,$D57)*(AL56/AE56-INDEX(Calib!$AA$1:$AA$13,$D57))</f>
        <v/>
      </c>
      <c r="AJ57" s="26">
        <f>INDEX(Calib!$X$1:$X$13,$D57)+INDEX(Calib!$G$1:$G$13,$D57)+AF57+AI57-AH57</f>
        <v/>
      </c>
      <c r="AK57" s="26">
        <f>p_rk*AM56+AO56*(AL56-AM56)</f>
        <v/>
      </c>
      <c r="AL57" s="26">
        <f>AL56+AK57+AJ57</f>
        <v/>
      </c>
      <c r="AM57" s="26">
        <f>INDEX(Calib!$U$1:$U$13,$D57)+(AM56-INDEX(Calib!$U$1:$U$13,$D57))*(1-p_amort)+p_sh_conc*AF57</f>
        <v/>
      </c>
      <c r="AN57" s="26">
        <f>AL57/AE57</f>
        <v/>
      </c>
      <c r="AO57" s="26">
        <f>INDEX(Calib!$K$1:$K$13,$D57)+p_eta*MAX(0,AN57-INDEX(Calib!$AA$1:$AA$13,$D57))</f>
        <v/>
      </c>
      <c r="AP57" s="26">
        <f>(1-INDEX(Calib!$H$1:$H$13,$D57))*(1-p_alpha)*AC57+AI57</f>
        <v/>
      </c>
      <c r="AQ57" s="26">
        <f>(AE57/O57-1)*100</f>
        <v/>
      </c>
      <c r="AR57" s="26">
        <f>(AE57/AE56-1)*100</f>
        <v/>
      </c>
      <c r="AS57" s="26">
        <f>(O57/O56-1)*100</f>
        <v/>
      </c>
      <c r="AT57" s="26">
        <f>(AN57-X57)*100</f>
        <v/>
      </c>
      <c r="AU57" s="26">
        <f>(AP57/Z57-1)*100</f>
        <v/>
      </c>
      <c r="AV57" s="26">
        <f>(AI57-S57)*100</f>
        <v/>
      </c>
    </row>
    <row r="58">
      <c r="A58" s="25" t="inlineStr">
        <is>
          <t>UGA</t>
        </is>
      </c>
      <c r="B58" s="25" t="n">
        <v>2026</v>
      </c>
      <c r="C58" s="25" t="n">
        <v>2</v>
      </c>
      <c r="D58" s="25" t="n">
        <v>4</v>
      </c>
      <c r="E58" s="25">
        <f>IF(AND(p_dis_year&gt;0,B58=p_dis_year),1,0)</f>
        <v/>
      </c>
      <c r="F58" s="26">
        <f>IF(AND(p_dis_year&gt;0,B58&gt;=p_dis_year),1-p_eps_a*p_rho_a^(B58-p_dis_year),1)</f>
        <v/>
      </c>
      <c r="G58" s="26">
        <f>INDEX(Calib!$N$1:$N$13,$D58)*(1-p_rent_decline*MIN(1,C58/26))</f>
        <v/>
      </c>
      <c r="H58" s="26">
        <f>IF(C58=0,0,SUMIFS(dl_val,dl_iso,$A58,dl_ind,"pub_cap",dl_year,$B58)/100)</f>
        <v/>
      </c>
      <c r="I58" s="26">
        <f>IF(C58=0,0,SUMIFS(dl_val,dl_iso,$A58,dl_ind,"pub_spend",dl_year,$B58)/100)</f>
        <v/>
      </c>
      <c r="J58" s="26">
        <f>IF(C58=0,0,SUMIFS(dl_val,dl_iso,$A58,dl_ind,"rev",dl_year,$B58)/100)</f>
        <v/>
      </c>
      <c r="K58" s="26">
        <f>(1-p_delta_g)*K57*(1-p_eps_g*$E58)+INDEX(Calib!$E$1:$E$13,$D58)*(INDEX(Calib!$G$1:$G$13,$D58)+0*$H58)</f>
        <v/>
      </c>
      <c r="L58" s="26">
        <f>L57*(1-p_eps_k*$E58)+p_lambda_k*(N58-L57*(1-p_eps_k*$E58))</f>
        <v/>
      </c>
      <c r="M58" s="26">
        <f>INDEX(Calib!$R$1:$R$13,$D58)*$F58*(K57*(1-p_eps_g*$E58))^INDEX(Calib!$Q$1:$Q$13,$D58)*(L57*(1-p_eps_k*$E58))^p_alpha</f>
        <v/>
      </c>
      <c r="N58" s="26">
        <f>p_alpha*(1-INDEX(Calib!$H$1:$H$13,$D58))*M58/(INDEX(Calib!$K$1:$K$13,$D58)+p_delta)</f>
        <v/>
      </c>
      <c r="O58" s="26">
        <f>M58+$G58</f>
        <v/>
      </c>
      <c r="P58" s="26">
        <f>0*($H58+$I58)</f>
        <v/>
      </c>
      <c r="Q58" s="26">
        <f>INDEX(Calib!$I$1:$I$13,$D58)+p_sh_grant*P58</f>
        <v/>
      </c>
      <c r="R58" s="26">
        <f>INDEX(Calib!$H$1:$H$13,$D58)*M58+p_gov_take*$G58+Q58+0*p_pricing*$J58</f>
        <v/>
      </c>
      <c r="S58" s="26">
        <f>INDEX(Calib!$Y$1:$Y$13,$D58)-INDEX(Calib!$Z$1:$Z$13,$D58)*(V57/O57-INDEX(Calib!$AA$1:$AA$13,$D58))</f>
        <v/>
      </c>
      <c r="T58" s="26">
        <f>INDEX(Calib!$X$1:$X$13,$D58)+INDEX(Calib!$G$1:$G$13,$D58)+P58+S58-R58</f>
        <v/>
      </c>
      <c r="U58" s="26">
        <f>p_rk*W57+Y57*(V57-W57)</f>
        <v/>
      </c>
      <c r="V58" s="26">
        <f>V57+U58+T58</f>
        <v/>
      </c>
      <c r="W58" s="26">
        <f>INDEX(Calib!$U$1:$U$13,$D58)+(W57-INDEX(Calib!$U$1:$U$13,$D58))*(1-p_amort)+p_sh_conc*P58</f>
        <v/>
      </c>
      <c r="X58" s="26">
        <f>V58/O58</f>
        <v/>
      </c>
      <c r="Y58" s="26">
        <f>INDEX(Calib!$K$1:$K$13,$D58)+p_eta*MAX(0,X58-INDEX(Calib!$AA$1:$AA$13,$D58))</f>
        <v/>
      </c>
      <c r="Z58" s="26">
        <f>(1-INDEX(Calib!$H$1:$H$13,$D58))*(1-p_alpha)*M58+S58</f>
        <v/>
      </c>
      <c r="AA58" s="26">
        <f>(1-p_delta_g)*AA57*(1-p_eps_g*$E58)+INDEX(Calib!$E$1:$E$13,$D58)*(INDEX(Calib!$G$1:$G$13,$D58)+p_programme*$H58)</f>
        <v/>
      </c>
      <c r="AB58" s="26">
        <f>AB57*(1-p_eps_k*$E58)+p_lambda_k*(AD58-AB57*(1-p_eps_k*$E58))</f>
        <v/>
      </c>
      <c r="AC58" s="26">
        <f>INDEX(Calib!$R$1:$R$13,$D58)*$F58*(AA57*(1-p_eps_g*$E58))^INDEX(Calib!$Q$1:$Q$13,$D58)*(AB57*(1-p_eps_k*$E58))^p_alpha</f>
        <v/>
      </c>
      <c r="AD58" s="26">
        <f>p_alpha*(1-INDEX(Calib!$H$1:$H$13,$D58))*AC58/(INDEX(Calib!$K$1:$K$13,$D58)+p_delta)</f>
        <v/>
      </c>
      <c r="AE58" s="26">
        <f>AC58+$G58</f>
        <v/>
      </c>
      <c r="AF58" s="26">
        <f>p_programme*($H58+$I58)</f>
        <v/>
      </c>
      <c r="AG58" s="26">
        <f>INDEX(Calib!$I$1:$I$13,$D58)+p_sh_grant*AF58</f>
        <v/>
      </c>
      <c r="AH58" s="26">
        <f>INDEX(Calib!$H$1:$H$13,$D58)*AC58+p_gov_take*$G58+AG58+p_programme*p_pricing*$J58</f>
        <v/>
      </c>
      <c r="AI58" s="26">
        <f>INDEX(Calib!$Y$1:$Y$13,$D58)-INDEX(Calib!$Z$1:$Z$13,$D58)*(AL57/AE57-INDEX(Calib!$AA$1:$AA$13,$D58))</f>
        <v/>
      </c>
      <c r="AJ58" s="26">
        <f>INDEX(Calib!$X$1:$X$13,$D58)+INDEX(Calib!$G$1:$G$13,$D58)+AF58+AI58-AH58</f>
        <v/>
      </c>
      <c r="AK58" s="26">
        <f>p_rk*AM57+AO57*(AL57-AM57)</f>
        <v/>
      </c>
      <c r="AL58" s="26">
        <f>AL57+AK58+AJ58</f>
        <v/>
      </c>
      <c r="AM58" s="26">
        <f>INDEX(Calib!$U$1:$U$13,$D58)+(AM57-INDEX(Calib!$U$1:$U$13,$D58))*(1-p_amort)+p_sh_conc*AF58</f>
        <v/>
      </c>
      <c r="AN58" s="26">
        <f>AL58/AE58</f>
        <v/>
      </c>
      <c r="AO58" s="26">
        <f>INDEX(Calib!$K$1:$K$13,$D58)+p_eta*MAX(0,AN58-INDEX(Calib!$AA$1:$AA$13,$D58))</f>
        <v/>
      </c>
      <c r="AP58" s="26">
        <f>(1-INDEX(Calib!$H$1:$H$13,$D58))*(1-p_alpha)*AC58+AI58</f>
        <v/>
      </c>
      <c r="AQ58" s="26">
        <f>(AE58/O58-1)*100</f>
        <v/>
      </c>
      <c r="AR58" s="26">
        <f>(AE58/AE56-1)*100</f>
        <v/>
      </c>
      <c r="AS58" s="26">
        <f>(O58/O56-1)*100</f>
        <v/>
      </c>
      <c r="AT58" s="26">
        <f>(AN58-X58)*100</f>
        <v/>
      </c>
      <c r="AU58" s="26">
        <f>(AP58/Z58-1)*100</f>
        <v/>
      </c>
      <c r="AV58" s="26">
        <f>(AI58-S58)*100</f>
        <v/>
      </c>
    </row>
    <row r="59">
      <c r="A59" s="25" t="inlineStr">
        <is>
          <t>UGA</t>
        </is>
      </c>
      <c r="B59" s="25" t="n">
        <v>2027</v>
      </c>
      <c r="C59" s="25" t="n">
        <v>3</v>
      </c>
      <c r="D59" s="25" t="n">
        <v>4</v>
      </c>
      <c r="E59" s="25">
        <f>IF(AND(p_dis_year&gt;0,B59=p_dis_year),1,0)</f>
        <v/>
      </c>
      <c r="F59" s="26">
        <f>IF(AND(p_dis_year&gt;0,B59&gt;=p_dis_year),1-p_eps_a*p_rho_a^(B59-p_dis_year),1)</f>
        <v/>
      </c>
      <c r="G59" s="26">
        <f>INDEX(Calib!$N$1:$N$13,$D59)*(1-p_rent_decline*MIN(1,C59/26))</f>
        <v/>
      </c>
      <c r="H59" s="26">
        <f>IF(C59=0,0,SUMIFS(dl_val,dl_iso,$A59,dl_ind,"pub_cap",dl_year,$B59)/100)</f>
        <v/>
      </c>
      <c r="I59" s="26">
        <f>IF(C59=0,0,SUMIFS(dl_val,dl_iso,$A59,dl_ind,"pub_spend",dl_year,$B59)/100)</f>
        <v/>
      </c>
      <c r="J59" s="26">
        <f>IF(C59=0,0,SUMIFS(dl_val,dl_iso,$A59,dl_ind,"rev",dl_year,$B59)/100)</f>
        <v/>
      </c>
      <c r="K59" s="26">
        <f>(1-p_delta_g)*K58*(1-p_eps_g*$E59)+INDEX(Calib!$E$1:$E$13,$D59)*(INDEX(Calib!$G$1:$G$13,$D59)+0*$H59)</f>
        <v/>
      </c>
      <c r="L59" s="26">
        <f>L58*(1-p_eps_k*$E59)+p_lambda_k*(N59-L58*(1-p_eps_k*$E59))</f>
        <v/>
      </c>
      <c r="M59" s="26">
        <f>INDEX(Calib!$R$1:$R$13,$D59)*$F59*(K58*(1-p_eps_g*$E59))^INDEX(Calib!$Q$1:$Q$13,$D59)*(L58*(1-p_eps_k*$E59))^p_alpha</f>
        <v/>
      </c>
      <c r="N59" s="26">
        <f>p_alpha*(1-INDEX(Calib!$H$1:$H$13,$D59))*M59/(INDEX(Calib!$K$1:$K$13,$D59)+p_delta)</f>
        <v/>
      </c>
      <c r="O59" s="26">
        <f>M59+$G59</f>
        <v/>
      </c>
      <c r="P59" s="26">
        <f>0*($H59+$I59)</f>
        <v/>
      </c>
      <c r="Q59" s="26">
        <f>INDEX(Calib!$I$1:$I$13,$D59)+p_sh_grant*P59</f>
        <v/>
      </c>
      <c r="R59" s="26">
        <f>INDEX(Calib!$H$1:$H$13,$D59)*M59+p_gov_take*$G59+Q59+0*p_pricing*$J59</f>
        <v/>
      </c>
      <c r="S59" s="26">
        <f>INDEX(Calib!$Y$1:$Y$13,$D59)-INDEX(Calib!$Z$1:$Z$13,$D59)*(V58/O58-INDEX(Calib!$AA$1:$AA$13,$D59))</f>
        <v/>
      </c>
      <c r="T59" s="26">
        <f>INDEX(Calib!$X$1:$X$13,$D59)+INDEX(Calib!$G$1:$G$13,$D59)+P59+S59-R59</f>
        <v/>
      </c>
      <c r="U59" s="26">
        <f>p_rk*W58+Y58*(V58-W58)</f>
        <v/>
      </c>
      <c r="V59" s="26">
        <f>V58+U59+T59</f>
        <v/>
      </c>
      <c r="W59" s="26">
        <f>INDEX(Calib!$U$1:$U$13,$D59)+(W58-INDEX(Calib!$U$1:$U$13,$D59))*(1-p_amort)+p_sh_conc*P59</f>
        <v/>
      </c>
      <c r="X59" s="26">
        <f>V59/O59</f>
        <v/>
      </c>
      <c r="Y59" s="26">
        <f>INDEX(Calib!$K$1:$K$13,$D59)+p_eta*MAX(0,X59-INDEX(Calib!$AA$1:$AA$13,$D59))</f>
        <v/>
      </c>
      <c r="Z59" s="26">
        <f>(1-INDEX(Calib!$H$1:$H$13,$D59))*(1-p_alpha)*M59+S59</f>
        <v/>
      </c>
      <c r="AA59" s="26">
        <f>(1-p_delta_g)*AA58*(1-p_eps_g*$E59)+INDEX(Calib!$E$1:$E$13,$D59)*(INDEX(Calib!$G$1:$G$13,$D59)+p_programme*$H59)</f>
        <v/>
      </c>
      <c r="AB59" s="26">
        <f>AB58*(1-p_eps_k*$E59)+p_lambda_k*(AD59-AB58*(1-p_eps_k*$E59))</f>
        <v/>
      </c>
      <c r="AC59" s="26">
        <f>INDEX(Calib!$R$1:$R$13,$D59)*$F59*(AA58*(1-p_eps_g*$E59))^INDEX(Calib!$Q$1:$Q$13,$D59)*(AB58*(1-p_eps_k*$E59))^p_alpha</f>
        <v/>
      </c>
      <c r="AD59" s="26">
        <f>p_alpha*(1-INDEX(Calib!$H$1:$H$13,$D59))*AC59/(INDEX(Calib!$K$1:$K$13,$D59)+p_delta)</f>
        <v/>
      </c>
      <c r="AE59" s="26">
        <f>AC59+$G59</f>
        <v/>
      </c>
      <c r="AF59" s="26">
        <f>p_programme*($H59+$I59)</f>
        <v/>
      </c>
      <c r="AG59" s="26">
        <f>INDEX(Calib!$I$1:$I$13,$D59)+p_sh_grant*AF59</f>
        <v/>
      </c>
      <c r="AH59" s="26">
        <f>INDEX(Calib!$H$1:$H$13,$D59)*AC59+p_gov_take*$G59+AG59+p_programme*p_pricing*$J59</f>
        <v/>
      </c>
      <c r="AI59" s="26">
        <f>INDEX(Calib!$Y$1:$Y$13,$D59)-INDEX(Calib!$Z$1:$Z$13,$D59)*(AL58/AE58-INDEX(Calib!$AA$1:$AA$13,$D59))</f>
        <v/>
      </c>
      <c r="AJ59" s="26">
        <f>INDEX(Calib!$X$1:$X$13,$D59)+INDEX(Calib!$G$1:$G$13,$D59)+AF59+AI59-AH59</f>
        <v/>
      </c>
      <c r="AK59" s="26">
        <f>p_rk*AM58+AO58*(AL58-AM58)</f>
        <v/>
      </c>
      <c r="AL59" s="26">
        <f>AL58+AK59+AJ59</f>
        <v/>
      </c>
      <c r="AM59" s="26">
        <f>INDEX(Calib!$U$1:$U$13,$D59)+(AM58-INDEX(Calib!$U$1:$U$13,$D59))*(1-p_amort)+p_sh_conc*AF59</f>
        <v/>
      </c>
      <c r="AN59" s="26">
        <f>AL59/AE59</f>
        <v/>
      </c>
      <c r="AO59" s="26">
        <f>INDEX(Calib!$K$1:$K$13,$D59)+p_eta*MAX(0,AN59-INDEX(Calib!$AA$1:$AA$13,$D59))</f>
        <v/>
      </c>
      <c r="AP59" s="26">
        <f>(1-INDEX(Calib!$H$1:$H$13,$D59))*(1-p_alpha)*AC59+AI59</f>
        <v/>
      </c>
      <c r="AQ59" s="26">
        <f>(AE59/O59-1)*100</f>
        <v/>
      </c>
      <c r="AR59" s="26">
        <f>(AE59/AE56-1)*100</f>
        <v/>
      </c>
      <c r="AS59" s="26">
        <f>(O59/O56-1)*100</f>
        <v/>
      </c>
      <c r="AT59" s="26">
        <f>(AN59-X59)*100</f>
        <v/>
      </c>
      <c r="AU59" s="26">
        <f>(AP59/Z59-1)*100</f>
        <v/>
      </c>
      <c r="AV59" s="26">
        <f>(AI59-S59)*100</f>
        <v/>
      </c>
    </row>
    <row r="60">
      <c r="A60" s="25" t="inlineStr">
        <is>
          <t>UGA</t>
        </is>
      </c>
      <c r="B60" s="25" t="n">
        <v>2028</v>
      </c>
      <c r="C60" s="25" t="n">
        <v>4</v>
      </c>
      <c r="D60" s="25" t="n">
        <v>4</v>
      </c>
      <c r="E60" s="25">
        <f>IF(AND(p_dis_year&gt;0,B60=p_dis_year),1,0)</f>
        <v/>
      </c>
      <c r="F60" s="26">
        <f>IF(AND(p_dis_year&gt;0,B60&gt;=p_dis_year),1-p_eps_a*p_rho_a^(B60-p_dis_year),1)</f>
        <v/>
      </c>
      <c r="G60" s="26">
        <f>INDEX(Calib!$N$1:$N$13,$D60)*(1-p_rent_decline*MIN(1,C60/26))</f>
        <v/>
      </c>
      <c r="H60" s="26">
        <f>IF(C60=0,0,SUMIFS(dl_val,dl_iso,$A60,dl_ind,"pub_cap",dl_year,$B60)/100)</f>
        <v/>
      </c>
      <c r="I60" s="26">
        <f>IF(C60=0,0,SUMIFS(dl_val,dl_iso,$A60,dl_ind,"pub_spend",dl_year,$B60)/100)</f>
        <v/>
      </c>
      <c r="J60" s="26">
        <f>IF(C60=0,0,SUMIFS(dl_val,dl_iso,$A60,dl_ind,"rev",dl_year,$B60)/100)</f>
        <v/>
      </c>
      <c r="K60" s="26">
        <f>(1-p_delta_g)*K59*(1-p_eps_g*$E60)+INDEX(Calib!$E$1:$E$13,$D60)*(INDEX(Calib!$G$1:$G$13,$D60)+0*$H60)</f>
        <v/>
      </c>
      <c r="L60" s="26">
        <f>L59*(1-p_eps_k*$E60)+p_lambda_k*(N60-L59*(1-p_eps_k*$E60))</f>
        <v/>
      </c>
      <c r="M60" s="26">
        <f>INDEX(Calib!$R$1:$R$13,$D60)*$F60*(K59*(1-p_eps_g*$E60))^INDEX(Calib!$Q$1:$Q$13,$D60)*(L59*(1-p_eps_k*$E60))^p_alpha</f>
        <v/>
      </c>
      <c r="N60" s="26">
        <f>p_alpha*(1-INDEX(Calib!$H$1:$H$13,$D60))*M60/(INDEX(Calib!$K$1:$K$13,$D60)+p_delta)</f>
        <v/>
      </c>
      <c r="O60" s="26">
        <f>M60+$G60</f>
        <v/>
      </c>
      <c r="P60" s="26">
        <f>0*($H60+$I60)</f>
        <v/>
      </c>
      <c r="Q60" s="26">
        <f>INDEX(Calib!$I$1:$I$13,$D60)+p_sh_grant*P60</f>
        <v/>
      </c>
      <c r="R60" s="26">
        <f>INDEX(Calib!$H$1:$H$13,$D60)*M60+p_gov_take*$G60+Q60+0*p_pricing*$J60</f>
        <v/>
      </c>
      <c r="S60" s="26">
        <f>INDEX(Calib!$Y$1:$Y$13,$D60)-INDEX(Calib!$Z$1:$Z$13,$D60)*(V59/O59-INDEX(Calib!$AA$1:$AA$13,$D60))</f>
        <v/>
      </c>
      <c r="T60" s="26">
        <f>INDEX(Calib!$X$1:$X$13,$D60)+INDEX(Calib!$G$1:$G$13,$D60)+P60+S60-R60</f>
        <v/>
      </c>
      <c r="U60" s="26">
        <f>p_rk*W59+Y59*(V59-W59)</f>
        <v/>
      </c>
      <c r="V60" s="26">
        <f>V59+U60+T60</f>
        <v/>
      </c>
      <c r="W60" s="26">
        <f>INDEX(Calib!$U$1:$U$13,$D60)+(W59-INDEX(Calib!$U$1:$U$13,$D60))*(1-p_amort)+p_sh_conc*P60</f>
        <v/>
      </c>
      <c r="X60" s="26">
        <f>V60/O60</f>
        <v/>
      </c>
      <c r="Y60" s="26">
        <f>INDEX(Calib!$K$1:$K$13,$D60)+p_eta*MAX(0,X60-INDEX(Calib!$AA$1:$AA$13,$D60))</f>
        <v/>
      </c>
      <c r="Z60" s="26">
        <f>(1-INDEX(Calib!$H$1:$H$13,$D60))*(1-p_alpha)*M60+S60</f>
        <v/>
      </c>
      <c r="AA60" s="26">
        <f>(1-p_delta_g)*AA59*(1-p_eps_g*$E60)+INDEX(Calib!$E$1:$E$13,$D60)*(INDEX(Calib!$G$1:$G$13,$D60)+p_programme*$H60)</f>
        <v/>
      </c>
      <c r="AB60" s="26">
        <f>AB59*(1-p_eps_k*$E60)+p_lambda_k*(AD60-AB59*(1-p_eps_k*$E60))</f>
        <v/>
      </c>
      <c r="AC60" s="26">
        <f>INDEX(Calib!$R$1:$R$13,$D60)*$F60*(AA59*(1-p_eps_g*$E60))^INDEX(Calib!$Q$1:$Q$13,$D60)*(AB59*(1-p_eps_k*$E60))^p_alpha</f>
        <v/>
      </c>
      <c r="AD60" s="26">
        <f>p_alpha*(1-INDEX(Calib!$H$1:$H$13,$D60))*AC60/(INDEX(Calib!$K$1:$K$13,$D60)+p_delta)</f>
        <v/>
      </c>
      <c r="AE60" s="26">
        <f>AC60+$G60</f>
        <v/>
      </c>
      <c r="AF60" s="26">
        <f>p_programme*($H60+$I60)</f>
        <v/>
      </c>
      <c r="AG60" s="26">
        <f>INDEX(Calib!$I$1:$I$13,$D60)+p_sh_grant*AF60</f>
        <v/>
      </c>
      <c r="AH60" s="26">
        <f>INDEX(Calib!$H$1:$H$13,$D60)*AC60+p_gov_take*$G60+AG60+p_programme*p_pricing*$J60</f>
        <v/>
      </c>
      <c r="AI60" s="26">
        <f>INDEX(Calib!$Y$1:$Y$13,$D60)-INDEX(Calib!$Z$1:$Z$13,$D60)*(AL59/AE59-INDEX(Calib!$AA$1:$AA$13,$D60))</f>
        <v/>
      </c>
      <c r="AJ60" s="26">
        <f>INDEX(Calib!$X$1:$X$13,$D60)+INDEX(Calib!$G$1:$G$13,$D60)+AF60+AI60-AH60</f>
        <v/>
      </c>
      <c r="AK60" s="26">
        <f>p_rk*AM59+AO59*(AL59-AM59)</f>
        <v/>
      </c>
      <c r="AL60" s="26">
        <f>AL59+AK60+AJ60</f>
        <v/>
      </c>
      <c r="AM60" s="26">
        <f>INDEX(Calib!$U$1:$U$13,$D60)+(AM59-INDEX(Calib!$U$1:$U$13,$D60))*(1-p_amort)+p_sh_conc*AF60</f>
        <v/>
      </c>
      <c r="AN60" s="26">
        <f>AL60/AE60</f>
        <v/>
      </c>
      <c r="AO60" s="26">
        <f>INDEX(Calib!$K$1:$K$13,$D60)+p_eta*MAX(0,AN60-INDEX(Calib!$AA$1:$AA$13,$D60))</f>
        <v/>
      </c>
      <c r="AP60" s="26">
        <f>(1-INDEX(Calib!$H$1:$H$13,$D60))*(1-p_alpha)*AC60+AI60</f>
        <v/>
      </c>
      <c r="AQ60" s="26">
        <f>(AE60/O60-1)*100</f>
        <v/>
      </c>
      <c r="AR60" s="26">
        <f>(AE60/AE56-1)*100</f>
        <v/>
      </c>
      <c r="AS60" s="26">
        <f>(O60/O56-1)*100</f>
        <v/>
      </c>
      <c r="AT60" s="26">
        <f>(AN60-X60)*100</f>
        <v/>
      </c>
      <c r="AU60" s="26">
        <f>(AP60/Z60-1)*100</f>
        <v/>
      </c>
      <c r="AV60" s="26">
        <f>(AI60-S60)*100</f>
        <v/>
      </c>
    </row>
    <row r="61">
      <c r="A61" s="25" t="inlineStr">
        <is>
          <t>UGA</t>
        </is>
      </c>
      <c r="B61" s="25" t="n">
        <v>2029</v>
      </c>
      <c r="C61" s="25" t="n">
        <v>5</v>
      </c>
      <c r="D61" s="25" t="n">
        <v>4</v>
      </c>
      <c r="E61" s="25">
        <f>IF(AND(p_dis_year&gt;0,B61=p_dis_year),1,0)</f>
        <v/>
      </c>
      <c r="F61" s="26">
        <f>IF(AND(p_dis_year&gt;0,B61&gt;=p_dis_year),1-p_eps_a*p_rho_a^(B61-p_dis_year),1)</f>
        <v/>
      </c>
      <c r="G61" s="26">
        <f>INDEX(Calib!$N$1:$N$13,$D61)*(1-p_rent_decline*MIN(1,C61/26))</f>
        <v/>
      </c>
      <c r="H61" s="26">
        <f>IF(C61=0,0,SUMIFS(dl_val,dl_iso,$A61,dl_ind,"pub_cap",dl_year,$B61)/100)</f>
        <v/>
      </c>
      <c r="I61" s="26">
        <f>IF(C61=0,0,SUMIFS(dl_val,dl_iso,$A61,dl_ind,"pub_spend",dl_year,$B61)/100)</f>
        <v/>
      </c>
      <c r="J61" s="26">
        <f>IF(C61=0,0,SUMIFS(dl_val,dl_iso,$A61,dl_ind,"rev",dl_year,$B61)/100)</f>
        <v/>
      </c>
      <c r="K61" s="26">
        <f>(1-p_delta_g)*K60*(1-p_eps_g*$E61)+INDEX(Calib!$E$1:$E$13,$D61)*(INDEX(Calib!$G$1:$G$13,$D61)+0*$H61)</f>
        <v/>
      </c>
      <c r="L61" s="26">
        <f>L60*(1-p_eps_k*$E61)+p_lambda_k*(N61-L60*(1-p_eps_k*$E61))</f>
        <v/>
      </c>
      <c r="M61" s="26">
        <f>INDEX(Calib!$R$1:$R$13,$D61)*$F61*(K60*(1-p_eps_g*$E61))^INDEX(Calib!$Q$1:$Q$13,$D61)*(L60*(1-p_eps_k*$E61))^p_alpha</f>
        <v/>
      </c>
      <c r="N61" s="26">
        <f>p_alpha*(1-INDEX(Calib!$H$1:$H$13,$D61))*M61/(INDEX(Calib!$K$1:$K$13,$D61)+p_delta)</f>
        <v/>
      </c>
      <c r="O61" s="26">
        <f>M61+$G61</f>
        <v/>
      </c>
      <c r="P61" s="26">
        <f>0*($H61+$I61)</f>
        <v/>
      </c>
      <c r="Q61" s="26">
        <f>INDEX(Calib!$I$1:$I$13,$D61)+p_sh_grant*P61</f>
        <v/>
      </c>
      <c r="R61" s="26">
        <f>INDEX(Calib!$H$1:$H$13,$D61)*M61+p_gov_take*$G61+Q61+0*p_pricing*$J61</f>
        <v/>
      </c>
      <c r="S61" s="26">
        <f>INDEX(Calib!$Y$1:$Y$13,$D61)-INDEX(Calib!$Z$1:$Z$13,$D61)*(V60/O60-INDEX(Calib!$AA$1:$AA$13,$D61))</f>
        <v/>
      </c>
      <c r="T61" s="26">
        <f>INDEX(Calib!$X$1:$X$13,$D61)+INDEX(Calib!$G$1:$G$13,$D61)+P61+S61-R61</f>
        <v/>
      </c>
      <c r="U61" s="26">
        <f>p_rk*W60+Y60*(V60-W60)</f>
        <v/>
      </c>
      <c r="V61" s="26">
        <f>V60+U61+T61</f>
        <v/>
      </c>
      <c r="W61" s="26">
        <f>INDEX(Calib!$U$1:$U$13,$D61)+(W60-INDEX(Calib!$U$1:$U$13,$D61))*(1-p_amort)+p_sh_conc*P61</f>
        <v/>
      </c>
      <c r="X61" s="26">
        <f>V61/O61</f>
        <v/>
      </c>
      <c r="Y61" s="26">
        <f>INDEX(Calib!$K$1:$K$13,$D61)+p_eta*MAX(0,X61-INDEX(Calib!$AA$1:$AA$13,$D61))</f>
        <v/>
      </c>
      <c r="Z61" s="26">
        <f>(1-INDEX(Calib!$H$1:$H$13,$D61))*(1-p_alpha)*M61+S61</f>
        <v/>
      </c>
      <c r="AA61" s="26">
        <f>(1-p_delta_g)*AA60*(1-p_eps_g*$E61)+INDEX(Calib!$E$1:$E$13,$D61)*(INDEX(Calib!$G$1:$G$13,$D61)+p_programme*$H61)</f>
        <v/>
      </c>
      <c r="AB61" s="26">
        <f>AB60*(1-p_eps_k*$E61)+p_lambda_k*(AD61-AB60*(1-p_eps_k*$E61))</f>
        <v/>
      </c>
      <c r="AC61" s="26">
        <f>INDEX(Calib!$R$1:$R$13,$D61)*$F61*(AA60*(1-p_eps_g*$E61))^INDEX(Calib!$Q$1:$Q$13,$D61)*(AB60*(1-p_eps_k*$E61))^p_alpha</f>
        <v/>
      </c>
      <c r="AD61" s="26">
        <f>p_alpha*(1-INDEX(Calib!$H$1:$H$13,$D61))*AC61/(INDEX(Calib!$K$1:$K$13,$D61)+p_delta)</f>
        <v/>
      </c>
      <c r="AE61" s="26">
        <f>AC61+$G61</f>
        <v/>
      </c>
      <c r="AF61" s="26">
        <f>p_programme*($H61+$I61)</f>
        <v/>
      </c>
      <c r="AG61" s="26">
        <f>INDEX(Calib!$I$1:$I$13,$D61)+p_sh_grant*AF61</f>
        <v/>
      </c>
      <c r="AH61" s="26">
        <f>INDEX(Calib!$H$1:$H$13,$D61)*AC61+p_gov_take*$G61+AG61+p_programme*p_pricing*$J61</f>
        <v/>
      </c>
      <c r="AI61" s="26">
        <f>INDEX(Calib!$Y$1:$Y$13,$D61)-INDEX(Calib!$Z$1:$Z$13,$D61)*(AL60/AE60-INDEX(Calib!$AA$1:$AA$13,$D61))</f>
        <v/>
      </c>
      <c r="AJ61" s="26">
        <f>INDEX(Calib!$X$1:$X$13,$D61)+INDEX(Calib!$G$1:$G$13,$D61)+AF61+AI61-AH61</f>
        <v/>
      </c>
      <c r="AK61" s="26">
        <f>p_rk*AM60+AO60*(AL60-AM60)</f>
        <v/>
      </c>
      <c r="AL61" s="26">
        <f>AL60+AK61+AJ61</f>
        <v/>
      </c>
      <c r="AM61" s="26">
        <f>INDEX(Calib!$U$1:$U$13,$D61)+(AM60-INDEX(Calib!$U$1:$U$13,$D61))*(1-p_amort)+p_sh_conc*AF61</f>
        <v/>
      </c>
      <c r="AN61" s="26">
        <f>AL61/AE61</f>
        <v/>
      </c>
      <c r="AO61" s="26">
        <f>INDEX(Calib!$K$1:$K$13,$D61)+p_eta*MAX(0,AN61-INDEX(Calib!$AA$1:$AA$13,$D61))</f>
        <v/>
      </c>
      <c r="AP61" s="26">
        <f>(1-INDEX(Calib!$H$1:$H$13,$D61))*(1-p_alpha)*AC61+AI61</f>
        <v/>
      </c>
      <c r="AQ61" s="26">
        <f>(AE61/O61-1)*100</f>
        <v/>
      </c>
      <c r="AR61" s="26">
        <f>(AE61/AE56-1)*100</f>
        <v/>
      </c>
      <c r="AS61" s="26">
        <f>(O61/O56-1)*100</f>
        <v/>
      </c>
      <c r="AT61" s="26">
        <f>(AN61-X61)*100</f>
        <v/>
      </c>
      <c r="AU61" s="26">
        <f>(AP61/Z61-1)*100</f>
        <v/>
      </c>
      <c r="AV61" s="26">
        <f>(AI61-S61)*100</f>
        <v/>
      </c>
    </row>
    <row r="62">
      <c r="A62" s="25" t="inlineStr">
        <is>
          <t>UGA</t>
        </is>
      </c>
      <c r="B62" s="25" t="n">
        <v>2030</v>
      </c>
      <c r="C62" s="25" t="n">
        <v>6</v>
      </c>
      <c r="D62" s="25" t="n">
        <v>4</v>
      </c>
      <c r="E62" s="25">
        <f>IF(AND(p_dis_year&gt;0,B62=p_dis_year),1,0)</f>
        <v/>
      </c>
      <c r="F62" s="26">
        <f>IF(AND(p_dis_year&gt;0,B62&gt;=p_dis_year),1-p_eps_a*p_rho_a^(B62-p_dis_year),1)</f>
        <v/>
      </c>
      <c r="G62" s="26">
        <f>INDEX(Calib!$N$1:$N$13,$D62)*(1-p_rent_decline*MIN(1,C62/26))</f>
        <v/>
      </c>
      <c r="H62" s="26">
        <f>IF(C62=0,0,SUMIFS(dl_val,dl_iso,$A62,dl_ind,"pub_cap",dl_year,$B62)/100)</f>
        <v/>
      </c>
      <c r="I62" s="26">
        <f>IF(C62=0,0,SUMIFS(dl_val,dl_iso,$A62,dl_ind,"pub_spend",dl_year,$B62)/100)</f>
        <v/>
      </c>
      <c r="J62" s="26">
        <f>IF(C62=0,0,SUMIFS(dl_val,dl_iso,$A62,dl_ind,"rev",dl_year,$B62)/100)</f>
        <v/>
      </c>
      <c r="K62" s="26">
        <f>(1-p_delta_g)*K61*(1-p_eps_g*$E62)+INDEX(Calib!$E$1:$E$13,$D62)*(INDEX(Calib!$G$1:$G$13,$D62)+0*$H62)</f>
        <v/>
      </c>
      <c r="L62" s="26">
        <f>L61*(1-p_eps_k*$E62)+p_lambda_k*(N62-L61*(1-p_eps_k*$E62))</f>
        <v/>
      </c>
      <c r="M62" s="26">
        <f>INDEX(Calib!$R$1:$R$13,$D62)*$F62*(K61*(1-p_eps_g*$E62))^INDEX(Calib!$Q$1:$Q$13,$D62)*(L61*(1-p_eps_k*$E62))^p_alpha</f>
        <v/>
      </c>
      <c r="N62" s="26">
        <f>p_alpha*(1-INDEX(Calib!$H$1:$H$13,$D62))*M62/(INDEX(Calib!$K$1:$K$13,$D62)+p_delta)</f>
        <v/>
      </c>
      <c r="O62" s="26">
        <f>M62+$G62</f>
        <v/>
      </c>
      <c r="P62" s="26">
        <f>0*($H62+$I62)</f>
        <v/>
      </c>
      <c r="Q62" s="26">
        <f>INDEX(Calib!$I$1:$I$13,$D62)+p_sh_grant*P62</f>
        <v/>
      </c>
      <c r="R62" s="26">
        <f>INDEX(Calib!$H$1:$H$13,$D62)*M62+p_gov_take*$G62+Q62+0*p_pricing*$J62</f>
        <v/>
      </c>
      <c r="S62" s="26">
        <f>INDEX(Calib!$Y$1:$Y$13,$D62)-INDEX(Calib!$Z$1:$Z$13,$D62)*(V61/O61-INDEX(Calib!$AA$1:$AA$13,$D62))</f>
        <v/>
      </c>
      <c r="T62" s="26">
        <f>INDEX(Calib!$X$1:$X$13,$D62)+INDEX(Calib!$G$1:$G$13,$D62)+P62+S62-R62</f>
        <v/>
      </c>
      <c r="U62" s="26">
        <f>p_rk*W61+Y61*(V61-W61)</f>
        <v/>
      </c>
      <c r="V62" s="26">
        <f>V61+U62+T62</f>
        <v/>
      </c>
      <c r="W62" s="26">
        <f>INDEX(Calib!$U$1:$U$13,$D62)+(W61-INDEX(Calib!$U$1:$U$13,$D62))*(1-p_amort)+p_sh_conc*P62</f>
        <v/>
      </c>
      <c r="X62" s="26">
        <f>V62/O62</f>
        <v/>
      </c>
      <c r="Y62" s="26">
        <f>INDEX(Calib!$K$1:$K$13,$D62)+p_eta*MAX(0,X62-INDEX(Calib!$AA$1:$AA$13,$D62))</f>
        <v/>
      </c>
      <c r="Z62" s="26">
        <f>(1-INDEX(Calib!$H$1:$H$13,$D62))*(1-p_alpha)*M62+S62</f>
        <v/>
      </c>
      <c r="AA62" s="26">
        <f>(1-p_delta_g)*AA61*(1-p_eps_g*$E62)+INDEX(Calib!$E$1:$E$13,$D62)*(INDEX(Calib!$G$1:$G$13,$D62)+p_programme*$H62)</f>
        <v/>
      </c>
      <c r="AB62" s="26">
        <f>AB61*(1-p_eps_k*$E62)+p_lambda_k*(AD62-AB61*(1-p_eps_k*$E62))</f>
        <v/>
      </c>
      <c r="AC62" s="26">
        <f>INDEX(Calib!$R$1:$R$13,$D62)*$F62*(AA61*(1-p_eps_g*$E62))^INDEX(Calib!$Q$1:$Q$13,$D62)*(AB61*(1-p_eps_k*$E62))^p_alpha</f>
        <v/>
      </c>
      <c r="AD62" s="26">
        <f>p_alpha*(1-INDEX(Calib!$H$1:$H$13,$D62))*AC62/(INDEX(Calib!$K$1:$K$13,$D62)+p_delta)</f>
        <v/>
      </c>
      <c r="AE62" s="26">
        <f>AC62+$G62</f>
        <v/>
      </c>
      <c r="AF62" s="26">
        <f>p_programme*($H62+$I62)</f>
        <v/>
      </c>
      <c r="AG62" s="26">
        <f>INDEX(Calib!$I$1:$I$13,$D62)+p_sh_grant*AF62</f>
        <v/>
      </c>
      <c r="AH62" s="26">
        <f>INDEX(Calib!$H$1:$H$13,$D62)*AC62+p_gov_take*$G62+AG62+p_programme*p_pricing*$J62</f>
        <v/>
      </c>
      <c r="AI62" s="26">
        <f>INDEX(Calib!$Y$1:$Y$13,$D62)-INDEX(Calib!$Z$1:$Z$13,$D62)*(AL61/AE61-INDEX(Calib!$AA$1:$AA$13,$D62))</f>
        <v/>
      </c>
      <c r="AJ62" s="26">
        <f>INDEX(Calib!$X$1:$X$13,$D62)+INDEX(Calib!$G$1:$G$13,$D62)+AF62+AI62-AH62</f>
        <v/>
      </c>
      <c r="AK62" s="26">
        <f>p_rk*AM61+AO61*(AL61-AM61)</f>
        <v/>
      </c>
      <c r="AL62" s="26">
        <f>AL61+AK62+AJ62</f>
        <v/>
      </c>
      <c r="AM62" s="26">
        <f>INDEX(Calib!$U$1:$U$13,$D62)+(AM61-INDEX(Calib!$U$1:$U$13,$D62))*(1-p_amort)+p_sh_conc*AF62</f>
        <v/>
      </c>
      <c r="AN62" s="26">
        <f>AL62/AE62</f>
        <v/>
      </c>
      <c r="AO62" s="26">
        <f>INDEX(Calib!$K$1:$K$13,$D62)+p_eta*MAX(0,AN62-INDEX(Calib!$AA$1:$AA$13,$D62))</f>
        <v/>
      </c>
      <c r="AP62" s="26">
        <f>(1-INDEX(Calib!$H$1:$H$13,$D62))*(1-p_alpha)*AC62+AI62</f>
        <v/>
      </c>
      <c r="AQ62" s="26">
        <f>(AE62/O62-1)*100</f>
        <v/>
      </c>
      <c r="AR62" s="26">
        <f>(AE62/AE56-1)*100</f>
        <v/>
      </c>
      <c r="AS62" s="26">
        <f>(O62/O56-1)*100</f>
        <v/>
      </c>
      <c r="AT62" s="26">
        <f>(AN62-X62)*100</f>
        <v/>
      </c>
      <c r="AU62" s="26">
        <f>(AP62/Z62-1)*100</f>
        <v/>
      </c>
      <c r="AV62" s="26">
        <f>(AI62-S62)*100</f>
        <v/>
      </c>
    </row>
    <row r="63">
      <c r="A63" s="25" t="inlineStr">
        <is>
          <t>UGA</t>
        </is>
      </c>
      <c r="B63" s="25" t="n">
        <v>2031</v>
      </c>
      <c r="C63" s="25" t="n">
        <v>7</v>
      </c>
      <c r="D63" s="25" t="n">
        <v>4</v>
      </c>
      <c r="E63" s="25">
        <f>IF(AND(p_dis_year&gt;0,B63=p_dis_year),1,0)</f>
        <v/>
      </c>
      <c r="F63" s="26">
        <f>IF(AND(p_dis_year&gt;0,B63&gt;=p_dis_year),1-p_eps_a*p_rho_a^(B63-p_dis_year),1)</f>
        <v/>
      </c>
      <c r="G63" s="26">
        <f>INDEX(Calib!$N$1:$N$13,$D63)*(1-p_rent_decline*MIN(1,C63/26))</f>
        <v/>
      </c>
      <c r="H63" s="26">
        <f>IF(C63=0,0,SUMIFS(dl_val,dl_iso,$A63,dl_ind,"pub_cap",dl_year,$B63)/100)</f>
        <v/>
      </c>
      <c r="I63" s="26">
        <f>IF(C63=0,0,SUMIFS(dl_val,dl_iso,$A63,dl_ind,"pub_spend",dl_year,$B63)/100)</f>
        <v/>
      </c>
      <c r="J63" s="26">
        <f>IF(C63=0,0,SUMIFS(dl_val,dl_iso,$A63,dl_ind,"rev",dl_year,$B63)/100)</f>
        <v/>
      </c>
      <c r="K63" s="26">
        <f>(1-p_delta_g)*K62*(1-p_eps_g*$E63)+INDEX(Calib!$E$1:$E$13,$D63)*(INDEX(Calib!$G$1:$G$13,$D63)+0*$H63)</f>
        <v/>
      </c>
      <c r="L63" s="26">
        <f>L62*(1-p_eps_k*$E63)+p_lambda_k*(N63-L62*(1-p_eps_k*$E63))</f>
        <v/>
      </c>
      <c r="M63" s="26">
        <f>INDEX(Calib!$R$1:$R$13,$D63)*$F63*(K62*(1-p_eps_g*$E63))^INDEX(Calib!$Q$1:$Q$13,$D63)*(L62*(1-p_eps_k*$E63))^p_alpha</f>
        <v/>
      </c>
      <c r="N63" s="26">
        <f>p_alpha*(1-INDEX(Calib!$H$1:$H$13,$D63))*M63/(INDEX(Calib!$K$1:$K$13,$D63)+p_delta)</f>
        <v/>
      </c>
      <c r="O63" s="26">
        <f>M63+$G63</f>
        <v/>
      </c>
      <c r="P63" s="26">
        <f>0*($H63+$I63)</f>
        <v/>
      </c>
      <c r="Q63" s="26">
        <f>INDEX(Calib!$I$1:$I$13,$D63)+p_sh_grant*P63</f>
        <v/>
      </c>
      <c r="R63" s="26">
        <f>INDEX(Calib!$H$1:$H$13,$D63)*M63+p_gov_take*$G63+Q63+0*p_pricing*$J63</f>
        <v/>
      </c>
      <c r="S63" s="26">
        <f>INDEX(Calib!$Y$1:$Y$13,$D63)-INDEX(Calib!$Z$1:$Z$13,$D63)*(V62/O62-INDEX(Calib!$AA$1:$AA$13,$D63))</f>
        <v/>
      </c>
      <c r="T63" s="26">
        <f>INDEX(Calib!$X$1:$X$13,$D63)+INDEX(Calib!$G$1:$G$13,$D63)+P63+S63-R63</f>
        <v/>
      </c>
      <c r="U63" s="26">
        <f>p_rk*W62+Y62*(V62-W62)</f>
        <v/>
      </c>
      <c r="V63" s="26">
        <f>V62+U63+T63</f>
        <v/>
      </c>
      <c r="W63" s="26">
        <f>INDEX(Calib!$U$1:$U$13,$D63)+(W62-INDEX(Calib!$U$1:$U$13,$D63))*(1-p_amort)+p_sh_conc*P63</f>
        <v/>
      </c>
      <c r="X63" s="26">
        <f>V63/O63</f>
        <v/>
      </c>
      <c r="Y63" s="26">
        <f>INDEX(Calib!$K$1:$K$13,$D63)+p_eta*MAX(0,X63-INDEX(Calib!$AA$1:$AA$13,$D63))</f>
        <v/>
      </c>
      <c r="Z63" s="26">
        <f>(1-INDEX(Calib!$H$1:$H$13,$D63))*(1-p_alpha)*M63+S63</f>
        <v/>
      </c>
      <c r="AA63" s="26">
        <f>(1-p_delta_g)*AA62*(1-p_eps_g*$E63)+INDEX(Calib!$E$1:$E$13,$D63)*(INDEX(Calib!$G$1:$G$13,$D63)+p_programme*$H63)</f>
        <v/>
      </c>
      <c r="AB63" s="26">
        <f>AB62*(1-p_eps_k*$E63)+p_lambda_k*(AD63-AB62*(1-p_eps_k*$E63))</f>
        <v/>
      </c>
      <c r="AC63" s="26">
        <f>INDEX(Calib!$R$1:$R$13,$D63)*$F63*(AA62*(1-p_eps_g*$E63))^INDEX(Calib!$Q$1:$Q$13,$D63)*(AB62*(1-p_eps_k*$E63))^p_alpha</f>
        <v/>
      </c>
      <c r="AD63" s="26">
        <f>p_alpha*(1-INDEX(Calib!$H$1:$H$13,$D63))*AC63/(INDEX(Calib!$K$1:$K$13,$D63)+p_delta)</f>
        <v/>
      </c>
      <c r="AE63" s="26">
        <f>AC63+$G63</f>
        <v/>
      </c>
      <c r="AF63" s="26">
        <f>p_programme*($H63+$I63)</f>
        <v/>
      </c>
      <c r="AG63" s="26">
        <f>INDEX(Calib!$I$1:$I$13,$D63)+p_sh_grant*AF63</f>
        <v/>
      </c>
      <c r="AH63" s="26">
        <f>INDEX(Calib!$H$1:$H$13,$D63)*AC63+p_gov_take*$G63+AG63+p_programme*p_pricing*$J63</f>
        <v/>
      </c>
      <c r="AI63" s="26">
        <f>INDEX(Calib!$Y$1:$Y$13,$D63)-INDEX(Calib!$Z$1:$Z$13,$D63)*(AL62/AE62-INDEX(Calib!$AA$1:$AA$13,$D63))</f>
        <v/>
      </c>
      <c r="AJ63" s="26">
        <f>INDEX(Calib!$X$1:$X$13,$D63)+INDEX(Calib!$G$1:$G$13,$D63)+AF63+AI63-AH63</f>
        <v/>
      </c>
      <c r="AK63" s="26">
        <f>p_rk*AM62+AO62*(AL62-AM62)</f>
        <v/>
      </c>
      <c r="AL63" s="26">
        <f>AL62+AK63+AJ63</f>
        <v/>
      </c>
      <c r="AM63" s="26">
        <f>INDEX(Calib!$U$1:$U$13,$D63)+(AM62-INDEX(Calib!$U$1:$U$13,$D63))*(1-p_amort)+p_sh_conc*AF63</f>
        <v/>
      </c>
      <c r="AN63" s="26">
        <f>AL63/AE63</f>
        <v/>
      </c>
      <c r="AO63" s="26">
        <f>INDEX(Calib!$K$1:$K$13,$D63)+p_eta*MAX(0,AN63-INDEX(Calib!$AA$1:$AA$13,$D63))</f>
        <v/>
      </c>
      <c r="AP63" s="26">
        <f>(1-INDEX(Calib!$H$1:$H$13,$D63))*(1-p_alpha)*AC63+AI63</f>
        <v/>
      </c>
      <c r="AQ63" s="26">
        <f>(AE63/O63-1)*100</f>
        <v/>
      </c>
      <c r="AR63" s="26">
        <f>(AE63/AE56-1)*100</f>
        <v/>
      </c>
      <c r="AS63" s="26">
        <f>(O63/O56-1)*100</f>
        <v/>
      </c>
      <c r="AT63" s="26">
        <f>(AN63-X63)*100</f>
        <v/>
      </c>
      <c r="AU63" s="26">
        <f>(AP63/Z63-1)*100</f>
        <v/>
      </c>
      <c r="AV63" s="26">
        <f>(AI63-S63)*100</f>
        <v/>
      </c>
    </row>
    <row r="64">
      <c r="A64" s="25" t="inlineStr">
        <is>
          <t>UGA</t>
        </is>
      </c>
      <c r="B64" s="25" t="n">
        <v>2032</v>
      </c>
      <c r="C64" s="25" t="n">
        <v>8</v>
      </c>
      <c r="D64" s="25" t="n">
        <v>4</v>
      </c>
      <c r="E64" s="25">
        <f>IF(AND(p_dis_year&gt;0,B64=p_dis_year),1,0)</f>
        <v/>
      </c>
      <c r="F64" s="26">
        <f>IF(AND(p_dis_year&gt;0,B64&gt;=p_dis_year),1-p_eps_a*p_rho_a^(B64-p_dis_year),1)</f>
        <v/>
      </c>
      <c r="G64" s="26">
        <f>INDEX(Calib!$N$1:$N$13,$D64)*(1-p_rent_decline*MIN(1,C64/26))</f>
        <v/>
      </c>
      <c r="H64" s="26">
        <f>IF(C64=0,0,SUMIFS(dl_val,dl_iso,$A64,dl_ind,"pub_cap",dl_year,$B64)/100)</f>
        <v/>
      </c>
      <c r="I64" s="26">
        <f>IF(C64=0,0,SUMIFS(dl_val,dl_iso,$A64,dl_ind,"pub_spend",dl_year,$B64)/100)</f>
        <v/>
      </c>
      <c r="J64" s="26">
        <f>IF(C64=0,0,SUMIFS(dl_val,dl_iso,$A64,dl_ind,"rev",dl_year,$B64)/100)</f>
        <v/>
      </c>
      <c r="K64" s="26">
        <f>(1-p_delta_g)*K63*(1-p_eps_g*$E64)+INDEX(Calib!$E$1:$E$13,$D64)*(INDEX(Calib!$G$1:$G$13,$D64)+0*$H64)</f>
        <v/>
      </c>
      <c r="L64" s="26">
        <f>L63*(1-p_eps_k*$E64)+p_lambda_k*(N64-L63*(1-p_eps_k*$E64))</f>
        <v/>
      </c>
      <c r="M64" s="26">
        <f>INDEX(Calib!$R$1:$R$13,$D64)*$F64*(K63*(1-p_eps_g*$E64))^INDEX(Calib!$Q$1:$Q$13,$D64)*(L63*(1-p_eps_k*$E64))^p_alpha</f>
        <v/>
      </c>
      <c r="N64" s="26">
        <f>p_alpha*(1-INDEX(Calib!$H$1:$H$13,$D64))*M64/(INDEX(Calib!$K$1:$K$13,$D64)+p_delta)</f>
        <v/>
      </c>
      <c r="O64" s="26">
        <f>M64+$G64</f>
        <v/>
      </c>
      <c r="P64" s="26">
        <f>0*($H64+$I64)</f>
        <v/>
      </c>
      <c r="Q64" s="26">
        <f>INDEX(Calib!$I$1:$I$13,$D64)+p_sh_grant*P64</f>
        <v/>
      </c>
      <c r="R64" s="26">
        <f>INDEX(Calib!$H$1:$H$13,$D64)*M64+p_gov_take*$G64+Q64+0*p_pricing*$J64</f>
        <v/>
      </c>
      <c r="S64" s="26">
        <f>INDEX(Calib!$Y$1:$Y$13,$D64)-INDEX(Calib!$Z$1:$Z$13,$D64)*(V63/O63-INDEX(Calib!$AA$1:$AA$13,$D64))</f>
        <v/>
      </c>
      <c r="T64" s="26">
        <f>INDEX(Calib!$X$1:$X$13,$D64)+INDEX(Calib!$G$1:$G$13,$D64)+P64+S64-R64</f>
        <v/>
      </c>
      <c r="U64" s="26">
        <f>p_rk*W63+Y63*(V63-W63)</f>
        <v/>
      </c>
      <c r="V64" s="26">
        <f>V63+U64+T64</f>
        <v/>
      </c>
      <c r="W64" s="26">
        <f>INDEX(Calib!$U$1:$U$13,$D64)+(W63-INDEX(Calib!$U$1:$U$13,$D64))*(1-p_amort)+p_sh_conc*P64</f>
        <v/>
      </c>
      <c r="X64" s="26">
        <f>V64/O64</f>
        <v/>
      </c>
      <c r="Y64" s="26">
        <f>INDEX(Calib!$K$1:$K$13,$D64)+p_eta*MAX(0,X64-INDEX(Calib!$AA$1:$AA$13,$D64))</f>
        <v/>
      </c>
      <c r="Z64" s="26">
        <f>(1-INDEX(Calib!$H$1:$H$13,$D64))*(1-p_alpha)*M64+S64</f>
        <v/>
      </c>
      <c r="AA64" s="26">
        <f>(1-p_delta_g)*AA63*(1-p_eps_g*$E64)+INDEX(Calib!$E$1:$E$13,$D64)*(INDEX(Calib!$G$1:$G$13,$D64)+p_programme*$H64)</f>
        <v/>
      </c>
      <c r="AB64" s="26">
        <f>AB63*(1-p_eps_k*$E64)+p_lambda_k*(AD64-AB63*(1-p_eps_k*$E64))</f>
        <v/>
      </c>
      <c r="AC64" s="26">
        <f>INDEX(Calib!$R$1:$R$13,$D64)*$F64*(AA63*(1-p_eps_g*$E64))^INDEX(Calib!$Q$1:$Q$13,$D64)*(AB63*(1-p_eps_k*$E64))^p_alpha</f>
        <v/>
      </c>
      <c r="AD64" s="26">
        <f>p_alpha*(1-INDEX(Calib!$H$1:$H$13,$D64))*AC64/(INDEX(Calib!$K$1:$K$13,$D64)+p_delta)</f>
        <v/>
      </c>
      <c r="AE64" s="26">
        <f>AC64+$G64</f>
        <v/>
      </c>
      <c r="AF64" s="26">
        <f>p_programme*($H64+$I64)</f>
        <v/>
      </c>
      <c r="AG64" s="26">
        <f>INDEX(Calib!$I$1:$I$13,$D64)+p_sh_grant*AF64</f>
        <v/>
      </c>
      <c r="AH64" s="26">
        <f>INDEX(Calib!$H$1:$H$13,$D64)*AC64+p_gov_take*$G64+AG64+p_programme*p_pricing*$J64</f>
        <v/>
      </c>
      <c r="AI64" s="26">
        <f>INDEX(Calib!$Y$1:$Y$13,$D64)-INDEX(Calib!$Z$1:$Z$13,$D64)*(AL63/AE63-INDEX(Calib!$AA$1:$AA$13,$D64))</f>
        <v/>
      </c>
      <c r="AJ64" s="26">
        <f>INDEX(Calib!$X$1:$X$13,$D64)+INDEX(Calib!$G$1:$G$13,$D64)+AF64+AI64-AH64</f>
        <v/>
      </c>
      <c r="AK64" s="26">
        <f>p_rk*AM63+AO63*(AL63-AM63)</f>
        <v/>
      </c>
      <c r="AL64" s="26">
        <f>AL63+AK64+AJ64</f>
        <v/>
      </c>
      <c r="AM64" s="26">
        <f>INDEX(Calib!$U$1:$U$13,$D64)+(AM63-INDEX(Calib!$U$1:$U$13,$D64))*(1-p_amort)+p_sh_conc*AF64</f>
        <v/>
      </c>
      <c r="AN64" s="26">
        <f>AL64/AE64</f>
        <v/>
      </c>
      <c r="AO64" s="26">
        <f>INDEX(Calib!$K$1:$K$13,$D64)+p_eta*MAX(0,AN64-INDEX(Calib!$AA$1:$AA$13,$D64))</f>
        <v/>
      </c>
      <c r="AP64" s="26">
        <f>(1-INDEX(Calib!$H$1:$H$13,$D64))*(1-p_alpha)*AC64+AI64</f>
        <v/>
      </c>
      <c r="AQ64" s="26">
        <f>(AE64/O64-1)*100</f>
        <v/>
      </c>
      <c r="AR64" s="26">
        <f>(AE64/AE56-1)*100</f>
        <v/>
      </c>
      <c r="AS64" s="26">
        <f>(O64/O56-1)*100</f>
        <v/>
      </c>
      <c r="AT64" s="26">
        <f>(AN64-X64)*100</f>
        <v/>
      </c>
      <c r="AU64" s="26">
        <f>(AP64/Z64-1)*100</f>
        <v/>
      </c>
      <c r="AV64" s="26">
        <f>(AI64-S64)*100</f>
        <v/>
      </c>
    </row>
    <row r="65">
      <c r="A65" s="25" t="inlineStr">
        <is>
          <t>UGA</t>
        </is>
      </c>
      <c r="B65" s="25" t="n">
        <v>2033</v>
      </c>
      <c r="C65" s="25" t="n">
        <v>9</v>
      </c>
      <c r="D65" s="25" t="n">
        <v>4</v>
      </c>
      <c r="E65" s="25">
        <f>IF(AND(p_dis_year&gt;0,B65=p_dis_year),1,0)</f>
        <v/>
      </c>
      <c r="F65" s="26">
        <f>IF(AND(p_dis_year&gt;0,B65&gt;=p_dis_year),1-p_eps_a*p_rho_a^(B65-p_dis_year),1)</f>
        <v/>
      </c>
      <c r="G65" s="26">
        <f>INDEX(Calib!$N$1:$N$13,$D65)*(1-p_rent_decline*MIN(1,C65/26))</f>
        <v/>
      </c>
      <c r="H65" s="26">
        <f>IF(C65=0,0,SUMIFS(dl_val,dl_iso,$A65,dl_ind,"pub_cap",dl_year,$B65)/100)</f>
        <v/>
      </c>
      <c r="I65" s="26">
        <f>IF(C65=0,0,SUMIFS(dl_val,dl_iso,$A65,dl_ind,"pub_spend",dl_year,$B65)/100)</f>
        <v/>
      </c>
      <c r="J65" s="26">
        <f>IF(C65=0,0,SUMIFS(dl_val,dl_iso,$A65,dl_ind,"rev",dl_year,$B65)/100)</f>
        <v/>
      </c>
      <c r="K65" s="26">
        <f>(1-p_delta_g)*K64*(1-p_eps_g*$E65)+INDEX(Calib!$E$1:$E$13,$D65)*(INDEX(Calib!$G$1:$G$13,$D65)+0*$H65)</f>
        <v/>
      </c>
      <c r="L65" s="26">
        <f>L64*(1-p_eps_k*$E65)+p_lambda_k*(N65-L64*(1-p_eps_k*$E65))</f>
        <v/>
      </c>
      <c r="M65" s="26">
        <f>INDEX(Calib!$R$1:$R$13,$D65)*$F65*(K64*(1-p_eps_g*$E65))^INDEX(Calib!$Q$1:$Q$13,$D65)*(L64*(1-p_eps_k*$E65))^p_alpha</f>
        <v/>
      </c>
      <c r="N65" s="26">
        <f>p_alpha*(1-INDEX(Calib!$H$1:$H$13,$D65))*M65/(INDEX(Calib!$K$1:$K$13,$D65)+p_delta)</f>
        <v/>
      </c>
      <c r="O65" s="26">
        <f>M65+$G65</f>
        <v/>
      </c>
      <c r="P65" s="26">
        <f>0*($H65+$I65)</f>
        <v/>
      </c>
      <c r="Q65" s="26">
        <f>INDEX(Calib!$I$1:$I$13,$D65)+p_sh_grant*P65</f>
        <v/>
      </c>
      <c r="R65" s="26">
        <f>INDEX(Calib!$H$1:$H$13,$D65)*M65+p_gov_take*$G65+Q65+0*p_pricing*$J65</f>
        <v/>
      </c>
      <c r="S65" s="26">
        <f>INDEX(Calib!$Y$1:$Y$13,$D65)-INDEX(Calib!$Z$1:$Z$13,$D65)*(V64/O64-INDEX(Calib!$AA$1:$AA$13,$D65))</f>
        <v/>
      </c>
      <c r="T65" s="26">
        <f>INDEX(Calib!$X$1:$X$13,$D65)+INDEX(Calib!$G$1:$G$13,$D65)+P65+S65-R65</f>
        <v/>
      </c>
      <c r="U65" s="26">
        <f>p_rk*W64+Y64*(V64-W64)</f>
        <v/>
      </c>
      <c r="V65" s="26">
        <f>V64+U65+T65</f>
        <v/>
      </c>
      <c r="W65" s="26">
        <f>INDEX(Calib!$U$1:$U$13,$D65)+(W64-INDEX(Calib!$U$1:$U$13,$D65))*(1-p_amort)+p_sh_conc*P65</f>
        <v/>
      </c>
      <c r="X65" s="26">
        <f>V65/O65</f>
        <v/>
      </c>
      <c r="Y65" s="26">
        <f>INDEX(Calib!$K$1:$K$13,$D65)+p_eta*MAX(0,X65-INDEX(Calib!$AA$1:$AA$13,$D65))</f>
        <v/>
      </c>
      <c r="Z65" s="26">
        <f>(1-INDEX(Calib!$H$1:$H$13,$D65))*(1-p_alpha)*M65+S65</f>
        <v/>
      </c>
      <c r="AA65" s="26">
        <f>(1-p_delta_g)*AA64*(1-p_eps_g*$E65)+INDEX(Calib!$E$1:$E$13,$D65)*(INDEX(Calib!$G$1:$G$13,$D65)+p_programme*$H65)</f>
        <v/>
      </c>
      <c r="AB65" s="26">
        <f>AB64*(1-p_eps_k*$E65)+p_lambda_k*(AD65-AB64*(1-p_eps_k*$E65))</f>
        <v/>
      </c>
      <c r="AC65" s="26">
        <f>INDEX(Calib!$R$1:$R$13,$D65)*$F65*(AA64*(1-p_eps_g*$E65))^INDEX(Calib!$Q$1:$Q$13,$D65)*(AB64*(1-p_eps_k*$E65))^p_alpha</f>
        <v/>
      </c>
      <c r="AD65" s="26">
        <f>p_alpha*(1-INDEX(Calib!$H$1:$H$13,$D65))*AC65/(INDEX(Calib!$K$1:$K$13,$D65)+p_delta)</f>
        <v/>
      </c>
      <c r="AE65" s="26">
        <f>AC65+$G65</f>
        <v/>
      </c>
      <c r="AF65" s="26">
        <f>p_programme*($H65+$I65)</f>
        <v/>
      </c>
      <c r="AG65" s="26">
        <f>INDEX(Calib!$I$1:$I$13,$D65)+p_sh_grant*AF65</f>
        <v/>
      </c>
      <c r="AH65" s="26">
        <f>INDEX(Calib!$H$1:$H$13,$D65)*AC65+p_gov_take*$G65+AG65+p_programme*p_pricing*$J65</f>
        <v/>
      </c>
      <c r="AI65" s="26">
        <f>INDEX(Calib!$Y$1:$Y$13,$D65)-INDEX(Calib!$Z$1:$Z$13,$D65)*(AL64/AE64-INDEX(Calib!$AA$1:$AA$13,$D65))</f>
        <v/>
      </c>
      <c r="AJ65" s="26">
        <f>INDEX(Calib!$X$1:$X$13,$D65)+INDEX(Calib!$G$1:$G$13,$D65)+AF65+AI65-AH65</f>
        <v/>
      </c>
      <c r="AK65" s="26">
        <f>p_rk*AM64+AO64*(AL64-AM64)</f>
        <v/>
      </c>
      <c r="AL65" s="26">
        <f>AL64+AK65+AJ65</f>
        <v/>
      </c>
      <c r="AM65" s="26">
        <f>INDEX(Calib!$U$1:$U$13,$D65)+(AM64-INDEX(Calib!$U$1:$U$13,$D65))*(1-p_amort)+p_sh_conc*AF65</f>
        <v/>
      </c>
      <c r="AN65" s="26">
        <f>AL65/AE65</f>
        <v/>
      </c>
      <c r="AO65" s="26">
        <f>INDEX(Calib!$K$1:$K$13,$D65)+p_eta*MAX(0,AN65-INDEX(Calib!$AA$1:$AA$13,$D65))</f>
        <v/>
      </c>
      <c r="AP65" s="26">
        <f>(1-INDEX(Calib!$H$1:$H$13,$D65))*(1-p_alpha)*AC65+AI65</f>
        <v/>
      </c>
      <c r="AQ65" s="26">
        <f>(AE65/O65-1)*100</f>
        <v/>
      </c>
      <c r="AR65" s="26">
        <f>(AE65/AE56-1)*100</f>
        <v/>
      </c>
      <c r="AS65" s="26">
        <f>(O65/O56-1)*100</f>
        <v/>
      </c>
      <c r="AT65" s="26">
        <f>(AN65-X65)*100</f>
        <v/>
      </c>
      <c r="AU65" s="26">
        <f>(AP65/Z65-1)*100</f>
        <v/>
      </c>
      <c r="AV65" s="26">
        <f>(AI65-S65)*100</f>
        <v/>
      </c>
    </row>
    <row r="66">
      <c r="A66" s="25" t="inlineStr">
        <is>
          <t>UGA</t>
        </is>
      </c>
      <c r="B66" s="25" t="n">
        <v>2034</v>
      </c>
      <c r="C66" s="25" t="n">
        <v>10</v>
      </c>
      <c r="D66" s="25" t="n">
        <v>4</v>
      </c>
      <c r="E66" s="25">
        <f>IF(AND(p_dis_year&gt;0,B66=p_dis_year),1,0)</f>
        <v/>
      </c>
      <c r="F66" s="26">
        <f>IF(AND(p_dis_year&gt;0,B66&gt;=p_dis_year),1-p_eps_a*p_rho_a^(B66-p_dis_year),1)</f>
        <v/>
      </c>
      <c r="G66" s="26">
        <f>INDEX(Calib!$N$1:$N$13,$D66)*(1-p_rent_decline*MIN(1,C66/26))</f>
        <v/>
      </c>
      <c r="H66" s="26">
        <f>IF(C66=0,0,SUMIFS(dl_val,dl_iso,$A66,dl_ind,"pub_cap",dl_year,$B66)/100)</f>
        <v/>
      </c>
      <c r="I66" s="26">
        <f>IF(C66=0,0,SUMIFS(dl_val,dl_iso,$A66,dl_ind,"pub_spend",dl_year,$B66)/100)</f>
        <v/>
      </c>
      <c r="J66" s="26">
        <f>IF(C66=0,0,SUMIFS(dl_val,dl_iso,$A66,dl_ind,"rev",dl_year,$B66)/100)</f>
        <v/>
      </c>
      <c r="K66" s="26">
        <f>(1-p_delta_g)*K65*(1-p_eps_g*$E66)+INDEX(Calib!$E$1:$E$13,$D66)*(INDEX(Calib!$G$1:$G$13,$D66)+0*$H66)</f>
        <v/>
      </c>
      <c r="L66" s="26">
        <f>L65*(1-p_eps_k*$E66)+p_lambda_k*(N66-L65*(1-p_eps_k*$E66))</f>
        <v/>
      </c>
      <c r="M66" s="26">
        <f>INDEX(Calib!$R$1:$R$13,$D66)*$F66*(K65*(1-p_eps_g*$E66))^INDEX(Calib!$Q$1:$Q$13,$D66)*(L65*(1-p_eps_k*$E66))^p_alpha</f>
        <v/>
      </c>
      <c r="N66" s="26">
        <f>p_alpha*(1-INDEX(Calib!$H$1:$H$13,$D66))*M66/(INDEX(Calib!$K$1:$K$13,$D66)+p_delta)</f>
        <v/>
      </c>
      <c r="O66" s="26">
        <f>M66+$G66</f>
        <v/>
      </c>
      <c r="P66" s="26">
        <f>0*($H66+$I66)</f>
        <v/>
      </c>
      <c r="Q66" s="26">
        <f>INDEX(Calib!$I$1:$I$13,$D66)+p_sh_grant*P66</f>
        <v/>
      </c>
      <c r="R66" s="26">
        <f>INDEX(Calib!$H$1:$H$13,$D66)*M66+p_gov_take*$G66+Q66+0*p_pricing*$J66</f>
        <v/>
      </c>
      <c r="S66" s="26">
        <f>INDEX(Calib!$Y$1:$Y$13,$D66)-INDEX(Calib!$Z$1:$Z$13,$D66)*(V65/O65-INDEX(Calib!$AA$1:$AA$13,$D66))</f>
        <v/>
      </c>
      <c r="T66" s="26">
        <f>INDEX(Calib!$X$1:$X$13,$D66)+INDEX(Calib!$G$1:$G$13,$D66)+P66+S66-R66</f>
        <v/>
      </c>
      <c r="U66" s="26">
        <f>p_rk*W65+Y65*(V65-W65)</f>
        <v/>
      </c>
      <c r="V66" s="26">
        <f>V65+U66+T66</f>
        <v/>
      </c>
      <c r="W66" s="26">
        <f>INDEX(Calib!$U$1:$U$13,$D66)+(W65-INDEX(Calib!$U$1:$U$13,$D66))*(1-p_amort)+p_sh_conc*P66</f>
        <v/>
      </c>
      <c r="X66" s="26">
        <f>V66/O66</f>
        <v/>
      </c>
      <c r="Y66" s="26">
        <f>INDEX(Calib!$K$1:$K$13,$D66)+p_eta*MAX(0,X66-INDEX(Calib!$AA$1:$AA$13,$D66))</f>
        <v/>
      </c>
      <c r="Z66" s="26">
        <f>(1-INDEX(Calib!$H$1:$H$13,$D66))*(1-p_alpha)*M66+S66</f>
        <v/>
      </c>
      <c r="AA66" s="26">
        <f>(1-p_delta_g)*AA65*(1-p_eps_g*$E66)+INDEX(Calib!$E$1:$E$13,$D66)*(INDEX(Calib!$G$1:$G$13,$D66)+p_programme*$H66)</f>
        <v/>
      </c>
      <c r="AB66" s="26">
        <f>AB65*(1-p_eps_k*$E66)+p_lambda_k*(AD66-AB65*(1-p_eps_k*$E66))</f>
        <v/>
      </c>
      <c r="AC66" s="26">
        <f>INDEX(Calib!$R$1:$R$13,$D66)*$F66*(AA65*(1-p_eps_g*$E66))^INDEX(Calib!$Q$1:$Q$13,$D66)*(AB65*(1-p_eps_k*$E66))^p_alpha</f>
        <v/>
      </c>
      <c r="AD66" s="26">
        <f>p_alpha*(1-INDEX(Calib!$H$1:$H$13,$D66))*AC66/(INDEX(Calib!$K$1:$K$13,$D66)+p_delta)</f>
        <v/>
      </c>
      <c r="AE66" s="26">
        <f>AC66+$G66</f>
        <v/>
      </c>
      <c r="AF66" s="26">
        <f>p_programme*($H66+$I66)</f>
        <v/>
      </c>
      <c r="AG66" s="26">
        <f>INDEX(Calib!$I$1:$I$13,$D66)+p_sh_grant*AF66</f>
        <v/>
      </c>
      <c r="AH66" s="26">
        <f>INDEX(Calib!$H$1:$H$13,$D66)*AC66+p_gov_take*$G66+AG66+p_programme*p_pricing*$J66</f>
        <v/>
      </c>
      <c r="AI66" s="26">
        <f>INDEX(Calib!$Y$1:$Y$13,$D66)-INDEX(Calib!$Z$1:$Z$13,$D66)*(AL65/AE65-INDEX(Calib!$AA$1:$AA$13,$D66))</f>
        <v/>
      </c>
      <c r="AJ66" s="26">
        <f>INDEX(Calib!$X$1:$X$13,$D66)+INDEX(Calib!$G$1:$G$13,$D66)+AF66+AI66-AH66</f>
        <v/>
      </c>
      <c r="AK66" s="26">
        <f>p_rk*AM65+AO65*(AL65-AM65)</f>
        <v/>
      </c>
      <c r="AL66" s="26">
        <f>AL65+AK66+AJ66</f>
        <v/>
      </c>
      <c r="AM66" s="26">
        <f>INDEX(Calib!$U$1:$U$13,$D66)+(AM65-INDEX(Calib!$U$1:$U$13,$D66))*(1-p_amort)+p_sh_conc*AF66</f>
        <v/>
      </c>
      <c r="AN66" s="26">
        <f>AL66/AE66</f>
        <v/>
      </c>
      <c r="AO66" s="26">
        <f>INDEX(Calib!$K$1:$K$13,$D66)+p_eta*MAX(0,AN66-INDEX(Calib!$AA$1:$AA$13,$D66))</f>
        <v/>
      </c>
      <c r="AP66" s="26">
        <f>(1-INDEX(Calib!$H$1:$H$13,$D66))*(1-p_alpha)*AC66+AI66</f>
        <v/>
      </c>
      <c r="AQ66" s="26">
        <f>(AE66/O66-1)*100</f>
        <v/>
      </c>
      <c r="AR66" s="26">
        <f>(AE66/AE56-1)*100</f>
        <v/>
      </c>
      <c r="AS66" s="26">
        <f>(O66/O56-1)*100</f>
        <v/>
      </c>
      <c r="AT66" s="26">
        <f>(AN66-X66)*100</f>
        <v/>
      </c>
      <c r="AU66" s="26">
        <f>(AP66/Z66-1)*100</f>
        <v/>
      </c>
      <c r="AV66" s="26">
        <f>(AI66-S66)*100</f>
        <v/>
      </c>
    </row>
    <row r="67">
      <c r="A67" s="25" t="inlineStr">
        <is>
          <t>UGA</t>
        </is>
      </c>
      <c r="B67" s="25" t="n">
        <v>2035</v>
      </c>
      <c r="C67" s="25" t="n">
        <v>11</v>
      </c>
      <c r="D67" s="25" t="n">
        <v>4</v>
      </c>
      <c r="E67" s="25">
        <f>IF(AND(p_dis_year&gt;0,B67=p_dis_year),1,0)</f>
        <v/>
      </c>
      <c r="F67" s="26">
        <f>IF(AND(p_dis_year&gt;0,B67&gt;=p_dis_year),1-p_eps_a*p_rho_a^(B67-p_dis_year),1)</f>
        <v/>
      </c>
      <c r="G67" s="26">
        <f>INDEX(Calib!$N$1:$N$13,$D67)*(1-p_rent_decline*MIN(1,C67/26))</f>
        <v/>
      </c>
      <c r="H67" s="26">
        <f>IF(C67=0,0,SUMIFS(dl_val,dl_iso,$A67,dl_ind,"pub_cap",dl_year,$B67)/100)</f>
        <v/>
      </c>
      <c r="I67" s="26">
        <f>IF(C67=0,0,SUMIFS(dl_val,dl_iso,$A67,dl_ind,"pub_spend",dl_year,$B67)/100)</f>
        <v/>
      </c>
      <c r="J67" s="26">
        <f>IF(C67=0,0,SUMIFS(dl_val,dl_iso,$A67,dl_ind,"rev",dl_year,$B67)/100)</f>
        <v/>
      </c>
      <c r="K67" s="26">
        <f>(1-p_delta_g)*K66*(1-p_eps_g*$E67)+INDEX(Calib!$E$1:$E$13,$D67)*(INDEX(Calib!$G$1:$G$13,$D67)+0*$H67)</f>
        <v/>
      </c>
      <c r="L67" s="26">
        <f>L66*(1-p_eps_k*$E67)+p_lambda_k*(N67-L66*(1-p_eps_k*$E67))</f>
        <v/>
      </c>
      <c r="M67" s="26">
        <f>INDEX(Calib!$R$1:$R$13,$D67)*$F67*(K66*(1-p_eps_g*$E67))^INDEX(Calib!$Q$1:$Q$13,$D67)*(L66*(1-p_eps_k*$E67))^p_alpha</f>
        <v/>
      </c>
      <c r="N67" s="26">
        <f>p_alpha*(1-INDEX(Calib!$H$1:$H$13,$D67))*M67/(INDEX(Calib!$K$1:$K$13,$D67)+p_delta)</f>
        <v/>
      </c>
      <c r="O67" s="26">
        <f>M67+$G67</f>
        <v/>
      </c>
      <c r="P67" s="26">
        <f>0*($H67+$I67)</f>
        <v/>
      </c>
      <c r="Q67" s="26">
        <f>INDEX(Calib!$I$1:$I$13,$D67)+p_sh_grant*P67</f>
        <v/>
      </c>
      <c r="R67" s="26">
        <f>INDEX(Calib!$H$1:$H$13,$D67)*M67+p_gov_take*$G67+Q67+0*p_pricing*$J67</f>
        <v/>
      </c>
      <c r="S67" s="26">
        <f>INDEX(Calib!$Y$1:$Y$13,$D67)-INDEX(Calib!$Z$1:$Z$13,$D67)*(V66/O66-INDEX(Calib!$AA$1:$AA$13,$D67))</f>
        <v/>
      </c>
      <c r="T67" s="26">
        <f>INDEX(Calib!$X$1:$X$13,$D67)+INDEX(Calib!$G$1:$G$13,$D67)+P67+S67-R67</f>
        <v/>
      </c>
      <c r="U67" s="26">
        <f>p_rk*W66+Y66*(V66-W66)</f>
        <v/>
      </c>
      <c r="V67" s="26">
        <f>V66+U67+T67</f>
        <v/>
      </c>
      <c r="W67" s="26">
        <f>INDEX(Calib!$U$1:$U$13,$D67)+(W66-INDEX(Calib!$U$1:$U$13,$D67))*(1-p_amort)+p_sh_conc*P67</f>
        <v/>
      </c>
      <c r="X67" s="26">
        <f>V67/O67</f>
        <v/>
      </c>
      <c r="Y67" s="26">
        <f>INDEX(Calib!$K$1:$K$13,$D67)+p_eta*MAX(0,X67-INDEX(Calib!$AA$1:$AA$13,$D67))</f>
        <v/>
      </c>
      <c r="Z67" s="26">
        <f>(1-INDEX(Calib!$H$1:$H$13,$D67))*(1-p_alpha)*M67+S67</f>
        <v/>
      </c>
      <c r="AA67" s="26">
        <f>(1-p_delta_g)*AA66*(1-p_eps_g*$E67)+INDEX(Calib!$E$1:$E$13,$D67)*(INDEX(Calib!$G$1:$G$13,$D67)+p_programme*$H67)</f>
        <v/>
      </c>
      <c r="AB67" s="26">
        <f>AB66*(1-p_eps_k*$E67)+p_lambda_k*(AD67-AB66*(1-p_eps_k*$E67))</f>
        <v/>
      </c>
      <c r="AC67" s="26">
        <f>INDEX(Calib!$R$1:$R$13,$D67)*$F67*(AA66*(1-p_eps_g*$E67))^INDEX(Calib!$Q$1:$Q$13,$D67)*(AB66*(1-p_eps_k*$E67))^p_alpha</f>
        <v/>
      </c>
      <c r="AD67" s="26">
        <f>p_alpha*(1-INDEX(Calib!$H$1:$H$13,$D67))*AC67/(INDEX(Calib!$K$1:$K$13,$D67)+p_delta)</f>
        <v/>
      </c>
      <c r="AE67" s="26">
        <f>AC67+$G67</f>
        <v/>
      </c>
      <c r="AF67" s="26">
        <f>p_programme*($H67+$I67)</f>
        <v/>
      </c>
      <c r="AG67" s="26">
        <f>INDEX(Calib!$I$1:$I$13,$D67)+p_sh_grant*AF67</f>
        <v/>
      </c>
      <c r="AH67" s="26">
        <f>INDEX(Calib!$H$1:$H$13,$D67)*AC67+p_gov_take*$G67+AG67+p_programme*p_pricing*$J67</f>
        <v/>
      </c>
      <c r="AI67" s="26">
        <f>INDEX(Calib!$Y$1:$Y$13,$D67)-INDEX(Calib!$Z$1:$Z$13,$D67)*(AL66/AE66-INDEX(Calib!$AA$1:$AA$13,$D67))</f>
        <v/>
      </c>
      <c r="AJ67" s="26">
        <f>INDEX(Calib!$X$1:$X$13,$D67)+INDEX(Calib!$G$1:$G$13,$D67)+AF67+AI67-AH67</f>
        <v/>
      </c>
      <c r="AK67" s="26">
        <f>p_rk*AM66+AO66*(AL66-AM66)</f>
        <v/>
      </c>
      <c r="AL67" s="26">
        <f>AL66+AK67+AJ67</f>
        <v/>
      </c>
      <c r="AM67" s="26">
        <f>INDEX(Calib!$U$1:$U$13,$D67)+(AM66-INDEX(Calib!$U$1:$U$13,$D67))*(1-p_amort)+p_sh_conc*AF67</f>
        <v/>
      </c>
      <c r="AN67" s="26">
        <f>AL67/AE67</f>
        <v/>
      </c>
      <c r="AO67" s="26">
        <f>INDEX(Calib!$K$1:$K$13,$D67)+p_eta*MAX(0,AN67-INDEX(Calib!$AA$1:$AA$13,$D67))</f>
        <v/>
      </c>
      <c r="AP67" s="26">
        <f>(1-INDEX(Calib!$H$1:$H$13,$D67))*(1-p_alpha)*AC67+AI67</f>
        <v/>
      </c>
      <c r="AQ67" s="26">
        <f>(AE67/O67-1)*100</f>
        <v/>
      </c>
      <c r="AR67" s="26">
        <f>(AE67/AE56-1)*100</f>
        <v/>
      </c>
      <c r="AS67" s="26">
        <f>(O67/O56-1)*100</f>
        <v/>
      </c>
      <c r="AT67" s="26">
        <f>(AN67-X67)*100</f>
        <v/>
      </c>
      <c r="AU67" s="26">
        <f>(AP67/Z67-1)*100</f>
        <v/>
      </c>
      <c r="AV67" s="26">
        <f>(AI67-S67)*100</f>
        <v/>
      </c>
    </row>
    <row r="68">
      <c r="A68" s="25" t="inlineStr">
        <is>
          <t>UGA</t>
        </is>
      </c>
      <c r="B68" s="25" t="n">
        <v>2036</v>
      </c>
      <c r="C68" s="25" t="n">
        <v>12</v>
      </c>
      <c r="D68" s="25" t="n">
        <v>4</v>
      </c>
      <c r="E68" s="25">
        <f>IF(AND(p_dis_year&gt;0,B68=p_dis_year),1,0)</f>
        <v/>
      </c>
      <c r="F68" s="26">
        <f>IF(AND(p_dis_year&gt;0,B68&gt;=p_dis_year),1-p_eps_a*p_rho_a^(B68-p_dis_year),1)</f>
        <v/>
      </c>
      <c r="G68" s="26">
        <f>INDEX(Calib!$N$1:$N$13,$D68)*(1-p_rent_decline*MIN(1,C68/26))</f>
        <v/>
      </c>
      <c r="H68" s="26">
        <f>IF(C68=0,0,SUMIFS(dl_val,dl_iso,$A68,dl_ind,"pub_cap",dl_year,$B68)/100)</f>
        <v/>
      </c>
      <c r="I68" s="26">
        <f>IF(C68=0,0,SUMIFS(dl_val,dl_iso,$A68,dl_ind,"pub_spend",dl_year,$B68)/100)</f>
        <v/>
      </c>
      <c r="J68" s="26">
        <f>IF(C68=0,0,SUMIFS(dl_val,dl_iso,$A68,dl_ind,"rev",dl_year,$B68)/100)</f>
        <v/>
      </c>
      <c r="K68" s="26">
        <f>(1-p_delta_g)*K67*(1-p_eps_g*$E68)+INDEX(Calib!$E$1:$E$13,$D68)*(INDEX(Calib!$G$1:$G$13,$D68)+0*$H68)</f>
        <v/>
      </c>
      <c r="L68" s="26">
        <f>L67*(1-p_eps_k*$E68)+p_lambda_k*(N68-L67*(1-p_eps_k*$E68))</f>
        <v/>
      </c>
      <c r="M68" s="26">
        <f>INDEX(Calib!$R$1:$R$13,$D68)*$F68*(K67*(1-p_eps_g*$E68))^INDEX(Calib!$Q$1:$Q$13,$D68)*(L67*(1-p_eps_k*$E68))^p_alpha</f>
        <v/>
      </c>
      <c r="N68" s="26">
        <f>p_alpha*(1-INDEX(Calib!$H$1:$H$13,$D68))*M68/(INDEX(Calib!$K$1:$K$13,$D68)+p_delta)</f>
        <v/>
      </c>
      <c r="O68" s="26">
        <f>M68+$G68</f>
        <v/>
      </c>
      <c r="P68" s="26">
        <f>0*($H68+$I68)</f>
        <v/>
      </c>
      <c r="Q68" s="26">
        <f>INDEX(Calib!$I$1:$I$13,$D68)+p_sh_grant*P68</f>
        <v/>
      </c>
      <c r="R68" s="26">
        <f>INDEX(Calib!$H$1:$H$13,$D68)*M68+p_gov_take*$G68+Q68+0*p_pricing*$J68</f>
        <v/>
      </c>
      <c r="S68" s="26">
        <f>INDEX(Calib!$Y$1:$Y$13,$D68)-INDEX(Calib!$Z$1:$Z$13,$D68)*(V67/O67-INDEX(Calib!$AA$1:$AA$13,$D68))</f>
        <v/>
      </c>
      <c r="T68" s="26">
        <f>INDEX(Calib!$X$1:$X$13,$D68)+INDEX(Calib!$G$1:$G$13,$D68)+P68+S68-R68</f>
        <v/>
      </c>
      <c r="U68" s="26">
        <f>p_rk*W67+Y67*(V67-W67)</f>
        <v/>
      </c>
      <c r="V68" s="26">
        <f>V67+U68+T68</f>
        <v/>
      </c>
      <c r="W68" s="26">
        <f>INDEX(Calib!$U$1:$U$13,$D68)+(W67-INDEX(Calib!$U$1:$U$13,$D68))*(1-p_amort)+p_sh_conc*P68</f>
        <v/>
      </c>
      <c r="X68" s="26">
        <f>V68/O68</f>
        <v/>
      </c>
      <c r="Y68" s="26">
        <f>INDEX(Calib!$K$1:$K$13,$D68)+p_eta*MAX(0,X68-INDEX(Calib!$AA$1:$AA$13,$D68))</f>
        <v/>
      </c>
      <c r="Z68" s="26">
        <f>(1-INDEX(Calib!$H$1:$H$13,$D68))*(1-p_alpha)*M68+S68</f>
        <v/>
      </c>
      <c r="AA68" s="26">
        <f>(1-p_delta_g)*AA67*(1-p_eps_g*$E68)+INDEX(Calib!$E$1:$E$13,$D68)*(INDEX(Calib!$G$1:$G$13,$D68)+p_programme*$H68)</f>
        <v/>
      </c>
      <c r="AB68" s="26">
        <f>AB67*(1-p_eps_k*$E68)+p_lambda_k*(AD68-AB67*(1-p_eps_k*$E68))</f>
        <v/>
      </c>
      <c r="AC68" s="26">
        <f>INDEX(Calib!$R$1:$R$13,$D68)*$F68*(AA67*(1-p_eps_g*$E68))^INDEX(Calib!$Q$1:$Q$13,$D68)*(AB67*(1-p_eps_k*$E68))^p_alpha</f>
        <v/>
      </c>
      <c r="AD68" s="26">
        <f>p_alpha*(1-INDEX(Calib!$H$1:$H$13,$D68))*AC68/(INDEX(Calib!$K$1:$K$13,$D68)+p_delta)</f>
        <v/>
      </c>
      <c r="AE68" s="26">
        <f>AC68+$G68</f>
        <v/>
      </c>
      <c r="AF68" s="26">
        <f>p_programme*($H68+$I68)</f>
        <v/>
      </c>
      <c r="AG68" s="26">
        <f>INDEX(Calib!$I$1:$I$13,$D68)+p_sh_grant*AF68</f>
        <v/>
      </c>
      <c r="AH68" s="26">
        <f>INDEX(Calib!$H$1:$H$13,$D68)*AC68+p_gov_take*$G68+AG68+p_programme*p_pricing*$J68</f>
        <v/>
      </c>
      <c r="AI68" s="26">
        <f>INDEX(Calib!$Y$1:$Y$13,$D68)-INDEX(Calib!$Z$1:$Z$13,$D68)*(AL67/AE67-INDEX(Calib!$AA$1:$AA$13,$D68))</f>
        <v/>
      </c>
      <c r="AJ68" s="26">
        <f>INDEX(Calib!$X$1:$X$13,$D68)+INDEX(Calib!$G$1:$G$13,$D68)+AF68+AI68-AH68</f>
        <v/>
      </c>
      <c r="AK68" s="26">
        <f>p_rk*AM67+AO67*(AL67-AM67)</f>
        <v/>
      </c>
      <c r="AL68" s="26">
        <f>AL67+AK68+AJ68</f>
        <v/>
      </c>
      <c r="AM68" s="26">
        <f>INDEX(Calib!$U$1:$U$13,$D68)+(AM67-INDEX(Calib!$U$1:$U$13,$D68))*(1-p_amort)+p_sh_conc*AF68</f>
        <v/>
      </c>
      <c r="AN68" s="26">
        <f>AL68/AE68</f>
        <v/>
      </c>
      <c r="AO68" s="26">
        <f>INDEX(Calib!$K$1:$K$13,$D68)+p_eta*MAX(0,AN68-INDEX(Calib!$AA$1:$AA$13,$D68))</f>
        <v/>
      </c>
      <c r="AP68" s="26">
        <f>(1-INDEX(Calib!$H$1:$H$13,$D68))*(1-p_alpha)*AC68+AI68</f>
        <v/>
      </c>
      <c r="AQ68" s="26">
        <f>(AE68/O68-1)*100</f>
        <v/>
      </c>
      <c r="AR68" s="26">
        <f>(AE68/AE56-1)*100</f>
        <v/>
      </c>
      <c r="AS68" s="26">
        <f>(O68/O56-1)*100</f>
        <v/>
      </c>
      <c r="AT68" s="26">
        <f>(AN68-X68)*100</f>
        <v/>
      </c>
      <c r="AU68" s="26">
        <f>(AP68/Z68-1)*100</f>
        <v/>
      </c>
      <c r="AV68" s="26">
        <f>(AI68-S68)*100</f>
        <v/>
      </c>
    </row>
    <row r="69">
      <c r="A69" s="25" t="inlineStr">
        <is>
          <t>UGA</t>
        </is>
      </c>
      <c r="B69" s="25" t="n">
        <v>2037</v>
      </c>
      <c r="C69" s="25" t="n">
        <v>13</v>
      </c>
      <c r="D69" s="25" t="n">
        <v>4</v>
      </c>
      <c r="E69" s="25">
        <f>IF(AND(p_dis_year&gt;0,B69=p_dis_year),1,0)</f>
        <v/>
      </c>
      <c r="F69" s="26">
        <f>IF(AND(p_dis_year&gt;0,B69&gt;=p_dis_year),1-p_eps_a*p_rho_a^(B69-p_dis_year),1)</f>
        <v/>
      </c>
      <c r="G69" s="26">
        <f>INDEX(Calib!$N$1:$N$13,$D69)*(1-p_rent_decline*MIN(1,C69/26))</f>
        <v/>
      </c>
      <c r="H69" s="26">
        <f>IF(C69=0,0,SUMIFS(dl_val,dl_iso,$A69,dl_ind,"pub_cap",dl_year,$B69)/100)</f>
        <v/>
      </c>
      <c r="I69" s="26">
        <f>IF(C69=0,0,SUMIFS(dl_val,dl_iso,$A69,dl_ind,"pub_spend",dl_year,$B69)/100)</f>
        <v/>
      </c>
      <c r="J69" s="26">
        <f>IF(C69=0,0,SUMIFS(dl_val,dl_iso,$A69,dl_ind,"rev",dl_year,$B69)/100)</f>
        <v/>
      </c>
      <c r="K69" s="26">
        <f>(1-p_delta_g)*K68*(1-p_eps_g*$E69)+INDEX(Calib!$E$1:$E$13,$D69)*(INDEX(Calib!$G$1:$G$13,$D69)+0*$H69)</f>
        <v/>
      </c>
      <c r="L69" s="26">
        <f>L68*(1-p_eps_k*$E69)+p_lambda_k*(N69-L68*(1-p_eps_k*$E69))</f>
        <v/>
      </c>
      <c r="M69" s="26">
        <f>INDEX(Calib!$R$1:$R$13,$D69)*$F69*(K68*(1-p_eps_g*$E69))^INDEX(Calib!$Q$1:$Q$13,$D69)*(L68*(1-p_eps_k*$E69))^p_alpha</f>
        <v/>
      </c>
      <c r="N69" s="26">
        <f>p_alpha*(1-INDEX(Calib!$H$1:$H$13,$D69))*M69/(INDEX(Calib!$K$1:$K$13,$D69)+p_delta)</f>
        <v/>
      </c>
      <c r="O69" s="26">
        <f>M69+$G69</f>
        <v/>
      </c>
      <c r="P69" s="26">
        <f>0*($H69+$I69)</f>
        <v/>
      </c>
      <c r="Q69" s="26">
        <f>INDEX(Calib!$I$1:$I$13,$D69)+p_sh_grant*P69</f>
        <v/>
      </c>
      <c r="R69" s="26">
        <f>INDEX(Calib!$H$1:$H$13,$D69)*M69+p_gov_take*$G69+Q69+0*p_pricing*$J69</f>
        <v/>
      </c>
      <c r="S69" s="26">
        <f>INDEX(Calib!$Y$1:$Y$13,$D69)-INDEX(Calib!$Z$1:$Z$13,$D69)*(V68/O68-INDEX(Calib!$AA$1:$AA$13,$D69))</f>
        <v/>
      </c>
      <c r="T69" s="26">
        <f>INDEX(Calib!$X$1:$X$13,$D69)+INDEX(Calib!$G$1:$G$13,$D69)+P69+S69-R69</f>
        <v/>
      </c>
      <c r="U69" s="26">
        <f>p_rk*W68+Y68*(V68-W68)</f>
        <v/>
      </c>
      <c r="V69" s="26">
        <f>V68+U69+T69</f>
        <v/>
      </c>
      <c r="W69" s="26">
        <f>INDEX(Calib!$U$1:$U$13,$D69)+(W68-INDEX(Calib!$U$1:$U$13,$D69))*(1-p_amort)+p_sh_conc*P69</f>
        <v/>
      </c>
      <c r="X69" s="26">
        <f>V69/O69</f>
        <v/>
      </c>
      <c r="Y69" s="26">
        <f>INDEX(Calib!$K$1:$K$13,$D69)+p_eta*MAX(0,X69-INDEX(Calib!$AA$1:$AA$13,$D69))</f>
        <v/>
      </c>
      <c r="Z69" s="26">
        <f>(1-INDEX(Calib!$H$1:$H$13,$D69))*(1-p_alpha)*M69+S69</f>
        <v/>
      </c>
      <c r="AA69" s="26">
        <f>(1-p_delta_g)*AA68*(1-p_eps_g*$E69)+INDEX(Calib!$E$1:$E$13,$D69)*(INDEX(Calib!$G$1:$G$13,$D69)+p_programme*$H69)</f>
        <v/>
      </c>
      <c r="AB69" s="26">
        <f>AB68*(1-p_eps_k*$E69)+p_lambda_k*(AD69-AB68*(1-p_eps_k*$E69))</f>
        <v/>
      </c>
      <c r="AC69" s="26">
        <f>INDEX(Calib!$R$1:$R$13,$D69)*$F69*(AA68*(1-p_eps_g*$E69))^INDEX(Calib!$Q$1:$Q$13,$D69)*(AB68*(1-p_eps_k*$E69))^p_alpha</f>
        <v/>
      </c>
      <c r="AD69" s="26">
        <f>p_alpha*(1-INDEX(Calib!$H$1:$H$13,$D69))*AC69/(INDEX(Calib!$K$1:$K$13,$D69)+p_delta)</f>
        <v/>
      </c>
      <c r="AE69" s="26">
        <f>AC69+$G69</f>
        <v/>
      </c>
      <c r="AF69" s="26">
        <f>p_programme*($H69+$I69)</f>
        <v/>
      </c>
      <c r="AG69" s="26">
        <f>INDEX(Calib!$I$1:$I$13,$D69)+p_sh_grant*AF69</f>
        <v/>
      </c>
      <c r="AH69" s="26">
        <f>INDEX(Calib!$H$1:$H$13,$D69)*AC69+p_gov_take*$G69+AG69+p_programme*p_pricing*$J69</f>
        <v/>
      </c>
      <c r="AI69" s="26">
        <f>INDEX(Calib!$Y$1:$Y$13,$D69)-INDEX(Calib!$Z$1:$Z$13,$D69)*(AL68/AE68-INDEX(Calib!$AA$1:$AA$13,$D69))</f>
        <v/>
      </c>
      <c r="AJ69" s="26">
        <f>INDEX(Calib!$X$1:$X$13,$D69)+INDEX(Calib!$G$1:$G$13,$D69)+AF69+AI69-AH69</f>
        <v/>
      </c>
      <c r="AK69" s="26">
        <f>p_rk*AM68+AO68*(AL68-AM68)</f>
        <v/>
      </c>
      <c r="AL69" s="26">
        <f>AL68+AK69+AJ69</f>
        <v/>
      </c>
      <c r="AM69" s="26">
        <f>INDEX(Calib!$U$1:$U$13,$D69)+(AM68-INDEX(Calib!$U$1:$U$13,$D69))*(1-p_amort)+p_sh_conc*AF69</f>
        <v/>
      </c>
      <c r="AN69" s="26">
        <f>AL69/AE69</f>
        <v/>
      </c>
      <c r="AO69" s="26">
        <f>INDEX(Calib!$K$1:$K$13,$D69)+p_eta*MAX(0,AN69-INDEX(Calib!$AA$1:$AA$13,$D69))</f>
        <v/>
      </c>
      <c r="AP69" s="26">
        <f>(1-INDEX(Calib!$H$1:$H$13,$D69))*(1-p_alpha)*AC69+AI69</f>
        <v/>
      </c>
      <c r="AQ69" s="26">
        <f>(AE69/O69-1)*100</f>
        <v/>
      </c>
      <c r="AR69" s="26">
        <f>(AE69/AE56-1)*100</f>
        <v/>
      </c>
      <c r="AS69" s="26">
        <f>(O69/O56-1)*100</f>
        <v/>
      </c>
      <c r="AT69" s="26">
        <f>(AN69-X69)*100</f>
        <v/>
      </c>
      <c r="AU69" s="26">
        <f>(AP69/Z69-1)*100</f>
        <v/>
      </c>
      <c r="AV69" s="26">
        <f>(AI69-S69)*100</f>
        <v/>
      </c>
    </row>
    <row r="70">
      <c r="A70" s="25" t="inlineStr">
        <is>
          <t>UGA</t>
        </is>
      </c>
      <c r="B70" s="25" t="n">
        <v>2038</v>
      </c>
      <c r="C70" s="25" t="n">
        <v>14</v>
      </c>
      <c r="D70" s="25" t="n">
        <v>4</v>
      </c>
      <c r="E70" s="25">
        <f>IF(AND(p_dis_year&gt;0,B70=p_dis_year),1,0)</f>
        <v/>
      </c>
      <c r="F70" s="26">
        <f>IF(AND(p_dis_year&gt;0,B70&gt;=p_dis_year),1-p_eps_a*p_rho_a^(B70-p_dis_year),1)</f>
        <v/>
      </c>
      <c r="G70" s="26">
        <f>INDEX(Calib!$N$1:$N$13,$D70)*(1-p_rent_decline*MIN(1,C70/26))</f>
        <v/>
      </c>
      <c r="H70" s="26">
        <f>IF(C70=0,0,SUMIFS(dl_val,dl_iso,$A70,dl_ind,"pub_cap",dl_year,$B70)/100)</f>
        <v/>
      </c>
      <c r="I70" s="26">
        <f>IF(C70=0,0,SUMIFS(dl_val,dl_iso,$A70,dl_ind,"pub_spend",dl_year,$B70)/100)</f>
        <v/>
      </c>
      <c r="J70" s="26">
        <f>IF(C70=0,0,SUMIFS(dl_val,dl_iso,$A70,dl_ind,"rev",dl_year,$B70)/100)</f>
        <v/>
      </c>
      <c r="K70" s="26">
        <f>(1-p_delta_g)*K69*(1-p_eps_g*$E70)+INDEX(Calib!$E$1:$E$13,$D70)*(INDEX(Calib!$G$1:$G$13,$D70)+0*$H70)</f>
        <v/>
      </c>
      <c r="L70" s="26">
        <f>L69*(1-p_eps_k*$E70)+p_lambda_k*(N70-L69*(1-p_eps_k*$E70))</f>
        <v/>
      </c>
      <c r="M70" s="26">
        <f>INDEX(Calib!$R$1:$R$13,$D70)*$F70*(K69*(1-p_eps_g*$E70))^INDEX(Calib!$Q$1:$Q$13,$D70)*(L69*(1-p_eps_k*$E70))^p_alpha</f>
        <v/>
      </c>
      <c r="N70" s="26">
        <f>p_alpha*(1-INDEX(Calib!$H$1:$H$13,$D70))*M70/(INDEX(Calib!$K$1:$K$13,$D70)+p_delta)</f>
        <v/>
      </c>
      <c r="O70" s="26">
        <f>M70+$G70</f>
        <v/>
      </c>
      <c r="P70" s="26">
        <f>0*($H70+$I70)</f>
        <v/>
      </c>
      <c r="Q70" s="26">
        <f>INDEX(Calib!$I$1:$I$13,$D70)+p_sh_grant*P70</f>
        <v/>
      </c>
      <c r="R70" s="26">
        <f>INDEX(Calib!$H$1:$H$13,$D70)*M70+p_gov_take*$G70+Q70+0*p_pricing*$J70</f>
        <v/>
      </c>
      <c r="S70" s="26">
        <f>INDEX(Calib!$Y$1:$Y$13,$D70)-INDEX(Calib!$Z$1:$Z$13,$D70)*(V69/O69-INDEX(Calib!$AA$1:$AA$13,$D70))</f>
        <v/>
      </c>
      <c r="T70" s="26">
        <f>INDEX(Calib!$X$1:$X$13,$D70)+INDEX(Calib!$G$1:$G$13,$D70)+P70+S70-R70</f>
        <v/>
      </c>
      <c r="U70" s="26">
        <f>p_rk*W69+Y69*(V69-W69)</f>
        <v/>
      </c>
      <c r="V70" s="26">
        <f>V69+U70+T70</f>
        <v/>
      </c>
      <c r="W70" s="26">
        <f>INDEX(Calib!$U$1:$U$13,$D70)+(W69-INDEX(Calib!$U$1:$U$13,$D70))*(1-p_amort)+p_sh_conc*P70</f>
        <v/>
      </c>
      <c r="X70" s="26">
        <f>V70/O70</f>
        <v/>
      </c>
      <c r="Y70" s="26">
        <f>INDEX(Calib!$K$1:$K$13,$D70)+p_eta*MAX(0,X70-INDEX(Calib!$AA$1:$AA$13,$D70))</f>
        <v/>
      </c>
      <c r="Z70" s="26">
        <f>(1-INDEX(Calib!$H$1:$H$13,$D70))*(1-p_alpha)*M70+S70</f>
        <v/>
      </c>
      <c r="AA70" s="26">
        <f>(1-p_delta_g)*AA69*(1-p_eps_g*$E70)+INDEX(Calib!$E$1:$E$13,$D70)*(INDEX(Calib!$G$1:$G$13,$D70)+p_programme*$H70)</f>
        <v/>
      </c>
      <c r="AB70" s="26">
        <f>AB69*(1-p_eps_k*$E70)+p_lambda_k*(AD70-AB69*(1-p_eps_k*$E70))</f>
        <v/>
      </c>
      <c r="AC70" s="26">
        <f>INDEX(Calib!$R$1:$R$13,$D70)*$F70*(AA69*(1-p_eps_g*$E70))^INDEX(Calib!$Q$1:$Q$13,$D70)*(AB69*(1-p_eps_k*$E70))^p_alpha</f>
        <v/>
      </c>
      <c r="AD70" s="26">
        <f>p_alpha*(1-INDEX(Calib!$H$1:$H$13,$D70))*AC70/(INDEX(Calib!$K$1:$K$13,$D70)+p_delta)</f>
        <v/>
      </c>
      <c r="AE70" s="26">
        <f>AC70+$G70</f>
        <v/>
      </c>
      <c r="AF70" s="26">
        <f>p_programme*($H70+$I70)</f>
        <v/>
      </c>
      <c r="AG70" s="26">
        <f>INDEX(Calib!$I$1:$I$13,$D70)+p_sh_grant*AF70</f>
        <v/>
      </c>
      <c r="AH70" s="26">
        <f>INDEX(Calib!$H$1:$H$13,$D70)*AC70+p_gov_take*$G70+AG70+p_programme*p_pricing*$J70</f>
        <v/>
      </c>
      <c r="AI70" s="26">
        <f>INDEX(Calib!$Y$1:$Y$13,$D70)-INDEX(Calib!$Z$1:$Z$13,$D70)*(AL69/AE69-INDEX(Calib!$AA$1:$AA$13,$D70))</f>
        <v/>
      </c>
      <c r="AJ70" s="26">
        <f>INDEX(Calib!$X$1:$X$13,$D70)+INDEX(Calib!$G$1:$G$13,$D70)+AF70+AI70-AH70</f>
        <v/>
      </c>
      <c r="AK70" s="26">
        <f>p_rk*AM69+AO69*(AL69-AM69)</f>
        <v/>
      </c>
      <c r="AL70" s="26">
        <f>AL69+AK70+AJ70</f>
        <v/>
      </c>
      <c r="AM70" s="26">
        <f>INDEX(Calib!$U$1:$U$13,$D70)+(AM69-INDEX(Calib!$U$1:$U$13,$D70))*(1-p_amort)+p_sh_conc*AF70</f>
        <v/>
      </c>
      <c r="AN70" s="26">
        <f>AL70/AE70</f>
        <v/>
      </c>
      <c r="AO70" s="26">
        <f>INDEX(Calib!$K$1:$K$13,$D70)+p_eta*MAX(0,AN70-INDEX(Calib!$AA$1:$AA$13,$D70))</f>
        <v/>
      </c>
      <c r="AP70" s="26">
        <f>(1-INDEX(Calib!$H$1:$H$13,$D70))*(1-p_alpha)*AC70+AI70</f>
        <v/>
      </c>
      <c r="AQ70" s="26">
        <f>(AE70/O70-1)*100</f>
        <v/>
      </c>
      <c r="AR70" s="26">
        <f>(AE70/AE56-1)*100</f>
        <v/>
      </c>
      <c r="AS70" s="26">
        <f>(O70/O56-1)*100</f>
        <v/>
      </c>
      <c r="AT70" s="26">
        <f>(AN70-X70)*100</f>
        <v/>
      </c>
      <c r="AU70" s="26">
        <f>(AP70/Z70-1)*100</f>
        <v/>
      </c>
      <c r="AV70" s="26">
        <f>(AI70-S70)*100</f>
        <v/>
      </c>
    </row>
    <row r="71">
      <c r="A71" s="25" t="inlineStr">
        <is>
          <t>UGA</t>
        </is>
      </c>
      <c r="B71" s="25" t="n">
        <v>2039</v>
      </c>
      <c r="C71" s="25" t="n">
        <v>15</v>
      </c>
      <c r="D71" s="25" t="n">
        <v>4</v>
      </c>
      <c r="E71" s="25">
        <f>IF(AND(p_dis_year&gt;0,B71=p_dis_year),1,0)</f>
        <v/>
      </c>
      <c r="F71" s="26">
        <f>IF(AND(p_dis_year&gt;0,B71&gt;=p_dis_year),1-p_eps_a*p_rho_a^(B71-p_dis_year),1)</f>
        <v/>
      </c>
      <c r="G71" s="26">
        <f>INDEX(Calib!$N$1:$N$13,$D71)*(1-p_rent_decline*MIN(1,C71/26))</f>
        <v/>
      </c>
      <c r="H71" s="26">
        <f>IF(C71=0,0,SUMIFS(dl_val,dl_iso,$A71,dl_ind,"pub_cap",dl_year,$B71)/100)</f>
        <v/>
      </c>
      <c r="I71" s="26">
        <f>IF(C71=0,0,SUMIFS(dl_val,dl_iso,$A71,dl_ind,"pub_spend",dl_year,$B71)/100)</f>
        <v/>
      </c>
      <c r="J71" s="26">
        <f>IF(C71=0,0,SUMIFS(dl_val,dl_iso,$A71,dl_ind,"rev",dl_year,$B71)/100)</f>
        <v/>
      </c>
      <c r="K71" s="26">
        <f>(1-p_delta_g)*K70*(1-p_eps_g*$E71)+INDEX(Calib!$E$1:$E$13,$D71)*(INDEX(Calib!$G$1:$G$13,$D71)+0*$H71)</f>
        <v/>
      </c>
      <c r="L71" s="26">
        <f>L70*(1-p_eps_k*$E71)+p_lambda_k*(N71-L70*(1-p_eps_k*$E71))</f>
        <v/>
      </c>
      <c r="M71" s="26">
        <f>INDEX(Calib!$R$1:$R$13,$D71)*$F71*(K70*(1-p_eps_g*$E71))^INDEX(Calib!$Q$1:$Q$13,$D71)*(L70*(1-p_eps_k*$E71))^p_alpha</f>
        <v/>
      </c>
      <c r="N71" s="26">
        <f>p_alpha*(1-INDEX(Calib!$H$1:$H$13,$D71))*M71/(INDEX(Calib!$K$1:$K$13,$D71)+p_delta)</f>
        <v/>
      </c>
      <c r="O71" s="26">
        <f>M71+$G71</f>
        <v/>
      </c>
      <c r="P71" s="26">
        <f>0*($H71+$I71)</f>
        <v/>
      </c>
      <c r="Q71" s="26">
        <f>INDEX(Calib!$I$1:$I$13,$D71)+p_sh_grant*P71</f>
        <v/>
      </c>
      <c r="R71" s="26">
        <f>INDEX(Calib!$H$1:$H$13,$D71)*M71+p_gov_take*$G71+Q71+0*p_pricing*$J71</f>
        <v/>
      </c>
      <c r="S71" s="26">
        <f>INDEX(Calib!$Y$1:$Y$13,$D71)-INDEX(Calib!$Z$1:$Z$13,$D71)*(V70/O70-INDEX(Calib!$AA$1:$AA$13,$D71))</f>
        <v/>
      </c>
      <c r="T71" s="26">
        <f>INDEX(Calib!$X$1:$X$13,$D71)+INDEX(Calib!$G$1:$G$13,$D71)+P71+S71-R71</f>
        <v/>
      </c>
      <c r="U71" s="26">
        <f>p_rk*W70+Y70*(V70-W70)</f>
        <v/>
      </c>
      <c r="V71" s="26">
        <f>V70+U71+T71</f>
        <v/>
      </c>
      <c r="W71" s="26">
        <f>INDEX(Calib!$U$1:$U$13,$D71)+(W70-INDEX(Calib!$U$1:$U$13,$D71))*(1-p_amort)+p_sh_conc*P71</f>
        <v/>
      </c>
      <c r="X71" s="26">
        <f>V71/O71</f>
        <v/>
      </c>
      <c r="Y71" s="26">
        <f>INDEX(Calib!$K$1:$K$13,$D71)+p_eta*MAX(0,X71-INDEX(Calib!$AA$1:$AA$13,$D71))</f>
        <v/>
      </c>
      <c r="Z71" s="26">
        <f>(1-INDEX(Calib!$H$1:$H$13,$D71))*(1-p_alpha)*M71+S71</f>
        <v/>
      </c>
      <c r="AA71" s="26">
        <f>(1-p_delta_g)*AA70*(1-p_eps_g*$E71)+INDEX(Calib!$E$1:$E$13,$D71)*(INDEX(Calib!$G$1:$G$13,$D71)+p_programme*$H71)</f>
        <v/>
      </c>
      <c r="AB71" s="26">
        <f>AB70*(1-p_eps_k*$E71)+p_lambda_k*(AD71-AB70*(1-p_eps_k*$E71))</f>
        <v/>
      </c>
      <c r="AC71" s="26">
        <f>INDEX(Calib!$R$1:$R$13,$D71)*$F71*(AA70*(1-p_eps_g*$E71))^INDEX(Calib!$Q$1:$Q$13,$D71)*(AB70*(1-p_eps_k*$E71))^p_alpha</f>
        <v/>
      </c>
      <c r="AD71" s="26">
        <f>p_alpha*(1-INDEX(Calib!$H$1:$H$13,$D71))*AC71/(INDEX(Calib!$K$1:$K$13,$D71)+p_delta)</f>
        <v/>
      </c>
      <c r="AE71" s="26">
        <f>AC71+$G71</f>
        <v/>
      </c>
      <c r="AF71" s="26">
        <f>p_programme*($H71+$I71)</f>
        <v/>
      </c>
      <c r="AG71" s="26">
        <f>INDEX(Calib!$I$1:$I$13,$D71)+p_sh_grant*AF71</f>
        <v/>
      </c>
      <c r="AH71" s="26">
        <f>INDEX(Calib!$H$1:$H$13,$D71)*AC71+p_gov_take*$G71+AG71+p_programme*p_pricing*$J71</f>
        <v/>
      </c>
      <c r="AI71" s="26">
        <f>INDEX(Calib!$Y$1:$Y$13,$D71)-INDEX(Calib!$Z$1:$Z$13,$D71)*(AL70/AE70-INDEX(Calib!$AA$1:$AA$13,$D71))</f>
        <v/>
      </c>
      <c r="AJ71" s="26">
        <f>INDEX(Calib!$X$1:$X$13,$D71)+INDEX(Calib!$G$1:$G$13,$D71)+AF71+AI71-AH71</f>
        <v/>
      </c>
      <c r="AK71" s="26">
        <f>p_rk*AM70+AO70*(AL70-AM70)</f>
        <v/>
      </c>
      <c r="AL71" s="26">
        <f>AL70+AK71+AJ71</f>
        <v/>
      </c>
      <c r="AM71" s="26">
        <f>INDEX(Calib!$U$1:$U$13,$D71)+(AM70-INDEX(Calib!$U$1:$U$13,$D71))*(1-p_amort)+p_sh_conc*AF71</f>
        <v/>
      </c>
      <c r="AN71" s="26">
        <f>AL71/AE71</f>
        <v/>
      </c>
      <c r="AO71" s="26">
        <f>INDEX(Calib!$K$1:$K$13,$D71)+p_eta*MAX(0,AN71-INDEX(Calib!$AA$1:$AA$13,$D71))</f>
        <v/>
      </c>
      <c r="AP71" s="26">
        <f>(1-INDEX(Calib!$H$1:$H$13,$D71))*(1-p_alpha)*AC71+AI71</f>
        <v/>
      </c>
      <c r="AQ71" s="26">
        <f>(AE71/O71-1)*100</f>
        <v/>
      </c>
      <c r="AR71" s="26">
        <f>(AE71/AE56-1)*100</f>
        <v/>
      </c>
      <c r="AS71" s="26">
        <f>(O71/O56-1)*100</f>
        <v/>
      </c>
      <c r="AT71" s="26">
        <f>(AN71-X71)*100</f>
        <v/>
      </c>
      <c r="AU71" s="26">
        <f>(AP71/Z71-1)*100</f>
        <v/>
      </c>
      <c r="AV71" s="26">
        <f>(AI71-S71)*100</f>
        <v/>
      </c>
    </row>
    <row r="72">
      <c r="A72" s="25" t="inlineStr">
        <is>
          <t>UGA</t>
        </is>
      </c>
      <c r="B72" s="25" t="n">
        <v>2040</v>
      </c>
      <c r="C72" s="25" t="n">
        <v>16</v>
      </c>
      <c r="D72" s="25" t="n">
        <v>4</v>
      </c>
      <c r="E72" s="25">
        <f>IF(AND(p_dis_year&gt;0,B72=p_dis_year),1,0)</f>
        <v/>
      </c>
      <c r="F72" s="26">
        <f>IF(AND(p_dis_year&gt;0,B72&gt;=p_dis_year),1-p_eps_a*p_rho_a^(B72-p_dis_year),1)</f>
        <v/>
      </c>
      <c r="G72" s="26">
        <f>INDEX(Calib!$N$1:$N$13,$D72)*(1-p_rent_decline*MIN(1,C72/26))</f>
        <v/>
      </c>
      <c r="H72" s="26">
        <f>IF(C72=0,0,SUMIFS(dl_val,dl_iso,$A72,dl_ind,"pub_cap",dl_year,$B72)/100)</f>
        <v/>
      </c>
      <c r="I72" s="26">
        <f>IF(C72=0,0,SUMIFS(dl_val,dl_iso,$A72,dl_ind,"pub_spend",dl_year,$B72)/100)</f>
        <v/>
      </c>
      <c r="J72" s="26">
        <f>IF(C72=0,0,SUMIFS(dl_val,dl_iso,$A72,dl_ind,"rev",dl_year,$B72)/100)</f>
        <v/>
      </c>
      <c r="K72" s="26">
        <f>(1-p_delta_g)*K71*(1-p_eps_g*$E72)+INDEX(Calib!$E$1:$E$13,$D72)*(INDEX(Calib!$G$1:$G$13,$D72)+0*$H72)</f>
        <v/>
      </c>
      <c r="L72" s="26">
        <f>L71*(1-p_eps_k*$E72)+p_lambda_k*(N72-L71*(1-p_eps_k*$E72))</f>
        <v/>
      </c>
      <c r="M72" s="26">
        <f>INDEX(Calib!$R$1:$R$13,$D72)*$F72*(K71*(1-p_eps_g*$E72))^INDEX(Calib!$Q$1:$Q$13,$D72)*(L71*(1-p_eps_k*$E72))^p_alpha</f>
        <v/>
      </c>
      <c r="N72" s="26">
        <f>p_alpha*(1-INDEX(Calib!$H$1:$H$13,$D72))*M72/(INDEX(Calib!$K$1:$K$13,$D72)+p_delta)</f>
        <v/>
      </c>
      <c r="O72" s="26">
        <f>M72+$G72</f>
        <v/>
      </c>
      <c r="P72" s="26">
        <f>0*($H72+$I72)</f>
        <v/>
      </c>
      <c r="Q72" s="26">
        <f>INDEX(Calib!$I$1:$I$13,$D72)+p_sh_grant*P72</f>
        <v/>
      </c>
      <c r="R72" s="26">
        <f>INDEX(Calib!$H$1:$H$13,$D72)*M72+p_gov_take*$G72+Q72+0*p_pricing*$J72</f>
        <v/>
      </c>
      <c r="S72" s="26">
        <f>INDEX(Calib!$Y$1:$Y$13,$D72)-INDEX(Calib!$Z$1:$Z$13,$D72)*(V71/O71-INDEX(Calib!$AA$1:$AA$13,$D72))</f>
        <v/>
      </c>
      <c r="T72" s="26">
        <f>INDEX(Calib!$X$1:$X$13,$D72)+INDEX(Calib!$G$1:$G$13,$D72)+P72+S72-R72</f>
        <v/>
      </c>
      <c r="U72" s="26">
        <f>p_rk*W71+Y71*(V71-W71)</f>
        <v/>
      </c>
      <c r="V72" s="26">
        <f>V71+U72+T72</f>
        <v/>
      </c>
      <c r="W72" s="26">
        <f>INDEX(Calib!$U$1:$U$13,$D72)+(W71-INDEX(Calib!$U$1:$U$13,$D72))*(1-p_amort)+p_sh_conc*P72</f>
        <v/>
      </c>
      <c r="X72" s="26">
        <f>V72/O72</f>
        <v/>
      </c>
      <c r="Y72" s="26">
        <f>INDEX(Calib!$K$1:$K$13,$D72)+p_eta*MAX(0,X72-INDEX(Calib!$AA$1:$AA$13,$D72))</f>
        <v/>
      </c>
      <c r="Z72" s="26">
        <f>(1-INDEX(Calib!$H$1:$H$13,$D72))*(1-p_alpha)*M72+S72</f>
        <v/>
      </c>
      <c r="AA72" s="26">
        <f>(1-p_delta_g)*AA71*(1-p_eps_g*$E72)+INDEX(Calib!$E$1:$E$13,$D72)*(INDEX(Calib!$G$1:$G$13,$D72)+p_programme*$H72)</f>
        <v/>
      </c>
      <c r="AB72" s="26">
        <f>AB71*(1-p_eps_k*$E72)+p_lambda_k*(AD72-AB71*(1-p_eps_k*$E72))</f>
        <v/>
      </c>
      <c r="AC72" s="26">
        <f>INDEX(Calib!$R$1:$R$13,$D72)*$F72*(AA71*(1-p_eps_g*$E72))^INDEX(Calib!$Q$1:$Q$13,$D72)*(AB71*(1-p_eps_k*$E72))^p_alpha</f>
        <v/>
      </c>
      <c r="AD72" s="26">
        <f>p_alpha*(1-INDEX(Calib!$H$1:$H$13,$D72))*AC72/(INDEX(Calib!$K$1:$K$13,$D72)+p_delta)</f>
        <v/>
      </c>
      <c r="AE72" s="26">
        <f>AC72+$G72</f>
        <v/>
      </c>
      <c r="AF72" s="26">
        <f>p_programme*($H72+$I72)</f>
        <v/>
      </c>
      <c r="AG72" s="26">
        <f>INDEX(Calib!$I$1:$I$13,$D72)+p_sh_grant*AF72</f>
        <v/>
      </c>
      <c r="AH72" s="26">
        <f>INDEX(Calib!$H$1:$H$13,$D72)*AC72+p_gov_take*$G72+AG72+p_programme*p_pricing*$J72</f>
        <v/>
      </c>
      <c r="AI72" s="26">
        <f>INDEX(Calib!$Y$1:$Y$13,$D72)-INDEX(Calib!$Z$1:$Z$13,$D72)*(AL71/AE71-INDEX(Calib!$AA$1:$AA$13,$D72))</f>
        <v/>
      </c>
      <c r="AJ72" s="26">
        <f>INDEX(Calib!$X$1:$X$13,$D72)+INDEX(Calib!$G$1:$G$13,$D72)+AF72+AI72-AH72</f>
        <v/>
      </c>
      <c r="AK72" s="26">
        <f>p_rk*AM71+AO71*(AL71-AM71)</f>
        <v/>
      </c>
      <c r="AL72" s="26">
        <f>AL71+AK72+AJ72</f>
        <v/>
      </c>
      <c r="AM72" s="26">
        <f>INDEX(Calib!$U$1:$U$13,$D72)+(AM71-INDEX(Calib!$U$1:$U$13,$D72))*(1-p_amort)+p_sh_conc*AF72</f>
        <v/>
      </c>
      <c r="AN72" s="26">
        <f>AL72/AE72</f>
        <v/>
      </c>
      <c r="AO72" s="26">
        <f>INDEX(Calib!$K$1:$K$13,$D72)+p_eta*MAX(0,AN72-INDEX(Calib!$AA$1:$AA$13,$D72))</f>
        <v/>
      </c>
      <c r="AP72" s="26">
        <f>(1-INDEX(Calib!$H$1:$H$13,$D72))*(1-p_alpha)*AC72+AI72</f>
        <v/>
      </c>
      <c r="AQ72" s="26">
        <f>(AE72/O72-1)*100</f>
        <v/>
      </c>
      <c r="AR72" s="26">
        <f>(AE72/AE56-1)*100</f>
        <v/>
      </c>
      <c r="AS72" s="26">
        <f>(O72/O56-1)*100</f>
        <v/>
      </c>
      <c r="AT72" s="26">
        <f>(AN72-X72)*100</f>
        <v/>
      </c>
      <c r="AU72" s="26">
        <f>(AP72/Z72-1)*100</f>
        <v/>
      </c>
      <c r="AV72" s="26">
        <f>(AI72-S72)*100</f>
        <v/>
      </c>
    </row>
    <row r="73">
      <c r="A73" s="25" t="inlineStr">
        <is>
          <t>UGA</t>
        </is>
      </c>
      <c r="B73" s="25" t="n">
        <v>2041</v>
      </c>
      <c r="C73" s="25" t="n">
        <v>17</v>
      </c>
      <c r="D73" s="25" t="n">
        <v>4</v>
      </c>
      <c r="E73" s="25">
        <f>IF(AND(p_dis_year&gt;0,B73=p_dis_year),1,0)</f>
        <v/>
      </c>
      <c r="F73" s="26">
        <f>IF(AND(p_dis_year&gt;0,B73&gt;=p_dis_year),1-p_eps_a*p_rho_a^(B73-p_dis_year),1)</f>
        <v/>
      </c>
      <c r="G73" s="26">
        <f>INDEX(Calib!$N$1:$N$13,$D73)*(1-p_rent_decline*MIN(1,C73/26))</f>
        <v/>
      </c>
      <c r="H73" s="26">
        <f>IF(C73=0,0,SUMIFS(dl_val,dl_iso,$A73,dl_ind,"pub_cap",dl_year,$B73)/100)</f>
        <v/>
      </c>
      <c r="I73" s="26">
        <f>IF(C73=0,0,SUMIFS(dl_val,dl_iso,$A73,dl_ind,"pub_spend",dl_year,$B73)/100)</f>
        <v/>
      </c>
      <c r="J73" s="26">
        <f>IF(C73=0,0,SUMIFS(dl_val,dl_iso,$A73,dl_ind,"rev",dl_year,$B73)/100)</f>
        <v/>
      </c>
      <c r="K73" s="26">
        <f>(1-p_delta_g)*K72*(1-p_eps_g*$E73)+INDEX(Calib!$E$1:$E$13,$D73)*(INDEX(Calib!$G$1:$G$13,$D73)+0*$H73)</f>
        <v/>
      </c>
      <c r="L73" s="26">
        <f>L72*(1-p_eps_k*$E73)+p_lambda_k*(N73-L72*(1-p_eps_k*$E73))</f>
        <v/>
      </c>
      <c r="M73" s="26">
        <f>INDEX(Calib!$R$1:$R$13,$D73)*$F73*(K72*(1-p_eps_g*$E73))^INDEX(Calib!$Q$1:$Q$13,$D73)*(L72*(1-p_eps_k*$E73))^p_alpha</f>
        <v/>
      </c>
      <c r="N73" s="26">
        <f>p_alpha*(1-INDEX(Calib!$H$1:$H$13,$D73))*M73/(INDEX(Calib!$K$1:$K$13,$D73)+p_delta)</f>
        <v/>
      </c>
      <c r="O73" s="26">
        <f>M73+$G73</f>
        <v/>
      </c>
      <c r="P73" s="26">
        <f>0*($H73+$I73)</f>
        <v/>
      </c>
      <c r="Q73" s="26">
        <f>INDEX(Calib!$I$1:$I$13,$D73)+p_sh_grant*P73</f>
        <v/>
      </c>
      <c r="R73" s="26">
        <f>INDEX(Calib!$H$1:$H$13,$D73)*M73+p_gov_take*$G73+Q73+0*p_pricing*$J73</f>
        <v/>
      </c>
      <c r="S73" s="26">
        <f>INDEX(Calib!$Y$1:$Y$13,$D73)-INDEX(Calib!$Z$1:$Z$13,$D73)*(V72/O72-INDEX(Calib!$AA$1:$AA$13,$D73))</f>
        <v/>
      </c>
      <c r="T73" s="26">
        <f>INDEX(Calib!$X$1:$X$13,$D73)+INDEX(Calib!$G$1:$G$13,$D73)+P73+S73-R73</f>
        <v/>
      </c>
      <c r="U73" s="26">
        <f>p_rk*W72+Y72*(V72-W72)</f>
        <v/>
      </c>
      <c r="V73" s="26">
        <f>V72+U73+T73</f>
        <v/>
      </c>
      <c r="W73" s="26">
        <f>INDEX(Calib!$U$1:$U$13,$D73)+(W72-INDEX(Calib!$U$1:$U$13,$D73))*(1-p_amort)+p_sh_conc*P73</f>
        <v/>
      </c>
      <c r="X73" s="26">
        <f>V73/O73</f>
        <v/>
      </c>
      <c r="Y73" s="26">
        <f>INDEX(Calib!$K$1:$K$13,$D73)+p_eta*MAX(0,X73-INDEX(Calib!$AA$1:$AA$13,$D73))</f>
        <v/>
      </c>
      <c r="Z73" s="26">
        <f>(1-INDEX(Calib!$H$1:$H$13,$D73))*(1-p_alpha)*M73+S73</f>
        <v/>
      </c>
      <c r="AA73" s="26">
        <f>(1-p_delta_g)*AA72*(1-p_eps_g*$E73)+INDEX(Calib!$E$1:$E$13,$D73)*(INDEX(Calib!$G$1:$G$13,$D73)+p_programme*$H73)</f>
        <v/>
      </c>
      <c r="AB73" s="26">
        <f>AB72*(1-p_eps_k*$E73)+p_lambda_k*(AD73-AB72*(1-p_eps_k*$E73))</f>
        <v/>
      </c>
      <c r="AC73" s="26">
        <f>INDEX(Calib!$R$1:$R$13,$D73)*$F73*(AA72*(1-p_eps_g*$E73))^INDEX(Calib!$Q$1:$Q$13,$D73)*(AB72*(1-p_eps_k*$E73))^p_alpha</f>
        <v/>
      </c>
      <c r="AD73" s="26">
        <f>p_alpha*(1-INDEX(Calib!$H$1:$H$13,$D73))*AC73/(INDEX(Calib!$K$1:$K$13,$D73)+p_delta)</f>
        <v/>
      </c>
      <c r="AE73" s="26">
        <f>AC73+$G73</f>
        <v/>
      </c>
      <c r="AF73" s="26">
        <f>p_programme*($H73+$I73)</f>
        <v/>
      </c>
      <c r="AG73" s="26">
        <f>INDEX(Calib!$I$1:$I$13,$D73)+p_sh_grant*AF73</f>
        <v/>
      </c>
      <c r="AH73" s="26">
        <f>INDEX(Calib!$H$1:$H$13,$D73)*AC73+p_gov_take*$G73+AG73+p_programme*p_pricing*$J73</f>
        <v/>
      </c>
      <c r="AI73" s="26">
        <f>INDEX(Calib!$Y$1:$Y$13,$D73)-INDEX(Calib!$Z$1:$Z$13,$D73)*(AL72/AE72-INDEX(Calib!$AA$1:$AA$13,$D73))</f>
        <v/>
      </c>
      <c r="AJ73" s="26">
        <f>INDEX(Calib!$X$1:$X$13,$D73)+INDEX(Calib!$G$1:$G$13,$D73)+AF73+AI73-AH73</f>
        <v/>
      </c>
      <c r="AK73" s="26">
        <f>p_rk*AM72+AO72*(AL72-AM72)</f>
        <v/>
      </c>
      <c r="AL73" s="26">
        <f>AL72+AK73+AJ73</f>
        <v/>
      </c>
      <c r="AM73" s="26">
        <f>INDEX(Calib!$U$1:$U$13,$D73)+(AM72-INDEX(Calib!$U$1:$U$13,$D73))*(1-p_amort)+p_sh_conc*AF73</f>
        <v/>
      </c>
      <c r="AN73" s="26">
        <f>AL73/AE73</f>
        <v/>
      </c>
      <c r="AO73" s="26">
        <f>INDEX(Calib!$K$1:$K$13,$D73)+p_eta*MAX(0,AN73-INDEX(Calib!$AA$1:$AA$13,$D73))</f>
        <v/>
      </c>
      <c r="AP73" s="26">
        <f>(1-INDEX(Calib!$H$1:$H$13,$D73))*(1-p_alpha)*AC73+AI73</f>
        <v/>
      </c>
      <c r="AQ73" s="26">
        <f>(AE73/O73-1)*100</f>
        <v/>
      </c>
      <c r="AR73" s="26">
        <f>(AE73/AE56-1)*100</f>
        <v/>
      </c>
      <c r="AS73" s="26">
        <f>(O73/O56-1)*100</f>
        <v/>
      </c>
      <c r="AT73" s="26">
        <f>(AN73-X73)*100</f>
        <v/>
      </c>
      <c r="AU73" s="26">
        <f>(AP73/Z73-1)*100</f>
        <v/>
      </c>
      <c r="AV73" s="26">
        <f>(AI73-S73)*100</f>
        <v/>
      </c>
    </row>
    <row r="74">
      <c r="A74" s="25" t="inlineStr">
        <is>
          <t>UGA</t>
        </is>
      </c>
      <c r="B74" s="25" t="n">
        <v>2042</v>
      </c>
      <c r="C74" s="25" t="n">
        <v>18</v>
      </c>
      <c r="D74" s="25" t="n">
        <v>4</v>
      </c>
      <c r="E74" s="25">
        <f>IF(AND(p_dis_year&gt;0,B74=p_dis_year),1,0)</f>
        <v/>
      </c>
      <c r="F74" s="26">
        <f>IF(AND(p_dis_year&gt;0,B74&gt;=p_dis_year),1-p_eps_a*p_rho_a^(B74-p_dis_year),1)</f>
        <v/>
      </c>
      <c r="G74" s="26">
        <f>INDEX(Calib!$N$1:$N$13,$D74)*(1-p_rent_decline*MIN(1,C74/26))</f>
        <v/>
      </c>
      <c r="H74" s="26">
        <f>IF(C74=0,0,SUMIFS(dl_val,dl_iso,$A74,dl_ind,"pub_cap",dl_year,$B74)/100)</f>
        <v/>
      </c>
      <c r="I74" s="26">
        <f>IF(C74=0,0,SUMIFS(dl_val,dl_iso,$A74,dl_ind,"pub_spend",dl_year,$B74)/100)</f>
        <v/>
      </c>
      <c r="J74" s="26">
        <f>IF(C74=0,0,SUMIFS(dl_val,dl_iso,$A74,dl_ind,"rev",dl_year,$B74)/100)</f>
        <v/>
      </c>
      <c r="K74" s="26">
        <f>(1-p_delta_g)*K73*(1-p_eps_g*$E74)+INDEX(Calib!$E$1:$E$13,$D74)*(INDEX(Calib!$G$1:$G$13,$D74)+0*$H74)</f>
        <v/>
      </c>
      <c r="L74" s="26">
        <f>L73*(1-p_eps_k*$E74)+p_lambda_k*(N74-L73*(1-p_eps_k*$E74))</f>
        <v/>
      </c>
      <c r="M74" s="26">
        <f>INDEX(Calib!$R$1:$R$13,$D74)*$F74*(K73*(1-p_eps_g*$E74))^INDEX(Calib!$Q$1:$Q$13,$D74)*(L73*(1-p_eps_k*$E74))^p_alpha</f>
        <v/>
      </c>
      <c r="N74" s="26">
        <f>p_alpha*(1-INDEX(Calib!$H$1:$H$13,$D74))*M74/(INDEX(Calib!$K$1:$K$13,$D74)+p_delta)</f>
        <v/>
      </c>
      <c r="O74" s="26">
        <f>M74+$G74</f>
        <v/>
      </c>
      <c r="P74" s="26">
        <f>0*($H74+$I74)</f>
        <v/>
      </c>
      <c r="Q74" s="26">
        <f>INDEX(Calib!$I$1:$I$13,$D74)+p_sh_grant*P74</f>
        <v/>
      </c>
      <c r="R74" s="26">
        <f>INDEX(Calib!$H$1:$H$13,$D74)*M74+p_gov_take*$G74+Q74+0*p_pricing*$J74</f>
        <v/>
      </c>
      <c r="S74" s="26">
        <f>INDEX(Calib!$Y$1:$Y$13,$D74)-INDEX(Calib!$Z$1:$Z$13,$D74)*(V73/O73-INDEX(Calib!$AA$1:$AA$13,$D74))</f>
        <v/>
      </c>
      <c r="T74" s="26">
        <f>INDEX(Calib!$X$1:$X$13,$D74)+INDEX(Calib!$G$1:$G$13,$D74)+P74+S74-R74</f>
        <v/>
      </c>
      <c r="U74" s="26">
        <f>p_rk*W73+Y73*(V73-W73)</f>
        <v/>
      </c>
      <c r="V74" s="26">
        <f>V73+U74+T74</f>
        <v/>
      </c>
      <c r="W74" s="26">
        <f>INDEX(Calib!$U$1:$U$13,$D74)+(W73-INDEX(Calib!$U$1:$U$13,$D74))*(1-p_amort)+p_sh_conc*P74</f>
        <v/>
      </c>
      <c r="X74" s="26">
        <f>V74/O74</f>
        <v/>
      </c>
      <c r="Y74" s="26">
        <f>INDEX(Calib!$K$1:$K$13,$D74)+p_eta*MAX(0,X74-INDEX(Calib!$AA$1:$AA$13,$D74))</f>
        <v/>
      </c>
      <c r="Z74" s="26">
        <f>(1-INDEX(Calib!$H$1:$H$13,$D74))*(1-p_alpha)*M74+S74</f>
        <v/>
      </c>
      <c r="AA74" s="26">
        <f>(1-p_delta_g)*AA73*(1-p_eps_g*$E74)+INDEX(Calib!$E$1:$E$13,$D74)*(INDEX(Calib!$G$1:$G$13,$D74)+p_programme*$H74)</f>
        <v/>
      </c>
      <c r="AB74" s="26">
        <f>AB73*(1-p_eps_k*$E74)+p_lambda_k*(AD74-AB73*(1-p_eps_k*$E74))</f>
        <v/>
      </c>
      <c r="AC74" s="26">
        <f>INDEX(Calib!$R$1:$R$13,$D74)*$F74*(AA73*(1-p_eps_g*$E74))^INDEX(Calib!$Q$1:$Q$13,$D74)*(AB73*(1-p_eps_k*$E74))^p_alpha</f>
        <v/>
      </c>
      <c r="AD74" s="26">
        <f>p_alpha*(1-INDEX(Calib!$H$1:$H$13,$D74))*AC74/(INDEX(Calib!$K$1:$K$13,$D74)+p_delta)</f>
        <v/>
      </c>
      <c r="AE74" s="26">
        <f>AC74+$G74</f>
        <v/>
      </c>
      <c r="AF74" s="26">
        <f>p_programme*($H74+$I74)</f>
        <v/>
      </c>
      <c r="AG74" s="26">
        <f>INDEX(Calib!$I$1:$I$13,$D74)+p_sh_grant*AF74</f>
        <v/>
      </c>
      <c r="AH74" s="26">
        <f>INDEX(Calib!$H$1:$H$13,$D74)*AC74+p_gov_take*$G74+AG74+p_programme*p_pricing*$J74</f>
        <v/>
      </c>
      <c r="AI74" s="26">
        <f>INDEX(Calib!$Y$1:$Y$13,$D74)-INDEX(Calib!$Z$1:$Z$13,$D74)*(AL73/AE73-INDEX(Calib!$AA$1:$AA$13,$D74))</f>
        <v/>
      </c>
      <c r="AJ74" s="26">
        <f>INDEX(Calib!$X$1:$X$13,$D74)+INDEX(Calib!$G$1:$G$13,$D74)+AF74+AI74-AH74</f>
        <v/>
      </c>
      <c r="AK74" s="26">
        <f>p_rk*AM73+AO73*(AL73-AM73)</f>
        <v/>
      </c>
      <c r="AL74" s="26">
        <f>AL73+AK74+AJ74</f>
        <v/>
      </c>
      <c r="AM74" s="26">
        <f>INDEX(Calib!$U$1:$U$13,$D74)+(AM73-INDEX(Calib!$U$1:$U$13,$D74))*(1-p_amort)+p_sh_conc*AF74</f>
        <v/>
      </c>
      <c r="AN74" s="26">
        <f>AL74/AE74</f>
        <v/>
      </c>
      <c r="AO74" s="26">
        <f>INDEX(Calib!$K$1:$K$13,$D74)+p_eta*MAX(0,AN74-INDEX(Calib!$AA$1:$AA$13,$D74))</f>
        <v/>
      </c>
      <c r="AP74" s="26">
        <f>(1-INDEX(Calib!$H$1:$H$13,$D74))*(1-p_alpha)*AC74+AI74</f>
        <v/>
      </c>
      <c r="AQ74" s="26">
        <f>(AE74/O74-1)*100</f>
        <v/>
      </c>
      <c r="AR74" s="26">
        <f>(AE74/AE56-1)*100</f>
        <v/>
      </c>
      <c r="AS74" s="26">
        <f>(O74/O56-1)*100</f>
        <v/>
      </c>
      <c r="AT74" s="26">
        <f>(AN74-X74)*100</f>
        <v/>
      </c>
      <c r="AU74" s="26">
        <f>(AP74/Z74-1)*100</f>
        <v/>
      </c>
      <c r="AV74" s="26">
        <f>(AI74-S74)*100</f>
        <v/>
      </c>
    </row>
    <row r="75">
      <c r="A75" s="25" t="inlineStr">
        <is>
          <t>UGA</t>
        </is>
      </c>
      <c r="B75" s="25" t="n">
        <v>2043</v>
      </c>
      <c r="C75" s="25" t="n">
        <v>19</v>
      </c>
      <c r="D75" s="25" t="n">
        <v>4</v>
      </c>
      <c r="E75" s="25">
        <f>IF(AND(p_dis_year&gt;0,B75=p_dis_year),1,0)</f>
        <v/>
      </c>
      <c r="F75" s="26">
        <f>IF(AND(p_dis_year&gt;0,B75&gt;=p_dis_year),1-p_eps_a*p_rho_a^(B75-p_dis_year),1)</f>
        <v/>
      </c>
      <c r="G75" s="26">
        <f>INDEX(Calib!$N$1:$N$13,$D75)*(1-p_rent_decline*MIN(1,C75/26))</f>
        <v/>
      </c>
      <c r="H75" s="26">
        <f>IF(C75=0,0,SUMIFS(dl_val,dl_iso,$A75,dl_ind,"pub_cap",dl_year,$B75)/100)</f>
        <v/>
      </c>
      <c r="I75" s="26">
        <f>IF(C75=0,0,SUMIFS(dl_val,dl_iso,$A75,dl_ind,"pub_spend",dl_year,$B75)/100)</f>
        <v/>
      </c>
      <c r="J75" s="26">
        <f>IF(C75=0,0,SUMIFS(dl_val,dl_iso,$A75,dl_ind,"rev",dl_year,$B75)/100)</f>
        <v/>
      </c>
      <c r="K75" s="26">
        <f>(1-p_delta_g)*K74*(1-p_eps_g*$E75)+INDEX(Calib!$E$1:$E$13,$D75)*(INDEX(Calib!$G$1:$G$13,$D75)+0*$H75)</f>
        <v/>
      </c>
      <c r="L75" s="26">
        <f>L74*(1-p_eps_k*$E75)+p_lambda_k*(N75-L74*(1-p_eps_k*$E75))</f>
        <v/>
      </c>
      <c r="M75" s="26">
        <f>INDEX(Calib!$R$1:$R$13,$D75)*$F75*(K74*(1-p_eps_g*$E75))^INDEX(Calib!$Q$1:$Q$13,$D75)*(L74*(1-p_eps_k*$E75))^p_alpha</f>
        <v/>
      </c>
      <c r="N75" s="26">
        <f>p_alpha*(1-INDEX(Calib!$H$1:$H$13,$D75))*M75/(INDEX(Calib!$K$1:$K$13,$D75)+p_delta)</f>
        <v/>
      </c>
      <c r="O75" s="26">
        <f>M75+$G75</f>
        <v/>
      </c>
      <c r="P75" s="26">
        <f>0*($H75+$I75)</f>
        <v/>
      </c>
      <c r="Q75" s="26">
        <f>INDEX(Calib!$I$1:$I$13,$D75)+p_sh_grant*P75</f>
        <v/>
      </c>
      <c r="R75" s="26">
        <f>INDEX(Calib!$H$1:$H$13,$D75)*M75+p_gov_take*$G75+Q75+0*p_pricing*$J75</f>
        <v/>
      </c>
      <c r="S75" s="26">
        <f>INDEX(Calib!$Y$1:$Y$13,$D75)-INDEX(Calib!$Z$1:$Z$13,$D75)*(V74/O74-INDEX(Calib!$AA$1:$AA$13,$D75))</f>
        <v/>
      </c>
      <c r="T75" s="26">
        <f>INDEX(Calib!$X$1:$X$13,$D75)+INDEX(Calib!$G$1:$G$13,$D75)+P75+S75-R75</f>
        <v/>
      </c>
      <c r="U75" s="26">
        <f>p_rk*W74+Y74*(V74-W74)</f>
        <v/>
      </c>
      <c r="V75" s="26">
        <f>V74+U75+T75</f>
        <v/>
      </c>
      <c r="W75" s="26">
        <f>INDEX(Calib!$U$1:$U$13,$D75)+(W74-INDEX(Calib!$U$1:$U$13,$D75))*(1-p_amort)+p_sh_conc*P75</f>
        <v/>
      </c>
      <c r="X75" s="26">
        <f>V75/O75</f>
        <v/>
      </c>
      <c r="Y75" s="26">
        <f>INDEX(Calib!$K$1:$K$13,$D75)+p_eta*MAX(0,X75-INDEX(Calib!$AA$1:$AA$13,$D75))</f>
        <v/>
      </c>
      <c r="Z75" s="26">
        <f>(1-INDEX(Calib!$H$1:$H$13,$D75))*(1-p_alpha)*M75+S75</f>
        <v/>
      </c>
      <c r="AA75" s="26">
        <f>(1-p_delta_g)*AA74*(1-p_eps_g*$E75)+INDEX(Calib!$E$1:$E$13,$D75)*(INDEX(Calib!$G$1:$G$13,$D75)+p_programme*$H75)</f>
        <v/>
      </c>
      <c r="AB75" s="26">
        <f>AB74*(1-p_eps_k*$E75)+p_lambda_k*(AD75-AB74*(1-p_eps_k*$E75))</f>
        <v/>
      </c>
      <c r="AC75" s="26">
        <f>INDEX(Calib!$R$1:$R$13,$D75)*$F75*(AA74*(1-p_eps_g*$E75))^INDEX(Calib!$Q$1:$Q$13,$D75)*(AB74*(1-p_eps_k*$E75))^p_alpha</f>
        <v/>
      </c>
      <c r="AD75" s="26">
        <f>p_alpha*(1-INDEX(Calib!$H$1:$H$13,$D75))*AC75/(INDEX(Calib!$K$1:$K$13,$D75)+p_delta)</f>
        <v/>
      </c>
      <c r="AE75" s="26">
        <f>AC75+$G75</f>
        <v/>
      </c>
      <c r="AF75" s="26">
        <f>p_programme*($H75+$I75)</f>
        <v/>
      </c>
      <c r="AG75" s="26">
        <f>INDEX(Calib!$I$1:$I$13,$D75)+p_sh_grant*AF75</f>
        <v/>
      </c>
      <c r="AH75" s="26">
        <f>INDEX(Calib!$H$1:$H$13,$D75)*AC75+p_gov_take*$G75+AG75+p_programme*p_pricing*$J75</f>
        <v/>
      </c>
      <c r="AI75" s="26">
        <f>INDEX(Calib!$Y$1:$Y$13,$D75)-INDEX(Calib!$Z$1:$Z$13,$D75)*(AL74/AE74-INDEX(Calib!$AA$1:$AA$13,$D75))</f>
        <v/>
      </c>
      <c r="AJ75" s="26">
        <f>INDEX(Calib!$X$1:$X$13,$D75)+INDEX(Calib!$G$1:$G$13,$D75)+AF75+AI75-AH75</f>
        <v/>
      </c>
      <c r="AK75" s="26">
        <f>p_rk*AM74+AO74*(AL74-AM74)</f>
        <v/>
      </c>
      <c r="AL75" s="26">
        <f>AL74+AK75+AJ75</f>
        <v/>
      </c>
      <c r="AM75" s="26">
        <f>INDEX(Calib!$U$1:$U$13,$D75)+(AM74-INDEX(Calib!$U$1:$U$13,$D75))*(1-p_amort)+p_sh_conc*AF75</f>
        <v/>
      </c>
      <c r="AN75" s="26">
        <f>AL75/AE75</f>
        <v/>
      </c>
      <c r="AO75" s="26">
        <f>INDEX(Calib!$K$1:$K$13,$D75)+p_eta*MAX(0,AN75-INDEX(Calib!$AA$1:$AA$13,$D75))</f>
        <v/>
      </c>
      <c r="AP75" s="26">
        <f>(1-INDEX(Calib!$H$1:$H$13,$D75))*(1-p_alpha)*AC75+AI75</f>
        <v/>
      </c>
      <c r="AQ75" s="26">
        <f>(AE75/O75-1)*100</f>
        <v/>
      </c>
      <c r="AR75" s="26">
        <f>(AE75/AE56-1)*100</f>
        <v/>
      </c>
      <c r="AS75" s="26">
        <f>(O75/O56-1)*100</f>
        <v/>
      </c>
      <c r="AT75" s="26">
        <f>(AN75-X75)*100</f>
        <v/>
      </c>
      <c r="AU75" s="26">
        <f>(AP75/Z75-1)*100</f>
        <v/>
      </c>
      <c r="AV75" s="26">
        <f>(AI75-S75)*100</f>
        <v/>
      </c>
    </row>
    <row r="76">
      <c r="A76" s="25" t="inlineStr">
        <is>
          <t>UGA</t>
        </is>
      </c>
      <c r="B76" s="25" t="n">
        <v>2044</v>
      </c>
      <c r="C76" s="25" t="n">
        <v>20</v>
      </c>
      <c r="D76" s="25" t="n">
        <v>4</v>
      </c>
      <c r="E76" s="25">
        <f>IF(AND(p_dis_year&gt;0,B76=p_dis_year),1,0)</f>
        <v/>
      </c>
      <c r="F76" s="26">
        <f>IF(AND(p_dis_year&gt;0,B76&gt;=p_dis_year),1-p_eps_a*p_rho_a^(B76-p_dis_year),1)</f>
        <v/>
      </c>
      <c r="G76" s="26">
        <f>INDEX(Calib!$N$1:$N$13,$D76)*(1-p_rent_decline*MIN(1,C76/26))</f>
        <v/>
      </c>
      <c r="H76" s="26">
        <f>IF(C76=0,0,SUMIFS(dl_val,dl_iso,$A76,dl_ind,"pub_cap",dl_year,$B76)/100)</f>
        <v/>
      </c>
      <c r="I76" s="26">
        <f>IF(C76=0,0,SUMIFS(dl_val,dl_iso,$A76,dl_ind,"pub_spend",dl_year,$B76)/100)</f>
        <v/>
      </c>
      <c r="J76" s="26">
        <f>IF(C76=0,0,SUMIFS(dl_val,dl_iso,$A76,dl_ind,"rev",dl_year,$B76)/100)</f>
        <v/>
      </c>
      <c r="K76" s="26">
        <f>(1-p_delta_g)*K75*(1-p_eps_g*$E76)+INDEX(Calib!$E$1:$E$13,$D76)*(INDEX(Calib!$G$1:$G$13,$D76)+0*$H76)</f>
        <v/>
      </c>
      <c r="L76" s="26">
        <f>L75*(1-p_eps_k*$E76)+p_lambda_k*(N76-L75*(1-p_eps_k*$E76))</f>
        <v/>
      </c>
      <c r="M76" s="26">
        <f>INDEX(Calib!$R$1:$R$13,$D76)*$F76*(K75*(1-p_eps_g*$E76))^INDEX(Calib!$Q$1:$Q$13,$D76)*(L75*(1-p_eps_k*$E76))^p_alpha</f>
        <v/>
      </c>
      <c r="N76" s="26">
        <f>p_alpha*(1-INDEX(Calib!$H$1:$H$13,$D76))*M76/(INDEX(Calib!$K$1:$K$13,$D76)+p_delta)</f>
        <v/>
      </c>
      <c r="O76" s="26">
        <f>M76+$G76</f>
        <v/>
      </c>
      <c r="P76" s="26">
        <f>0*($H76+$I76)</f>
        <v/>
      </c>
      <c r="Q76" s="26">
        <f>INDEX(Calib!$I$1:$I$13,$D76)+p_sh_grant*P76</f>
        <v/>
      </c>
      <c r="R76" s="26">
        <f>INDEX(Calib!$H$1:$H$13,$D76)*M76+p_gov_take*$G76+Q76+0*p_pricing*$J76</f>
        <v/>
      </c>
      <c r="S76" s="26">
        <f>INDEX(Calib!$Y$1:$Y$13,$D76)-INDEX(Calib!$Z$1:$Z$13,$D76)*(V75/O75-INDEX(Calib!$AA$1:$AA$13,$D76))</f>
        <v/>
      </c>
      <c r="T76" s="26">
        <f>INDEX(Calib!$X$1:$X$13,$D76)+INDEX(Calib!$G$1:$G$13,$D76)+P76+S76-R76</f>
        <v/>
      </c>
      <c r="U76" s="26">
        <f>p_rk*W75+Y75*(V75-W75)</f>
        <v/>
      </c>
      <c r="V76" s="26">
        <f>V75+U76+T76</f>
        <v/>
      </c>
      <c r="W76" s="26">
        <f>INDEX(Calib!$U$1:$U$13,$D76)+(W75-INDEX(Calib!$U$1:$U$13,$D76))*(1-p_amort)+p_sh_conc*P76</f>
        <v/>
      </c>
      <c r="X76" s="26">
        <f>V76/O76</f>
        <v/>
      </c>
      <c r="Y76" s="26">
        <f>INDEX(Calib!$K$1:$K$13,$D76)+p_eta*MAX(0,X76-INDEX(Calib!$AA$1:$AA$13,$D76))</f>
        <v/>
      </c>
      <c r="Z76" s="26">
        <f>(1-INDEX(Calib!$H$1:$H$13,$D76))*(1-p_alpha)*M76+S76</f>
        <v/>
      </c>
      <c r="AA76" s="26">
        <f>(1-p_delta_g)*AA75*(1-p_eps_g*$E76)+INDEX(Calib!$E$1:$E$13,$D76)*(INDEX(Calib!$G$1:$G$13,$D76)+p_programme*$H76)</f>
        <v/>
      </c>
      <c r="AB76" s="26">
        <f>AB75*(1-p_eps_k*$E76)+p_lambda_k*(AD76-AB75*(1-p_eps_k*$E76))</f>
        <v/>
      </c>
      <c r="AC76" s="26">
        <f>INDEX(Calib!$R$1:$R$13,$D76)*$F76*(AA75*(1-p_eps_g*$E76))^INDEX(Calib!$Q$1:$Q$13,$D76)*(AB75*(1-p_eps_k*$E76))^p_alpha</f>
        <v/>
      </c>
      <c r="AD76" s="26">
        <f>p_alpha*(1-INDEX(Calib!$H$1:$H$13,$D76))*AC76/(INDEX(Calib!$K$1:$K$13,$D76)+p_delta)</f>
        <v/>
      </c>
      <c r="AE76" s="26">
        <f>AC76+$G76</f>
        <v/>
      </c>
      <c r="AF76" s="26">
        <f>p_programme*($H76+$I76)</f>
        <v/>
      </c>
      <c r="AG76" s="26">
        <f>INDEX(Calib!$I$1:$I$13,$D76)+p_sh_grant*AF76</f>
        <v/>
      </c>
      <c r="AH76" s="26">
        <f>INDEX(Calib!$H$1:$H$13,$D76)*AC76+p_gov_take*$G76+AG76+p_programme*p_pricing*$J76</f>
        <v/>
      </c>
      <c r="AI76" s="26">
        <f>INDEX(Calib!$Y$1:$Y$13,$D76)-INDEX(Calib!$Z$1:$Z$13,$D76)*(AL75/AE75-INDEX(Calib!$AA$1:$AA$13,$D76))</f>
        <v/>
      </c>
      <c r="AJ76" s="26">
        <f>INDEX(Calib!$X$1:$X$13,$D76)+INDEX(Calib!$G$1:$G$13,$D76)+AF76+AI76-AH76</f>
        <v/>
      </c>
      <c r="AK76" s="26">
        <f>p_rk*AM75+AO75*(AL75-AM75)</f>
        <v/>
      </c>
      <c r="AL76" s="26">
        <f>AL75+AK76+AJ76</f>
        <v/>
      </c>
      <c r="AM76" s="26">
        <f>INDEX(Calib!$U$1:$U$13,$D76)+(AM75-INDEX(Calib!$U$1:$U$13,$D76))*(1-p_amort)+p_sh_conc*AF76</f>
        <v/>
      </c>
      <c r="AN76" s="26">
        <f>AL76/AE76</f>
        <v/>
      </c>
      <c r="AO76" s="26">
        <f>INDEX(Calib!$K$1:$K$13,$D76)+p_eta*MAX(0,AN76-INDEX(Calib!$AA$1:$AA$13,$D76))</f>
        <v/>
      </c>
      <c r="AP76" s="26">
        <f>(1-INDEX(Calib!$H$1:$H$13,$D76))*(1-p_alpha)*AC76+AI76</f>
        <v/>
      </c>
      <c r="AQ76" s="26">
        <f>(AE76/O76-1)*100</f>
        <v/>
      </c>
      <c r="AR76" s="26">
        <f>(AE76/AE56-1)*100</f>
        <v/>
      </c>
      <c r="AS76" s="26">
        <f>(O76/O56-1)*100</f>
        <v/>
      </c>
      <c r="AT76" s="26">
        <f>(AN76-X76)*100</f>
        <v/>
      </c>
      <c r="AU76" s="26">
        <f>(AP76/Z76-1)*100</f>
        <v/>
      </c>
      <c r="AV76" s="26">
        <f>(AI76-S76)*100</f>
        <v/>
      </c>
    </row>
    <row r="77">
      <c r="A77" s="25" t="inlineStr">
        <is>
          <t>UGA</t>
        </is>
      </c>
      <c r="B77" s="25" t="n">
        <v>2045</v>
      </c>
      <c r="C77" s="25" t="n">
        <v>21</v>
      </c>
      <c r="D77" s="25" t="n">
        <v>4</v>
      </c>
      <c r="E77" s="25">
        <f>IF(AND(p_dis_year&gt;0,B77=p_dis_year),1,0)</f>
        <v/>
      </c>
      <c r="F77" s="26">
        <f>IF(AND(p_dis_year&gt;0,B77&gt;=p_dis_year),1-p_eps_a*p_rho_a^(B77-p_dis_year),1)</f>
        <v/>
      </c>
      <c r="G77" s="26">
        <f>INDEX(Calib!$N$1:$N$13,$D77)*(1-p_rent_decline*MIN(1,C77/26))</f>
        <v/>
      </c>
      <c r="H77" s="26">
        <f>IF(C77=0,0,SUMIFS(dl_val,dl_iso,$A77,dl_ind,"pub_cap",dl_year,$B77)/100)</f>
        <v/>
      </c>
      <c r="I77" s="26">
        <f>IF(C77=0,0,SUMIFS(dl_val,dl_iso,$A77,dl_ind,"pub_spend",dl_year,$B77)/100)</f>
        <v/>
      </c>
      <c r="J77" s="26">
        <f>IF(C77=0,0,SUMIFS(dl_val,dl_iso,$A77,dl_ind,"rev",dl_year,$B77)/100)</f>
        <v/>
      </c>
      <c r="K77" s="26">
        <f>(1-p_delta_g)*K76*(1-p_eps_g*$E77)+INDEX(Calib!$E$1:$E$13,$D77)*(INDEX(Calib!$G$1:$G$13,$D77)+0*$H77)</f>
        <v/>
      </c>
      <c r="L77" s="26">
        <f>L76*(1-p_eps_k*$E77)+p_lambda_k*(N77-L76*(1-p_eps_k*$E77))</f>
        <v/>
      </c>
      <c r="M77" s="26">
        <f>INDEX(Calib!$R$1:$R$13,$D77)*$F77*(K76*(1-p_eps_g*$E77))^INDEX(Calib!$Q$1:$Q$13,$D77)*(L76*(1-p_eps_k*$E77))^p_alpha</f>
        <v/>
      </c>
      <c r="N77" s="26">
        <f>p_alpha*(1-INDEX(Calib!$H$1:$H$13,$D77))*M77/(INDEX(Calib!$K$1:$K$13,$D77)+p_delta)</f>
        <v/>
      </c>
      <c r="O77" s="26">
        <f>M77+$G77</f>
        <v/>
      </c>
      <c r="P77" s="26">
        <f>0*($H77+$I77)</f>
        <v/>
      </c>
      <c r="Q77" s="26">
        <f>INDEX(Calib!$I$1:$I$13,$D77)+p_sh_grant*P77</f>
        <v/>
      </c>
      <c r="R77" s="26">
        <f>INDEX(Calib!$H$1:$H$13,$D77)*M77+p_gov_take*$G77+Q77+0*p_pricing*$J77</f>
        <v/>
      </c>
      <c r="S77" s="26">
        <f>INDEX(Calib!$Y$1:$Y$13,$D77)-INDEX(Calib!$Z$1:$Z$13,$D77)*(V76/O76-INDEX(Calib!$AA$1:$AA$13,$D77))</f>
        <v/>
      </c>
      <c r="T77" s="26">
        <f>INDEX(Calib!$X$1:$X$13,$D77)+INDEX(Calib!$G$1:$G$13,$D77)+P77+S77-R77</f>
        <v/>
      </c>
      <c r="U77" s="26">
        <f>p_rk*W76+Y76*(V76-W76)</f>
        <v/>
      </c>
      <c r="V77" s="26">
        <f>V76+U77+T77</f>
        <v/>
      </c>
      <c r="W77" s="26">
        <f>INDEX(Calib!$U$1:$U$13,$D77)+(W76-INDEX(Calib!$U$1:$U$13,$D77))*(1-p_amort)+p_sh_conc*P77</f>
        <v/>
      </c>
      <c r="X77" s="26">
        <f>V77/O77</f>
        <v/>
      </c>
      <c r="Y77" s="26">
        <f>INDEX(Calib!$K$1:$K$13,$D77)+p_eta*MAX(0,X77-INDEX(Calib!$AA$1:$AA$13,$D77))</f>
        <v/>
      </c>
      <c r="Z77" s="26">
        <f>(1-INDEX(Calib!$H$1:$H$13,$D77))*(1-p_alpha)*M77+S77</f>
        <v/>
      </c>
      <c r="AA77" s="26">
        <f>(1-p_delta_g)*AA76*(1-p_eps_g*$E77)+INDEX(Calib!$E$1:$E$13,$D77)*(INDEX(Calib!$G$1:$G$13,$D77)+p_programme*$H77)</f>
        <v/>
      </c>
      <c r="AB77" s="26">
        <f>AB76*(1-p_eps_k*$E77)+p_lambda_k*(AD77-AB76*(1-p_eps_k*$E77))</f>
        <v/>
      </c>
      <c r="AC77" s="26">
        <f>INDEX(Calib!$R$1:$R$13,$D77)*$F77*(AA76*(1-p_eps_g*$E77))^INDEX(Calib!$Q$1:$Q$13,$D77)*(AB76*(1-p_eps_k*$E77))^p_alpha</f>
        <v/>
      </c>
      <c r="AD77" s="26">
        <f>p_alpha*(1-INDEX(Calib!$H$1:$H$13,$D77))*AC77/(INDEX(Calib!$K$1:$K$13,$D77)+p_delta)</f>
        <v/>
      </c>
      <c r="AE77" s="26">
        <f>AC77+$G77</f>
        <v/>
      </c>
      <c r="AF77" s="26">
        <f>p_programme*($H77+$I77)</f>
        <v/>
      </c>
      <c r="AG77" s="26">
        <f>INDEX(Calib!$I$1:$I$13,$D77)+p_sh_grant*AF77</f>
        <v/>
      </c>
      <c r="AH77" s="26">
        <f>INDEX(Calib!$H$1:$H$13,$D77)*AC77+p_gov_take*$G77+AG77+p_programme*p_pricing*$J77</f>
        <v/>
      </c>
      <c r="AI77" s="26">
        <f>INDEX(Calib!$Y$1:$Y$13,$D77)-INDEX(Calib!$Z$1:$Z$13,$D77)*(AL76/AE76-INDEX(Calib!$AA$1:$AA$13,$D77))</f>
        <v/>
      </c>
      <c r="AJ77" s="26">
        <f>INDEX(Calib!$X$1:$X$13,$D77)+INDEX(Calib!$G$1:$G$13,$D77)+AF77+AI77-AH77</f>
        <v/>
      </c>
      <c r="AK77" s="26">
        <f>p_rk*AM76+AO76*(AL76-AM76)</f>
        <v/>
      </c>
      <c r="AL77" s="26">
        <f>AL76+AK77+AJ77</f>
        <v/>
      </c>
      <c r="AM77" s="26">
        <f>INDEX(Calib!$U$1:$U$13,$D77)+(AM76-INDEX(Calib!$U$1:$U$13,$D77))*(1-p_amort)+p_sh_conc*AF77</f>
        <v/>
      </c>
      <c r="AN77" s="26">
        <f>AL77/AE77</f>
        <v/>
      </c>
      <c r="AO77" s="26">
        <f>INDEX(Calib!$K$1:$K$13,$D77)+p_eta*MAX(0,AN77-INDEX(Calib!$AA$1:$AA$13,$D77))</f>
        <v/>
      </c>
      <c r="AP77" s="26">
        <f>(1-INDEX(Calib!$H$1:$H$13,$D77))*(1-p_alpha)*AC77+AI77</f>
        <v/>
      </c>
      <c r="AQ77" s="26">
        <f>(AE77/O77-1)*100</f>
        <v/>
      </c>
      <c r="AR77" s="26">
        <f>(AE77/AE56-1)*100</f>
        <v/>
      </c>
      <c r="AS77" s="26">
        <f>(O77/O56-1)*100</f>
        <v/>
      </c>
      <c r="AT77" s="26">
        <f>(AN77-X77)*100</f>
        <v/>
      </c>
      <c r="AU77" s="26">
        <f>(AP77/Z77-1)*100</f>
        <v/>
      </c>
      <c r="AV77" s="26">
        <f>(AI77-S77)*100</f>
        <v/>
      </c>
    </row>
    <row r="78">
      <c r="A78" s="25" t="inlineStr">
        <is>
          <t>UGA</t>
        </is>
      </c>
      <c r="B78" s="25" t="n">
        <v>2046</v>
      </c>
      <c r="C78" s="25" t="n">
        <v>22</v>
      </c>
      <c r="D78" s="25" t="n">
        <v>4</v>
      </c>
      <c r="E78" s="25">
        <f>IF(AND(p_dis_year&gt;0,B78=p_dis_year),1,0)</f>
        <v/>
      </c>
      <c r="F78" s="26">
        <f>IF(AND(p_dis_year&gt;0,B78&gt;=p_dis_year),1-p_eps_a*p_rho_a^(B78-p_dis_year),1)</f>
        <v/>
      </c>
      <c r="G78" s="26">
        <f>INDEX(Calib!$N$1:$N$13,$D78)*(1-p_rent_decline*MIN(1,C78/26))</f>
        <v/>
      </c>
      <c r="H78" s="26">
        <f>IF(C78=0,0,SUMIFS(dl_val,dl_iso,$A78,dl_ind,"pub_cap",dl_year,$B78)/100)</f>
        <v/>
      </c>
      <c r="I78" s="26">
        <f>IF(C78=0,0,SUMIFS(dl_val,dl_iso,$A78,dl_ind,"pub_spend",dl_year,$B78)/100)</f>
        <v/>
      </c>
      <c r="J78" s="26">
        <f>IF(C78=0,0,SUMIFS(dl_val,dl_iso,$A78,dl_ind,"rev",dl_year,$B78)/100)</f>
        <v/>
      </c>
      <c r="K78" s="26">
        <f>(1-p_delta_g)*K77*(1-p_eps_g*$E78)+INDEX(Calib!$E$1:$E$13,$D78)*(INDEX(Calib!$G$1:$G$13,$D78)+0*$H78)</f>
        <v/>
      </c>
      <c r="L78" s="26">
        <f>L77*(1-p_eps_k*$E78)+p_lambda_k*(N78-L77*(1-p_eps_k*$E78))</f>
        <v/>
      </c>
      <c r="M78" s="26">
        <f>INDEX(Calib!$R$1:$R$13,$D78)*$F78*(K77*(1-p_eps_g*$E78))^INDEX(Calib!$Q$1:$Q$13,$D78)*(L77*(1-p_eps_k*$E78))^p_alpha</f>
        <v/>
      </c>
      <c r="N78" s="26">
        <f>p_alpha*(1-INDEX(Calib!$H$1:$H$13,$D78))*M78/(INDEX(Calib!$K$1:$K$13,$D78)+p_delta)</f>
        <v/>
      </c>
      <c r="O78" s="26">
        <f>M78+$G78</f>
        <v/>
      </c>
      <c r="P78" s="26">
        <f>0*($H78+$I78)</f>
        <v/>
      </c>
      <c r="Q78" s="26">
        <f>INDEX(Calib!$I$1:$I$13,$D78)+p_sh_grant*P78</f>
        <v/>
      </c>
      <c r="R78" s="26">
        <f>INDEX(Calib!$H$1:$H$13,$D78)*M78+p_gov_take*$G78+Q78+0*p_pricing*$J78</f>
        <v/>
      </c>
      <c r="S78" s="26">
        <f>INDEX(Calib!$Y$1:$Y$13,$D78)-INDEX(Calib!$Z$1:$Z$13,$D78)*(V77/O77-INDEX(Calib!$AA$1:$AA$13,$D78))</f>
        <v/>
      </c>
      <c r="T78" s="26">
        <f>INDEX(Calib!$X$1:$X$13,$D78)+INDEX(Calib!$G$1:$G$13,$D78)+P78+S78-R78</f>
        <v/>
      </c>
      <c r="U78" s="26">
        <f>p_rk*W77+Y77*(V77-W77)</f>
        <v/>
      </c>
      <c r="V78" s="26">
        <f>V77+U78+T78</f>
        <v/>
      </c>
      <c r="W78" s="26">
        <f>INDEX(Calib!$U$1:$U$13,$D78)+(W77-INDEX(Calib!$U$1:$U$13,$D78))*(1-p_amort)+p_sh_conc*P78</f>
        <v/>
      </c>
      <c r="X78" s="26">
        <f>V78/O78</f>
        <v/>
      </c>
      <c r="Y78" s="26">
        <f>INDEX(Calib!$K$1:$K$13,$D78)+p_eta*MAX(0,X78-INDEX(Calib!$AA$1:$AA$13,$D78))</f>
        <v/>
      </c>
      <c r="Z78" s="26">
        <f>(1-INDEX(Calib!$H$1:$H$13,$D78))*(1-p_alpha)*M78+S78</f>
        <v/>
      </c>
      <c r="AA78" s="26">
        <f>(1-p_delta_g)*AA77*(1-p_eps_g*$E78)+INDEX(Calib!$E$1:$E$13,$D78)*(INDEX(Calib!$G$1:$G$13,$D78)+p_programme*$H78)</f>
        <v/>
      </c>
      <c r="AB78" s="26">
        <f>AB77*(1-p_eps_k*$E78)+p_lambda_k*(AD78-AB77*(1-p_eps_k*$E78))</f>
        <v/>
      </c>
      <c r="AC78" s="26">
        <f>INDEX(Calib!$R$1:$R$13,$D78)*$F78*(AA77*(1-p_eps_g*$E78))^INDEX(Calib!$Q$1:$Q$13,$D78)*(AB77*(1-p_eps_k*$E78))^p_alpha</f>
        <v/>
      </c>
      <c r="AD78" s="26">
        <f>p_alpha*(1-INDEX(Calib!$H$1:$H$13,$D78))*AC78/(INDEX(Calib!$K$1:$K$13,$D78)+p_delta)</f>
        <v/>
      </c>
      <c r="AE78" s="26">
        <f>AC78+$G78</f>
        <v/>
      </c>
      <c r="AF78" s="26">
        <f>p_programme*($H78+$I78)</f>
        <v/>
      </c>
      <c r="AG78" s="26">
        <f>INDEX(Calib!$I$1:$I$13,$D78)+p_sh_grant*AF78</f>
        <v/>
      </c>
      <c r="AH78" s="26">
        <f>INDEX(Calib!$H$1:$H$13,$D78)*AC78+p_gov_take*$G78+AG78+p_programme*p_pricing*$J78</f>
        <v/>
      </c>
      <c r="AI78" s="26">
        <f>INDEX(Calib!$Y$1:$Y$13,$D78)-INDEX(Calib!$Z$1:$Z$13,$D78)*(AL77/AE77-INDEX(Calib!$AA$1:$AA$13,$D78))</f>
        <v/>
      </c>
      <c r="AJ78" s="26">
        <f>INDEX(Calib!$X$1:$X$13,$D78)+INDEX(Calib!$G$1:$G$13,$D78)+AF78+AI78-AH78</f>
        <v/>
      </c>
      <c r="AK78" s="26">
        <f>p_rk*AM77+AO77*(AL77-AM77)</f>
        <v/>
      </c>
      <c r="AL78" s="26">
        <f>AL77+AK78+AJ78</f>
        <v/>
      </c>
      <c r="AM78" s="26">
        <f>INDEX(Calib!$U$1:$U$13,$D78)+(AM77-INDEX(Calib!$U$1:$U$13,$D78))*(1-p_amort)+p_sh_conc*AF78</f>
        <v/>
      </c>
      <c r="AN78" s="26">
        <f>AL78/AE78</f>
        <v/>
      </c>
      <c r="AO78" s="26">
        <f>INDEX(Calib!$K$1:$K$13,$D78)+p_eta*MAX(0,AN78-INDEX(Calib!$AA$1:$AA$13,$D78))</f>
        <v/>
      </c>
      <c r="AP78" s="26">
        <f>(1-INDEX(Calib!$H$1:$H$13,$D78))*(1-p_alpha)*AC78+AI78</f>
        <v/>
      </c>
      <c r="AQ78" s="26">
        <f>(AE78/O78-1)*100</f>
        <v/>
      </c>
      <c r="AR78" s="26">
        <f>(AE78/AE56-1)*100</f>
        <v/>
      </c>
      <c r="AS78" s="26">
        <f>(O78/O56-1)*100</f>
        <v/>
      </c>
      <c r="AT78" s="26">
        <f>(AN78-X78)*100</f>
        <v/>
      </c>
      <c r="AU78" s="26">
        <f>(AP78/Z78-1)*100</f>
        <v/>
      </c>
      <c r="AV78" s="26">
        <f>(AI78-S78)*100</f>
        <v/>
      </c>
    </row>
    <row r="79">
      <c r="A79" s="25" t="inlineStr">
        <is>
          <t>UGA</t>
        </is>
      </c>
      <c r="B79" s="25" t="n">
        <v>2047</v>
      </c>
      <c r="C79" s="25" t="n">
        <v>23</v>
      </c>
      <c r="D79" s="25" t="n">
        <v>4</v>
      </c>
      <c r="E79" s="25">
        <f>IF(AND(p_dis_year&gt;0,B79=p_dis_year),1,0)</f>
        <v/>
      </c>
      <c r="F79" s="26">
        <f>IF(AND(p_dis_year&gt;0,B79&gt;=p_dis_year),1-p_eps_a*p_rho_a^(B79-p_dis_year),1)</f>
        <v/>
      </c>
      <c r="G79" s="26">
        <f>INDEX(Calib!$N$1:$N$13,$D79)*(1-p_rent_decline*MIN(1,C79/26))</f>
        <v/>
      </c>
      <c r="H79" s="26">
        <f>IF(C79=0,0,SUMIFS(dl_val,dl_iso,$A79,dl_ind,"pub_cap",dl_year,$B79)/100)</f>
        <v/>
      </c>
      <c r="I79" s="26">
        <f>IF(C79=0,0,SUMIFS(dl_val,dl_iso,$A79,dl_ind,"pub_spend",dl_year,$B79)/100)</f>
        <v/>
      </c>
      <c r="J79" s="26">
        <f>IF(C79=0,0,SUMIFS(dl_val,dl_iso,$A79,dl_ind,"rev",dl_year,$B79)/100)</f>
        <v/>
      </c>
      <c r="K79" s="26">
        <f>(1-p_delta_g)*K78*(1-p_eps_g*$E79)+INDEX(Calib!$E$1:$E$13,$D79)*(INDEX(Calib!$G$1:$G$13,$D79)+0*$H79)</f>
        <v/>
      </c>
      <c r="L79" s="26">
        <f>L78*(1-p_eps_k*$E79)+p_lambda_k*(N79-L78*(1-p_eps_k*$E79))</f>
        <v/>
      </c>
      <c r="M79" s="26">
        <f>INDEX(Calib!$R$1:$R$13,$D79)*$F79*(K78*(1-p_eps_g*$E79))^INDEX(Calib!$Q$1:$Q$13,$D79)*(L78*(1-p_eps_k*$E79))^p_alpha</f>
        <v/>
      </c>
      <c r="N79" s="26">
        <f>p_alpha*(1-INDEX(Calib!$H$1:$H$13,$D79))*M79/(INDEX(Calib!$K$1:$K$13,$D79)+p_delta)</f>
        <v/>
      </c>
      <c r="O79" s="26">
        <f>M79+$G79</f>
        <v/>
      </c>
      <c r="P79" s="26">
        <f>0*($H79+$I79)</f>
        <v/>
      </c>
      <c r="Q79" s="26">
        <f>INDEX(Calib!$I$1:$I$13,$D79)+p_sh_grant*P79</f>
        <v/>
      </c>
      <c r="R79" s="26">
        <f>INDEX(Calib!$H$1:$H$13,$D79)*M79+p_gov_take*$G79+Q79+0*p_pricing*$J79</f>
        <v/>
      </c>
      <c r="S79" s="26">
        <f>INDEX(Calib!$Y$1:$Y$13,$D79)-INDEX(Calib!$Z$1:$Z$13,$D79)*(V78/O78-INDEX(Calib!$AA$1:$AA$13,$D79))</f>
        <v/>
      </c>
      <c r="T79" s="26">
        <f>INDEX(Calib!$X$1:$X$13,$D79)+INDEX(Calib!$G$1:$G$13,$D79)+P79+S79-R79</f>
        <v/>
      </c>
      <c r="U79" s="26">
        <f>p_rk*W78+Y78*(V78-W78)</f>
        <v/>
      </c>
      <c r="V79" s="26">
        <f>V78+U79+T79</f>
        <v/>
      </c>
      <c r="W79" s="26">
        <f>INDEX(Calib!$U$1:$U$13,$D79)+(W78-INDEX(Calib!$U$1:$U$13,$D79))*(1-p_amort)+p_sh_conc*P79</f>
        <v/>
      </c>
      <c r="X79" s="26">
        <f>V79/O79</f>
        <v/>
      </c>
      <c r="Y79" s="26">
        <f>INDEX(Calib!$K$1:$K$13,$D79)+p_eta*MAX(0,X79-INDEX(Calib!$AA$1:$AA$13,$D79))</f>
        <v/>
      </c>
      <c r="Z79" s="26">
        <f>(1-INDEX(Calib!$H$1:$H$13,$D79))*(1-p_alpha)*M79+S79</f>
        <v/>
      </c>
      <c r="AA79" s="26">
        <f>(1-p_delta_g)*AA78*(1-p_eps_g*$E79)+INDEX(Calib!$E$1:$E$13,$D79)*(INDEX(Calib!$G$1:$G$13,$D79)+p_programme*$H79)</f>
        <v/>
      </c>
      <c r="AB79" s="26">
        <f>AB78*(1-p_eps_k*$E79)+p_lambda_k*(AD79-AB78*(1-p_eps_k*$E79))</f>
        <v/>
      </c>
      <c r="AC79" s="26">
        <f>INDEX(Calib!$R$1:$R$13,$D79)*$F79*(AA78*(1-p_eps_g*$E79))^INDEX(Calib!$Q$1:$Q$13,$D79)*(AB78*(1-p_eps_k*$E79))^p_alpha</f>
        <v/>
      </c>
      <c r="AD79" s="26">
        <f>p_alpha*(1-INDEX(Calib!$H$1:$H$13,$D79))*AC79/(INDEX(Calib!$K$1:$K$13,$D79)+p_delta)</f>
        <v/>
      </c>
      <c r="AE79" s="26">
        <f>AC79+$G79</f>
        <v/>
      </c>
      <c r="AF79" s="26">
        <f>p_programme*($H79+$I79)</f>
        <v/>
      </c>
      <c r="AG79" s="26">
        <f>INDEX(Calib!$I$1:$I$13,$D79)+p_sh_grant*AF79</f>
        <v/>
      </c>
      <c r="AH79" s="26">
        <f>INDEX(Calib!$H$1:$H$13,$D79)*AC79+p_gov_take*$G79+AG79+p_programme*p_pricing*$J79</f>
        <v/>
      </c>
      <c r="AI79" s="26">
        <f>INDEX(Calib!$Y$1:$Y$13,$D79)-INDEX(Calib!$Z$1:$Z$13,$D79)*(AL78/AE78-INDEX(Calib!$AA$1:$AA$13,$D79))</f>
        <v/>
      </c>
      <c r="AJ79" s="26">
        <f>INDEX(Calib!$X$1:$X$13,$D79)+INDEX(Calib!$G$1:$G$13,$D79)+AF79+AI79-AH79</f>
        <v/>
      </c>
      <c r="AK79" s="26">
        <f>p_rk*AM78+AO78*(AL78-AM78)</f>
        <v/>
      </c>
      <c r="AL79" s="26">
        <f>AL78+AK79+AJ79</f>
        <v/>
      </c>
      <c r="AM79" s="26">
        <f>INDEX(Calib!$U$1:$U$13,$D79)+(AM78-INDEX(Calib!$U$1:$U$13,$D79))*(1-p_amort)+p_sh_conc*AF79</f>
        <v/>
      </c>
      <c r="AN79" s="26">
        <f>AL79/AE79</f>
        <v/>
      </c>
      <c r="AO79" s="26">
        <f>INDEX(Calib!$K$1:$K$13,$D79)+p_eta*MAX(0,AN79-INDEX(Calib!$AA$1:$AA$13,$D79))</f>
        <v/>
      </c>
      <c r="AP79" s="26">
        <f>(1-INDEX(Calib!$H$1:$H$13,$D79))*(1-p_alpha)*AC79+AI79</f>
        <v/>
      </c>
      <c r="AQ79" s="26">
        <f>(AE79/O79-1)*100</f>
        <v/>
      </c>
      <c r="AR79" s="26">
        <f>(AE79/AE56-1)*100</f>
        <v/>
      </c>
      <c r="AS79" s="26">
        <f>(O79/O56-1)*100</f>
        <v/>
      </c>
      <c r="AT79" s="26">
        <f>(AN79-X79)*100</f>
        <v/>
      </c>
      <c r="AU79" s="26">
        <f>(AP79/Z79-1)*100</f>
        <v/>
      </c>
      <c r="AV79" s="26">
        <f>(AI79-S79)*100</f>
        <v/>
      </c>
    </row>
    <row r="80">
      <c r="A80" s="25" t="inlineStr">
        <is>
          <t>UGA</t>
        </is>
      </c>
      <c r="B80" s="25" t="n">
        <v>2048</v>
      </c>
      <c r="C80" s="25" t="n">
        <v>24</v>
      </c>
      <c r="D80" s="25" t="n">
        <v>4</v>
      </c>
      <c r="E80" s="25">
        <f>IF(AND(p_dis_year&gt;0,B80=p_dis_year),1,0)</f>
        <v/>
      </c>
      <c r="F80" s="26">
        <f>IF(AND(p_dis_year&gt;0,B80&gt;=p_dis_year),1-p_eps_a*p_rho_a^(B80-p_dis_year),1)</f>
        <v/>
      </c>
      <c r="G80" s="26">
        <f>INDEX(Calib!$N$1:$N$13,$D80)*(1-p_rent_decline*MIN(1,C80/26))</f>
        <v/>
      </c>
      <c r="H80" s="26">
        <f>IF(C80=0,0,SUMIFS(dl_val,dl_iso,$A80,dl_ind,"pub_cap",dl_year,$B80)/100)</f>
        <v/>
      </c>
      <c r="I80" s="26">
        <f>IF(C80=0,0,SUMIFS(dl_val,dl_iso,$A80,dl_ind,"pub_spend",dl_year,$B80)/100)</f>
        <v/>
      </c>
      <c r="J80" s="26">
        <f>IF(C80=0,0,SUMIFS(dl_val,dl_iso,$A80,dl_ind,"rev",dl_year,$B80)/100)</f>
        <v/>
      </c>
      <c r="K80" s="26">
        <f>(1-p_delta_g)*K79*(1-p_eps_g*$E80)+INDEX(Calib!$E$1:$E$13,$D80)*(INDEX(Calib!$G$1:$G$13,$D80)+0*$H80)</f>
        <v/>
      </c>
      <c r="L80" s="26">
        <f>L79*(1-p_eps_k*$E80)+p_lambda_k*(N80-L79*(1-p_eps_k*$E80))</f>
        <v/>
      </c>
      <c r="M80" s="26">
        <f>INDEX(Calib!$R$1:$R$13,$D80)*$F80*(K79*(1-p_eps_g*$E80))^INDEX(Calib!$Q$1:$Q$13,$D80)*(L79*(1-p_eps_k*$E80))^p_alpha</f>
        <v/>
      </c>
      <c r="N80" s="26">
        <f>p_alpha*(1-INDEX(Calib!$H$1:$H$13,$D80))*M80/(INDEX(Calib!$K$1:$K$13,$D80)+p_delta)</f>
        <v/>
      </c>
      <c r="O80" s="26">
        <f>M80+$G80</f>
        <v/>
      </c>
      <c r="P80" s="26">
        <f>0*($H80+$I80)</f>
        <v/>
      </c>
      <c r="Q80" s="26">
        <f>INDEX(Calib!$I$1:$I$13,$D80)+p_sh_grant*P80</f>
        <v/>
      </c>
      <c r="R80" s="26">
        <f>INDEX(Calib!$H$1:$H$13,$D80)*M80+p_gov_take*$G80+Q80+0*p_pricing*$J80</f>
        <v/>
      </c>
      <c r="S80" s="26">
        <f>INDEX(Calib!$Y$1:$Y$13,$D80)-INDEX(Calib!$Z$1:$Z$13,$D80)*(V79/O79-INDEX(Calib!$AA$1:$AA$13,$D80))</f>
        <v/>
      </c>
      <c r="T80" s="26">
        <f>INDEX(Calib!$X$1:$X$13,$D80)+INDEX(Calib!$G$1:$G$13,$D80)+P80+S80-R80</f>
        <v/>
      </c>
      <c r="U80" s="26">
        <f>p_rk*W79+Y79*(V79-W79)</f>
        <v/>
      </c>
      <c r="V80" s="26">
        <f>V79+U80+T80</f>
        <v/>
      </c>
      <c r="W80" s="26">
        <f>INDEX(Calib!$U$1:$U$13,$D80)+(W79-INDEX(Calib!$U$1:$U$13,$D80))*(1-p_amort)+p_sh_conc*P80</f>
        <v/>
      </c>
      <c r="X80" s="26">
        <f>V80/O80</f>
        <v/>
      </c>
      <c r="Y80" s="26">
        <f>INDEX(Calib!$K$1:$K$13,$D80)+p_eta*MAX(0,X80-INDEX(Calib!$AA$1:$AA$13,$D80))</f>
        <v/>
      </c>
      <c r="Z80" s="26">
        <f>(1-INDEX(Calib!$H$1:$H$13,$D80))*(1-p_alpha)*M80+S80</f>
        <v/>
      </c>
      <c r="AA80" s="26">
        <f>(1-p_delta_g)*AA79*(1-p_eps_g*$E80)+INDEX(Calib!$E$1:$E$13,$D80)*(INDEX(Calib!$G$1:$G$13,$D80)+p_programme*$H80)</f>
        <v/>
      </c>
      <c r="AB80" s="26">
        <f>AB79*(1-p_eps_k*$E80)+p_lambda_k*(AD80-AB79*(1-p_eps_k*$E80))</f>
        <v/>
      </c>
      <c r="AC80" s="26">
        <f>INDEX(Calib!$R$1:$R$13,$D80)*$F80*(AA79*(1-p_eps_g*$E80))^INDEX(Calib!$Q$1:$Q$13,$D80)*(AB79*(1-p_eps_k*$E80))^p_alpha</f>
        <v/>
      </c>
      <c r="AD80" s="26">
        <f>p_alpha*(1-INDEX(Calib!$H$1:$H$13,$D80))*AC80/(INDEX(Calib!$K$1:$K$13,$D80)+p_delta)</f>
        <v/>
      </c>
      <c r="AE80" s="26">
        <f>AC80+$G80</f>
        <v/>
      </c>
      <c r="AF80" s="26">
        <f>p_programme*($H80+$I80)</f>
        <v/>
      </c>
      <c r="AG80" s="26">
        <f>INDEX(Calib!$I$1:$I$13,$D80)+p_sh_grant*AF80</f>
        <v/>
      </c>
      <c r="AH80" s="26">
        <f>INDEX(Calib!$H$1:$H$13,$D80)*AC80+p_gov_take*$G80+AG80+p_programme*p_pricing*$J80</f>
        <v/>
      </c>
      <c r="AI80" s="26">
        <f>INDEX(Calib!$Y$1:$Y$13,$D80)-INDEX(Calib!$Z$1:$Z$13,$D80)*(AL79/AE79-INDEX(Calib!$AA$1:$AA$13,$D80))</f>
        <v/>
      </c>
      <c r="AJ80" s="26">
        <f>INDEX(Calib!$X$1:$X$13,$D80)+INDEX(Calib!$G$1:$G$13,$D80)+AF80+AI80-AH80</f>
        <v/>
      </c>
      <c r="AK80" s="26">
        <f>p_rk*AM79+AO79*(AL79-AM79)</f>
        <v/>
      </c>
      <c r="AL80" s="26">
        <f>AL79+AK80+AJ80</f>
        <v/>
      </c>
      <c r="AM80" s="26">
        <f>INDEX(Calib!$U$1:$U$13,$D80)+(AM79-INDEX(Calib!$U$1:$U$13,$D80))*(1-p_amort)+p_sh_conc*AF80</f>
        <v/>
      </c>
      <c r="AN80" s="26">
        <f>AL80/AE80</f>
        <v/>
      </c>
      <c r="AO80" s="26">
        <f>INDEX(Calib!$K$1:$K$13,$D80)+p_eta*MAX(0,AN80-INDEX(Calib!$AA$1:$AA$13,$D80))</f>
        <v/>
      </c>
      <c r="AP80" s="26">
        <f>(1-INDEX(Calib!$H$1:$H$13,$D80))*(1-p_alpha)*AC80+AI80</f>
        <v/>
      </c>
      <c r="AQ80" s="26">
        <f>(AE80/O80-1)*100</f>
        <v/>
      </c>
      <c r="AR80" s="26">
        <f>(AE80/AE56-1)*100</f>
        <v/>
      </c>
      <c r="AS80" s="26">
        <f>(O80/O56-1)*100</f>
        <v/>
      </c>
      <c r="AT80" s="26">
        <f>(AN80-X80)*100</f>
        <v/>
      </c>
      <c r="AU80" s="26">
        <f>(AP80/Z80-1)*100</f>
        <v/>
      </c>
      <c r="AV80" s="26">
        <f>(AI80-S80)*100</f>
        <v/>
      </c>
    </row>
    <row r="81">
      <c r="A81" s="25" t="inlineStr">
        <is>
          <t>UGA</t>
        </is>
      </c>
      <c r="B81" s="25" t="n">
        <v>2049</v>
      </c>
      <c r="C81" s="25" t="n">
        <v>25</v>
      </c>
      <c r="D81" s="25" t="n">
        <v>4</v>
      </c>
      <c r="E81" s="25">
        <f>IF(AND(p_dis_year&gt;0,B81=p_dis_year),1,0)</f>
        <v/>
      </c>
      <c r="F81" s="26">
        <f>IF(AND(p_dis_year&gt;0,B81&gt;=p_dis_year),1-p_eps_a*p_rho_a^(B81-p_dis_year),1)</f>
        <v/>
      </c>
      <c r="G81" s="26">
        <f>INDEX(Calib!$N$1:$N$13,$D81)*(1-p_rent_decline*MIN(1,C81/26))</f>
        <v/>
      </c>
      <c r="H81" s="26">
        <f>IF(C81=0,0,SUMIFS(dl_val,dl_iso,$A81,dl_ind,"pub_cap",dl_year,$B81)/100)</f>
        <v/>
      </c>
      <c r="I81" s="26">
        <f>IF(C81=0,0,SUMIFS(dl_val,dl_iso,$A81,dl_ind,"pub_spend",dl_year,$B81)/100)</f>
        <v/>
      </c>
      <c r="J81" s="26">
        <f>IF(C81=0,0,SUMIFS(dl_val,dl_iso,$A81,dl_ind,"rev",dl_year,$B81)/100)</f>
        <v/>
      </c>
      <c r="K81" s="26">
        <f>(1-p_delta_g)*K80*(1-p_eps_g*$E81)+INDEX(Calib!$E$1:$E$13,$D81)*(INDEX(Calib!$G$1:$G$13,$D81)+0*$H81)</f>
        <v/>
      </c>
      <c r="L81" s="26">
        <f>L80*(1-p_eps_k*$E81)+p_lambda_k*(N81-L80*(1-p_eps_k*$E81))</f>
        <v/>
      </c>
      <c r="M81" s="26">
        <f>INDEX(Calib!$R$1:$R$13,$D81)*$F81*(K80*(1-p_eps_g*$E81))^INDEX(Calib!$Q$1:$Q$13,$D81)*(L80*(1-p_eps_k*$E81))^p_alpha</f>
        <v/>
      </c>
      <c r="N81" s="26">
        <f>p_alpha*(1-INDEX(Calib!$H$1:$H$13,$D81))*M81/(INDEX(Calib!$K$1:$K$13,$D81)+p_delta)</f>
        <v/>
      </c>
      <c r="O81" s="26">
        <f>M81+$G81</f>
        <v/>
      </c>
      <c r="P81" s="26">
        <f>0*($H81+$I81)</f>
        <v/>
      </c>
      <c r="Q81" s="26">
        <f>INDEX(Calib!$I$1:$I$13,$D81)+p_sh_grant*P81</f>
        <v/>
      </c>
      <c r="R81" s="26">
        <f>INDEX(Calib!$H$1:$H$13,$D81)*M81+p_gov_take*$G81+Q81+0*p_pricing*$J81</f>
        <v/>
      </c>
      <c r="S81" s="26">
        <f>INDEX(Calib!$Y$1:$Y$13,$D81)-INDEX(Calib!$Z$1:$Z$13,$D81)*(V80/O80-INDEX(Calib!$AA$1:$AA$13,$D81))</f>
        <v/>
      </c>
      <c r="T81" s="26">
        <f>INDEX(Calib!$X$1:$X$13,$D81)+INDEX(Calib!$G$1:$G$13,$D81)+P81+S81-R81</f>
        <v/>
      </c>
      <c r="U81" s="26">
        <f>p_rk*W80+Y80*(V80-W80)</f>
        <v/>
      </c>
      <c r="V81" s="26">
        <f>V80+U81+T81</f>
        <v/>
      </c>
      <c r="W81" s="26">
        <f>INDEX(Calib!$U$1:$U$13,$D81)+(W80-INDEX(Calib!$U$1:$U$13,$D81))*(1-p_amort)+p_sh_conc*P81</f>
        <v/>
      </c>
      <c r="X81" s="26">
        <f>V81/O81</f>
        <v/>
      </c>
      <c r="Y81" s="26">
        <f>INDEX(Calib!$K$1:$K$13,$D81)+p_eta*MAX(0,X81-INDEX(Calib!$AA$1:$AA$13,$D81))</f>
        <v/>
      </c>
      <c r="Z81" s="26">
        <f>(1-INDEX(Calib!$H$1:$H$13,$D81))*(1-p_alpha)*M81+S81</f>
        <v/>
      </c>
      <c r="AA81" s="26">
        <f>(1-p_delta_g)*AA80*(1-p_eps_g*$E81)+INDEX(Calib!$E$1:$E$13,$D81)*(INDEX(Calib!$G$1:$G$13,$D81)+p_programme*$H81)</f>
        <v/>
      </c>
      <c r="AB81" s="26">
        <f>AB80*(1-p_eps_k*$E81)+p_lambda_k*(AD81-AB80*(1-p_eps_k*$E81))</f>
        <v/>
      </c>
      <c r="AC81" s="26">
        <f>INDEX(Calib!$R$1:$R$13,$D81)*$F81*(AA80*(1-p_eps_g*$E81))^INDEX(Calib!$Q$1:$Q$13,$D81)*(AB80*(1-p_eps_k*$E81))^p_alpha</f>
        <v/>
      </c>
      <c r="AD81" s="26">
        <f>p_alpha*(1-INDEX(Calib!$H$1:$H$13,$D81))*AC81/(INDEX(Calib!$K$1:$K$13,$D81)+p_delta)</f>
        <v/>
      </c>
      <c r="AE81" s="26">
        <f>AC81+$G81</f>
        <v/>
      </c>
      <c r="AF81" s="26">
        <f>p_programme*($H81+$I81)</f>
        <v/>
      </c>
      <c r="AG81" s="26">
        <f>INDEX(Calib!$I$1:$I$13,$D81)+p_sh_grant*AF81</f>
        <v/>
      </c>
      <c r="AH81" s="26">
        <f>INDEX(Calib!$H$1:$H$13,$D81)*AC81+p_gov_take*$G81+AG81+p_programme*p_pricing*$J81</f>
        <v/>
      </c>
      <c r="AI81" s="26">
        <f>INDEX(Calib!$Y$1:$Y$13,$D81)-INDEX(Calib!$Z$1:$Z$13,$D81)*(AL80/AE80-INDEX(Calib!$AA$1:$AA$13,$D81))</f>
        <v/>
      </c>
      <c r="AJ81" s="26">
        <f>INDEX(Calib!$X$1:$X$13,$D81)+INDEX(Calib!$G$1:$G$13,$D81)+AF81+AI81-AH81</f>
        <v/>
      </c>
      <c r="AK81" s="26">
        <f>p_rk*AM80+AO80*(AL80-AM80)</f>
        <v/>
      </c>
      <c r="AL81" s="26">
        <f>AL80+AK81+AJ81</f>
        <v/>
      </c>
      <c r="AM81" s="26">
        <f>INDEX(Calib!$U$1:$U$13,$D81)+(AM80-INDEX(Calib!$U$1:$U$13,$D81))*(1-p_amort)+p_sh_conc*AF81</f>
        <v/>
      </c>
      <c r="AN81" s="26">
        <f>AL81/AE81</f>
        <v/>
      </c>
      <c r="AO81" s="26">
        <f>INDEX(Calib!$K$1:$K$13,$D81)+p_eta*MAX(0,AN81-INDEX(Calib!$AA$1:$AA$13,$D81))</f>
        <v/>
      </c>
      <c r="AP81" s="26">
        <f>(1-INDEX(Calib!$H$1:$H$13,$D81))*(1-p_alpha)*AC81+AI81</f>
        <v/>
      </c>
      <c r="AQ81" s="26">
        <f>(AE81/O81-1)*100</f>
        <v/>
      </c>
      <c r="AR81" s="26">
        <f>(AE81/AE56-1)*100</f>
        <v/>
      </c>
      <c r="AS81" s="26">
        <f>(O81/O56-1)*100</f>
        <v/>
      </c>
      <c r="AT81" s="26">
        <f>(AN81-X81)*100</f>
        <v/>
      </c>
      <c r="AU81" s="26">
        <f>(AP81/Z81-1)*100</f>
        <v/>
      </c>
      <c r="AV81" s="26">
        <f>(AI81-S81)*100</f>
        <v/>
      </c>
    </row>
    <row r="82">
      <c r="A82" s="25" t="inlineStr">
        <is>
          <t>UGA</t>
        </is>
      </c>
      <c r="B82" s="25" t="n">
        <v>2050</v>
      </c>
      <c r="C82" s="25" t="n">
        <v>26</v>
      </c>
      <c r="D82" s="25" t="n">
        <v>4</v>
      </c>
      <c r="E82" s="25">
        <f>IF(AND(p_dis_year&gt;0,B82=p_dis_year),1,0)</f>
        <v/>
      </c>
      <c r="F82" s="26">
        <f>IF(AND(p_dis_year&gt;0,B82&gt;=p_dis_year),1-p_eps_a*p_rho_a^(B82-p_dis_year),1)</f>
        <v/>
      </c>
      <c r="G82" s="26">
        <f>INDEX(Calib!$N$1:$N$13,$D82)*(1-p_rent_decline*MIN(1,C82/26))</f>
        <v/>
      </c>
      <c r="H82" s="26">
        <f>IF(C82=0,0,SUMIFS(dl_val,dl_iso,$A82,dl_ind,"pub_cap",dl_year,$B82)/100)</f>
        <v/>
      </c>
      <c r="I82" s="26">
        <f>IF(C82=0,0,SUMIFS(dl_val,dl_iso,$A82,dl_ind,"pub_spend",dl_year,$B82)/100)</f>
        <v/>
      </c>
      <c r="J82" s="26">
        <f>IF(C82=0,0,SUMIFS(dl_val,dl_iso,$A82,dl_ind,"rev",dl_year,$B82)/100)</f>
        <v/>
      </c>
      <c r="K82" s="26">
        <f>(1-p_delta_g)*K81*(1-p_eps_g*$E82)+INDEX(Calib!$E$1:$E$13,$D82)*(INDEX(Calib!$G$1:$G$13,$D82)+0*$H82)</f>
        <v/>
      </c>
      <c r="L82" s="26">
        <f>L81*(1-p_eps_k*$E82)+p_lambda_k*(N82-L81*(1-p_eps_k*$E82))</f>
        <v/>
      </c>
      <c r="M82" s="26">
        <f>INDEX(Calib!$R$1:$R$13,$D82)*$F82*(K81*(1-p_eps_g*$E82))^INDEX(Calib!$Q$1:$Q$13,$D82)*(L81*(1-p_eps_k*$E82))^p_alpha</f>
        <v/>
      </c>
      <c r="N82" s="26">
        <f>p_alpha*(1-INDEX(Calib!$H$1:$H$13,$D82))*M82/(INDEX(Calib!$K$1:$K$13,$D82)+p_delta)</f>
        <v/>
      </c>
      <c r="O82" s="26">
        <f>M82+$G82</f>
        <v/>
      </c>
      <c r="P82" s="26">
        <f>0*($H82+$I82)</f>
        <v/>
      </c>
      <c r="Q82" s="26">
        <f>INDEX(Calib!$I$1:$I$13,$D82)+p_sh_grant*P82</f>
        <v/>
      </c>
      <c r="R82" s="26">
        <f>INDEX(Calib!$H$1:$H$13,$D82)*M82+p_gov_take*$G82+Q82+0*p_pricing*$J82</f>
        <v/>
      </c>
      <c r="S82" s="26">
        <f>INDEX(Calib!$Y$1:$Y$13,$D82)-INDEX(Calib!$Z$1:$Z$13,$D82)*(V81/O81-INDEX(Calib!$AA$1:$AA$13,$D82))</f>
        <v/>
      </c>
      <c r="T82" s="26">
        <f>INDEX(Calib!$X$1:$X$13,$D82)+INDEX(Calib!$G$1:$G$13,$D82)+P82+S82-R82</f>
        <v/>
      </c>
      <c r="U82" s="26">
        <f>p_rk*W81+Y81*(V81-W81)</f>
        <v/>
      </c>
      <c r="V82" s="26">
        <f>V81+U82+T82</f>
        <v/>
      </c>
      <c r="W82" s="26">
        <f>INDEX(Calib!$U$1:$U$13,$D82)+(W81-INDEX(Calib!$U$1:$U$13,$D82))*(1-p_amort)+p_sh_conc*P82</f>
        <v/>
      </c>
      <c r="X82" s="26">
        <f>V82/O82</f>
        <v/>
      </c>
      <c r="Y82" s="26">
        <f>INDEX(Calib!$K$1:$K$13,$D82)+p_eta*MAX(0,X82-INDEX(Calib!$AA$1:$AA$13,$D82))</f>
        <v/>
      </c>
      <c r="Z82" s="26">
        <f>(1-INDEX(Calib!$H$1:$H$13,$D82))*(1-p_alpha)*M82+S82</f>
        <v/>
      </c>
      <c r="AA82" s="26">
        <f>(1-p_delta_g)*AA81*(1-p_eps_g*$E82)+INDEX(Calib!$E$1:$E$13,$D82)*(INDEX(Calib!$G$1:$G$13,$D82)+p_programme*$H82)</f>
        <v/>
      </c>
      <c r="AB82" s="26">
        <f>AB81*(1-p_eps_k*$E82)+p_lambda_k*(AD82-AB81*(1-p_eps_k*$E82))</f>
        <v/>
      </c>
      <c r="AC82" s="26">
        <f>INDEX(Calib!$R$1:$R$13,$D82)*$F82*(AA81*(1-p_eps_g*$E82))^INDEX(Calib!$Q$1:$Q$13,$D82)*(AB81*(1-p_eps_k*$E82))^p_alpha</f>
        <v/>
      </c>
      <c r="AD82" s="26">
        <f>p_alpha*(1-INDEX(Calib!$H$1:$H$13,$D82))*AC82/(INDEX(Calib!$K$1:$K$13,$D82)+p_delta)</f>
        <v/>
      </c>
      <c r="AE82" s="26">
        <f>AC82+$G82</f>
        <v/>
      </c>
      <c r="AF82" s="26">
        <f>p_programme*($H82+$I82)</f>
        <v/>
      </c>
      <c r="AG82" s="26">
        <f>INDEX(Calib!$I$1:$I$13,$D82)+p_sh_grant*AF82</f>
        <v/>
      </c>
      <c r="AH82" s="26">
        <f>INDEX(Calib!$H$1:$H$13,$D82)*AC82+p_gov_take*$G82+AG82+p_programme*p_pricing*$J82</f>
        <v/>
      </c>
      <c r="AI82" s="26">
        <f>INDEX(Calib!$Y$1:$Y$13,$D82)-INDEX(Calib!$Z$1:$Z$13,$D82)*(AL81/AE81-INDEX(Calib!$AA$1:$AA$13,$D82))</f>
        <v/>
      </c>
      <c r="AJ82" s="26">
        <f>INDEX(Calib!$X$1:$X$13,$D82)+INDEX(Calib!$G$1:$G$13,$D82)+AF82+AI82-AH82</f>
        <v/>
      </c>
      <c r="AK82" s="26">
        <f>p_rk*AM81+AO81*(AL81-AM81)</f>
        <v/>
      </c>
      <c r="AL82" s="26">
        <f>AL81+AK82+AJ82</f>
        <v/>
      </c>
      <c r="AM82" s="26">
        <f>INDEX(Calib!$U$1:$U$13,$D82)+(AM81-INDEX(Calib!$U$1:$U$13,$D82))*(1-p_amort)+p_sh_conc*AF82</f>
        <v/>
      </c>
      <c r="AN82" s="26">
        <f>AL82/AE82</f>
        <v/>
      </c>
      <c r="AO82" s="26">
        <f>INDEX(Calib!$K$1:$K$13,$D82)+p_eta*MAX(0,AN82-INDEX(Calib!$AA$1:$AA$13,$D82))</f>
        <v/>
      </c>
      <c r="AP82" s="26">
        <f>(1-INDEX(Calib!$H$1:$H$13,$D82))*(1-p_alpha)*AC82+AI82</f>
        <v/>
      </c>
      <c r="AQ82" s="26">
        <f>(AE82/O82-1)*100</f>
        <v/>
      </c>
      <c r="AR82" s="26">
        <f>(AE82/AE56-1)*100</f>
        <v/>
      </c>
      <c r="AS82" s="26">
        <f>(O82/O56-1)*100</f>
        <v/>
      </c>
      <c r="AT82" s="26">
        <f>(AN82-X82)*100</f>
        <v/>
      </c>
      <c r="AU82" s="26">
        <f>(AP82/Z82-1)*100</f>
        <v/>
      </c>
      <c r="AV82" s="26">
        <f>(AI82-S82)*100</f>
        <v/>
      </c>
    </row>
    <row r="83">
      <c r="A83" s="25" t="inlineStr">
        <is>
          <t>LBR</t>
        </is>
      </c>
      <c r="B83" s="25" t="n">
        <v>2024</v>
      </c>
      <c r="C83" s="25" t="n">
        <v>0</v>
      </c>
      <c r="D83" s="25" t="n">
        <v>5</v>
      </c>
      <c r="E83" s="25">
        <f>IF(AND(p_dis_year&gt;0,B83=p_dis_year),1,0)</f>
        <v/>
      </c>
      <c r="F83" s="26">
        <f>IF(AND(p_dis_year&gt;0,B83&gt;=p_dis_year),1-p_eps_a*p_rho_a^(B83-p_dis_year),1)</f>
        <v/>
      </c>
      <c r="G83" s="26">
        <f>INDEX(Calib!$N$1:$N$13,$D83)*(1-p_rent_decline*MIN(1,C83/26))</f>
        <v/>
      </c>
      <c r="H83" s="26">
        <f>IF(C83=0,0,SUMIFS(dl_val,dl_iso,$A83,dl_ind,"pub_cap",dl_year,$B83)/100)</f>
        <v/>
      </c>
      <c r="I83" s="26">
        <f>IF(C83=0,0,SUMIFS(dl_val,dl_iso,$A83,dl_ind,"pub_spend",dl_year,$B83)/100)</f>
        <v/>
      </c>
      <c r="J83" s="26">
        <f>IF(C83=0,0,SUMIFS(dl_val,dl_iso,$A83,dl_ind,"rev",dl_year,$B83)/100)</f>
        <v/>
      </c>
      <c r="K83" s="26">
        <f>INDEX(Calib!$P$1:$P$13,$D83)</f>
        <v/>
      </c>
      <c r="L83" s="26">
        <f>INDEX(Calib!$O$1:$O$13,$D83)</f>
        <v/>
      </c>
      <c r="M83" s="26">
        <f>1</f>
        <v/>
      </c>
      <c r="N83" s="26">
        <f>INDEX(Calib!$O$1:$O$13,$D83)</f>
        <v/>
      </c>
      <c r="O83" s="26">
        <f>INDEX(Calib!$S$1:$S$13,$D83)</f>
        <v/>
      </c>
      <c r="P83" s="26">
        <f>0</f>
        <v/>
      </c>
      <c r="Q83" s="26">
        <f>INDEX(Calib!$I$1:$I$13,$D83)</f>
        <v/>
      </c>
      <c r="R83" s="26">
        <f>INDEX(Calib!$W$1:$W$13,$D83)</f>
        <v/>
      </c>
      <c r="S83" s="26">
        <f>INDEX(Calib!$Y$1:$Y$13,$D83)</f>
        <v/>
      </c>
      <c r="T83" s="26">
        <f>-INDEX(Calib!$V$1:$V$13,$D83)</f>
        <v/>
      </c>
      <c r="U83" s="26">
        <f>INDEX(Calib!$V$1:$V$13,$D83)</f>
        <v/>
      </c>
      <c r="V83" s="26">
        <f>INDEX(Calib!$T$1:$T$13,$D83)</f>
        <v/>
      </c>
      <c r="W83" s="26">
        <f>INDEX(Calib!$U$1:$U$13,$D83)</f>
        <v/>
      </c>
      <c r="X83" s="26">
        <f>V83/O83</f>
        <v/>
      </c>
      <c r="Y83" s="26">
        <f>INDEX(Calib!$K$1:$K$13,$D83)</f>
        <v/>
      </c>
      <c r="Z83" s="26">
        <f>(1-INDEX(Calib!$H$1:$H$13,$D83))*(1-p_alpha)*M83+S83</f>
        <v/>
      </c>
      <c r="AA83" s="26">
        <f>INDEX(Calib!$P$1:$P$13,$D83)</f>
        <v/>
      </c>
      <c r="AB83" s="26">
        <f>INDEX(Calib!$O$1:$O$13,$D83)</f>
        <v/>
      </c>
      <c r="AC83" s="26">
        <f>1</f>
        <v/>
      </c>
      <c r="AD83" s="26">
        <f>INDEX(Calib!$O$1:$O$13,$D83)</f>
        <v/>
      </c>
      <c r="AE83" s="26">
        <f>INDEX(Calib!$S$1:$S$13,$D83)</f>
        <v/>
      </c>
      <c r="AF83" s="26">
        <f>0</f>
        <v/>
      </c>
      <c r="AG83" s="26">
        <f>INDEX(Calib!$I$1:$I$13,$D83)</f>
        <v/>
      </c>
      <c r="AH83" s="26">
        <f>INDEX(Calib!$W$1:$W$13,$D83)</f>
        <v/>
      </c>
      <c r="AI83" s="26">
        <f>INDEX(Calib!$Y$1:$Y$13,$D83)</f>
        <v/>
      </c>
      <c r="AJ83" s="26">
        <f>-INDEX(Calib!$V$1:$V$13,$D83)</f>
        <v/>
      </c>
      <c r="AK83" s="26">
        <f>INDEX(Calib!$V$1:$V$13,$D83)</f>
        <v/>
      </c>
      <c r="AL83" s="26">
        <f>INDEX(Calib!$T$1:$T$13,$D83)</f>
        <v/>
      </c>
      <c r="AM83" s="26">
        <f>INDEX(Calib!$U$1:$U$13,$D83)</f>
        <v/>
      </c>
      <c r="AN83" s="26">
        <f>AL83/AE83</f>
        <v/>
      </c>
      <c r="AO83" s="26">
        <f>INDEX(Calib!$K$1:$K$13,$D83)</f>
        <v/>
      </c>
      <c r="AP83" s="26">
        <f>(1-INDEX(Calib!$H$1:$H$13,$D83))*(1-p_alpha)*AC83+AI83</f>
        <v/>
      </c>
      <c r="AQ83" s="26">
        <f>(AE83/O83-1)*100</f>
        <v/>
      </c>
      <c r="AR83" s="26">
        <f>(AE83/AE83-1)*100</f>
        <v/>
      </c>
      <c r="AS83" s="26">
        <f>(O83/O83-1)*100</f>
        <v/>
      </c>
      <c r="AT83" s="26">
        <f>(AN83-X83)*100</f>
        <v/>
      </c>
      <c r="AU83" s="26">
        <f>(AP83/Z83-1)*100</f>
        <v/>
      </c>
      <c r="AV83" s="26">
        <f>(AI83-S83)*100</f>
        <v/>
      </c>
    </row>
    <row r="84">
      <c r="A84" s="25" t="inlineStr">
        <is>
          <t>LBR</t>
        </is>
      </c>
      <c r="B84" s="25" t="n">
        <v>2025</v>
      </c>
      <c r="C84" s="25" t="n">
        <v>1</v>
      </c>
      <c r="D84" s="25" t="n">
        <v>5</v>
      </c>
      <c r="E84" s="25">
        <f>IF(AND(p_dis_year&gt;0,B84=p_dis_year),1,0)</f>
        <v/>
      </c>
      <c r="F84" s="26">
        <f>IF(AND(p_dis_year&gt;0,B84&gt;=p_dis_year),1-p_eps_a*p_rho_a^(B84-p_dis_year),1)</f>
        <v/>
      </c>
      <c r="G84" s="26">
        <f>INDEX(Calib!$N$1:$N$13,$D84)*(1-p_rent_decline*MIN(1,C84/26))</f>
        <v/>
      </c>
      <c r="H84" s="26">
        <f>IF(C84=0,0,SUMIFS(dl_val,dl_iso,$A84,dl_ind,"pub_cap",dl_year,$B84)/100)</f>
        <v/>
      </c>
      <c r="I84" s="26">
        <f>IF(C84=0,0,SUMIFS(dl_val,dl_iso,$A84,dl_ind,"pub_spend",dl_year,$B84)/100)</f>
        <v/>
      </c>
      <c r="J84" s="26">
        <f>IF(C84=0,0,SUMIFS(dl_val,dl_iso,$A84,dl_ind,"rev",dl_year,$B84)/100)</f>
        <v/>
      </c>
      <c r="K84" s="26">
        <f>(1-p_delta_g)*K83*(1-p_eps_g*$E84)+INDEX(Calib!$E$1:$E$13,$D84)*(INDEX(Calib!$G$1:$G$13,$D84)+0*$H84)</f>
        <v/>
      </c>
      <c r="L84" s="26">
        <f>L83*(1-p_eps_k*$E84)+p_lambda_k*(N84-L83*(1-p_eps_k*$E84))</f>
        <v/>
      </c>
      <c r="M84" s="26">
        <f>INDEX(Calib!$R$1:$R$13,$D84)*$F84*(K83*(1-p_eps_g*$E84))^INDEX(Calib!$Q$1:$Q$13,$D84)*(L83*(1-p_eps_k*$E84))^p_alpha</f>
        <v/>
      </c>
      <c r="N84" s="26">
        <f>p_alpha*(1-INDEX(Calib!$H$1:$H$13,$D84))*M84/(INDEX(Calib!$K$1:$K$13,$D84)+p_delta)</f>
        <v/>
      </c>
      <c r="O84" s="26">
        <f>M84+$G84</f>
        <v/>
      </c>
      <c r="P84" s="26">
        <f>0*($H84+$I84)</f>
        <v/>
      </c>
      <c r="Q84" s="26">
        <f>INDEX(Calib!$I$1:$I$13,$D84)+p_sh_grant*P84</f>
        <v/>
      </c>
      <c r="R84" s="26">
        <f>INDEX(Calib!$H$1:$H$13,$D84)*M84+p_gov_take*$G84+Q84+0*p_pricing*$J84</f>
        <v/>
      </c>
      <c r="S84" s="26">
        <f>INDEX(Calib!$Y$1:$Y$13,$D84)-INDEX(Calib!$Z$1:$Z$13,$D84)*(V83/O83-INDEX(Calib!$AA$1:$AA$13,$D84))</f>
        <v/>
      </c>
      <c r="T84" s="26">
        <f>INDEX(Calib!$X$1:$X$13,$D84)+INDEX(Calib!$G$1:$G$13,$D84)+P84+S84-R84</f>
        <v/>
      </c>
      <c r="U84" s="26">
        <f>p_rk*W83+Y83*(V83-W83)</f>
        <v/>
      </c>
      <c r="V84" s="26">
        <f>V83+U84+T84</f>
        <v/>
      </c>
      <c r="W84" s="26">
        <f>INDEX(Calib!$U$1:$U$13,$D84)+(W83-INDEX(Calib!$U$1:$U$13,$D84))*(1-p_amort)+p_sh_conc*P84</f>
        <v/>
      </c>
      <c r="X84" s="26">
        <f>V84/O84</f>
        <v/>
      </c>
      <c r="Y84" s="26">
        <f>INDEX(Calib!$K$1:$K$13,$D84)+p_eta*MAX(0,X84-INDEX(Calib!$AA$1:$AA$13,$D84))</f>
        <v/>
      </c>
      <c r="Z84" s="26">
        <f>(1-INDEX(Calib!$H$1:$H$13,$D84))*(1-p_alpha)*M84+S84</f>
        <v/>
      </c>
      <c r="AA84" s="26">
        <f>(1-p_delta_g)*AA83*(1-p_eps_g*$E84)+INDEX(Calib!$E$1:$E$13,$D84)*(INDEX(Calib!$G$1:$G$13,$D84)+p_programme*$H84)</f>
        <v/>
      </c>
      <c r="AB84" s="26">
        <f>AB83*(1-p_eps_k*$E84)+p_lambda_k*(AD84-AB83*(1-p_eps_k*$E84))</f>
        <v/>
      </c>
      <c r="AC84" s="26">
        <f>INDEX(Calib!$R$1:$R$13,$D84)*$F84*(AA83*(1-p_eps_g*$E84))^INDEX(Calib!$Q$1:$Q$13,$D84)*(AB83*(1-p_eps_k*$E84))^p_alpha</f>
        <v/>
      </c>
      <c r="AD84" s="26">
        <f>p_alpha*(1-INDEX(Calib!$H$1:$H$13,$D84))*AC84/(INDEX(Calib!$K$1:$K$13,$D84)+p_delta)</f>
        <v/>
      </c>
      <c r="AE84" s="26">
        <f>AC84+$G84</f>
        <v/>
      </c>
      <c r="AF84" s="26">
        <f>p_programme*($H84+$I84)</f>
        <v/>
      </c>
      <c r="AG84" s="26">
        <f>INDEX(Calib!$I$1:$I$13,$D84)+p_sh_grant*AF84</f>
        <v/>
      </c>
      <c r="AH84" s="26">
        <f>INDEX(Calib!$H$1:$H$13,$D84)*AC84+p_gov_take*$G84+AG84+p_programme*p_pricing*$J84</f>
        <v/>
      </c>
      <c r="AI84" s="26">
        <f>INDEX(Calib!$Y$1:$Y$13,$D84)-INDEX(Calib!$Z$1:$Z$13,$D84)*(AL83/AE83-INDEX(Calib!$AA$1:$AA$13,$D84))</f>
        <v/>
      </c>
      <c r="AJ84" s="26">
        <f>INDEX(Calib!$X$1:$X$13,$D84)+INDEX(Calib!$G$1:$G$13,$D84)+AF84+AI84-AH84</f>
        <v/>
      </c>
      <c r="AK84" s="26">
        <f>p_rk*AM83+AO83*(AL83-AM83)</f>
        <v/>
      </c>
      <c r="AL84" s="26">
        <f>AL83+AK84+AJ84</f>
        <v/>
      </c>
      <c r="AM84" s="26">
        <f>INDEX(Calib!$U$1:$U$13,$D84)+(AM83-INDEX(Calib!$U$1:$U$13,$D84))*(1-p_amort)+p_sh_conc*AF84</f>
        <v/>
      </c>
      <c r="AN84" s="26">
        <f>AL84/AE84</f>
        <v/>
      </c>
      <c r="AO84" s="26">
        <f>INDEX(Calib!$K$1:$K$13,$D84)+p_eta*MAX(0,AN84-INDEX(Calib!$AA$1:$AA$13,$D84))</f>
        <v/>
      </c>
      <c r="AP84" s="26">
        <f>(1-INDEX(Calib!$H$1:$H$13,$D84))*(1-p_alpha)*AC84+AI84</f>
        <v/>
      </c>
      <c r="AQ84" s="26">
        <f>(AE84/O84-1)*100</f>
        <v/>
      </c>
      <c r="AR84" s="26">
        <f>(AE84/AE83-1)*100</f>
        <v/>
      </c>
      <c r="AS84" s="26">
        <f>(O84/O83-1)*100</f>
        <v/>
      </c>
      <c r="AT84" s="26">
        <f>(AN84-X84)*100</f>
        <v/>
      </c>
      <c r="AU84" s="26">
        <f>(AP84/Z84-1)*100</f>
        <v/>
      </c>
      <c r="AV84" s="26">
        <f>(AI84-S84)*100</f>
        <v/>
      </c>
    </row>
    <row r="85">
      <c r="A85" s="25" t="inlineStr">
        <is>
          <t>LBR</t>
        </is>
      </c>
      <c r="B85" s="25" t="n">
        <v>2026</v>
      </c>
      <c r="C85" s="25" t="n">
        <v>2</v>
      </c>
      <c r="D85" s="25" t="n">
        <v>5</v>
      </c>
      <c r="E85" s="25">
        <f>IF(AND(p_dis_year&gt;0,B85=p_dis_year),1,0)</f>
        <v/>
      </c>
      <c r="F85" s="26">
        <f>IF(AND(p_dis_year&gt;0,B85&gt;=p_dis_year),1-p_eps_a*p_rho_a^(B85-p_dis_year),1)</f>
        <v/>
      </c>
      <c r="G85" s="26">
        <f>INDEX(Calib!$N$1:$N$13,$D85)*(1-p_rent_decline*MIN(1,C85/26))</f>
        <v/>
      </c>
      <c r="H85" s="26">
        <f>IF(C85=0,0,SUMIFS(dl_val,dl_iso,$A85,dl_ind,"pub_cap",dl_year,$B85)/100)</f>
        <v/>
      </c>
      <c r="I85" s="26">
        <f>IF(C85=0,0,SUMIFS(dl_val,dl_iso,$A85,dl_ind,"pub_spend",dl_year,$B85)/100)</f>
        <v/>
      </c>
      <c r="J85" s="26">
        <f>IF(C85=0,0,SUMIFS(dl_val,dl_iso,$A85,dl_ind,"rev",dl_year,$B85)/100)</f>
        <v/>
      </c>
      <c r="K85" s="26">
        <f>(1-p_delta_g)*K84*(1-p_eps_g*$E85)+INDEX(Calib!$E$1:$E$13,$D85)*(INDEX(Calib!$G$1:$G$13,$D85)+0*$H85)</f>
        <v/>
      </c>
      <c r="L85" s="26">
        <f>L84*(1-p_eps_k*$E85)+p_lambda_k*(N85-L84*(1-p_eps_k*$E85))</f>
        <v/>
      </c>
      <c r="M85" s="26">
        <f>INDEX(Calib!$R$1:$R$13,$D85)*$F85*(K84*(1-p_eps_g*$E85))^INDEX(Calib!$Q$1:$Q$13,$D85)*(L84*(1-p_eps_k*$E85))^p_alpha</f>
        <v/>
      </c>
      <c r="N85" s="26">
        <f>p_alpha*(1-INDEX(Calib!$H$1:$H$13,$D85))*M85/(INDEX(Calib!$K$1:$K$13,$D85)+p_delta)</f>
        <v/>
      </c>
      <c r="O85" s="26">
        <f>M85+$G85</f>
        <v/>
      </c>
      <c r="P85" s="26">
        <f>0*($H85+$I85)</f>
        <v/>
      </c>
      <c r="Q85" s="26">
        <f>INDEX(Calib!$I$1:$I$13,$D85)+p_sh_grant*P85</f>
        <v/>
      </c>
      <c r="R85" s="26">
        <f>INDEX(Calib!$H$1:$H$13,$D85)*M85+p_gov_take*$G85+Q85+0*p_pricing*$J85</f>
        <v/>
      </c>
      <c r="S85" s="26">
        <f>INDEX(Calib!$Y$1:$Y$13,$D85)-INDEX(Calib!$Z$1:$Z$13,$D85)*(V84/O84-INDEX(Calib!$AA$1:$AA$13,$D85))</f>
        <v/>
      </c>
      <c r="T85" s="26">
        <f>INDEX(Calib!$X$1:$X$13,$D85)+INDEX(Calib!$G$1:$G$13,$D85)+P85+S85-R85</f>
        <v/>
      </c>
      <c r="U85" s="26">
        <f>p_rk*W84+Y84*(V84-W84)</f>
        <v/>
      </c>
      <c r="V85" s="26">
        <f>V84+U85+T85</f>
        <v/>
      </c>
      <c r="W85" s="26">
        <f>INDEX(Calib!$U$1:$U$13,$D85)+(W84-INDEX(Calib!$U$1:$U$13,$D85))*(1-p_amort)+p_sh_conc*P85</f>
        <v/>
      </c>
      <c r="X85" s="26">
        <f>V85/O85</f>
        <v/>
      </c>
      <c r="Y85" s="26">
        <f>INDEX(Calib!$K$1:$K$13,$D85)+p_eta*MAX(0,X85-INDEX(Calib!$AA$1:$AA$13,$D85))</f>
        <v/>
      </c>
      <c r="Z85" s="26">
        <f>(1-INDEX(Calib!$H$1:$H$13,$D85))*(1-p_alpha)*M85+S85</f>
        <v/>
      </c>
      <c r="AA85" s="26">
        <f>(1-p_delta_g)*AA84*(1-p_eps_g*$E85)+INDEX(Calib!$E$1:$E$13,$D85)*(INDEX(Calib!$G$1:$G$13,$D85)+p_programme*$H85)</f>
        <v/>
      </c>
      <c r="AB85" s="26">
        <f>AB84*(1-p_eps_k*$E85)+p_lambda_k*(AD85-AB84*(1-p_eps_k*$E85))</f>
        <v/>
      </c>
      <c r="AC85" s="26">
        <f>INDEX(Calib!$R$1:$R$13,$D85)*$F85*(AA84*(1-p_eps_g*$E85))^INDEX(Calib!$Q$1:$Q$13,$D85)*(AB84*(1-p_eps_k*$E85))^p_alpha</f>
        <v/>
      </c>
      <c r="AD85" s="26">
        <f>p_alpha*(1-INDEX(Calib!$H$1:$H$13,$D85))*AC85/(INDEX(Calib!$K$1:$K$13,$D85)+p_delta)</f>
        <v/>
      </c>
      <c r="AE85" s="26">
        <f>AC85+$G85</f>
        <v/>
      </c>
      <c r="AF85" s="26">
        <f>p_programme*($H85+$I85)</f>
        <v/>
      </c>
      <c r="AG85" s="26">
        <f>INDEX(Calib!$I$1:$I$13,$D85)+p_sh_grant*AF85</f>
        <v/>
      </c>
      <c r="AH85" s="26">
        <f>INDEX(Calib!$H$1:$H$13,$D85)*AC85+p_gov_take*$G85+AG85+p_programme*p_pricing*$J85</f>
        <v/>
      </c>
      <c r="AI85" s="26">
        <f>INDEX(Calib!$Y$1:$Y$13,$D85)-INDEX(Calib!$Z$1:$Z$13,$D85)*(AL84/AE84-INDEX(Calib!$AA$1:$AA$13,$D85))</f>
        <v/>
      </c>
      <c r="AJ85" s="26">
        <f>INDEX(Calib!$X$1:$X$13,$D85)+INDEX(Calib!$G$1:$G$13,$D85)+AF85+AI85-AH85</f>
        <v/>
      </c>
      <c r="AK85" s="26">
        <f>p_rk*AM84+AO84*(AL84-AM84)</f>
        <v/>
      </c>
      <c r="AL85" s="26">
        <f>AL84+AK85+AJ85</f>
        <v/>
      </c>
      <c r="AM85" s="26">
        <f>INDEX(Calib!$U$1:$U$13,$D85)+(AM84-INDEX(Calib!$U$1:$U$13,$D85))*(1-p_amort)+p_sh_conc*AF85</f>
        <v/>
      </c>
      <c r="AN85" s="26">
        <f>AL85/AE85</f>
        <v/>
      </c>
      <c r="AO85" s="26">
        <f>INDEX(Calib!$K$1:$K$13,$D85)+p_eta*MAX(0,AN85-INDEX(Calib!$AA$1:$AA$13,$D85))</f>
        <v/>
      </c>
      <c r="AP85" s="26">
        <f>(1-INDEX(Calib!$H$1:$H$13,$D85))*(1-p_alpha)*AC85+AI85</f>
        <v/>
      </c>
      <c r="AQ85" s="26">
        <f>(AE85/O85-1)*100</f>
        <v/>
      </c>
      <c r="AR85" s="26">
        <f>(AE85/AE83-1)*100</f>
        <v/>
      </c>
      <c r="AS85" s="26">
        <f>(O85/O83-1)*100</f>
        <v/>
      </c>
      <c r="AT85" s="26">
        <f>(AN85-X85)*100</f>
        <v/>
      </c>
      <c r="AU85" s="26">
        <f>(AP85/Z85-1)*100</f>
        <v/>
      </c>
      <c r="AV85" s="26">
        <f>(AI85-S85)*100</f>
        <v/>
      </c>
    </row>
    <row r="86">
      <c r="A86" s="25" t="inlineStr">
        <is>
          <t>LBR</t>
        </is>
      </c>
      <c r="B86" s="25" t="n">
        <v>2027</v>
      </c>
      <c r="C86" s="25" t="n">
        <v>3</v>
      </c>
      <c r="D86" s="25" t="n">
        <v>5</v>
      </c>
      <c r="E86" s="25">
        <f>IF(AND(p_dis_year&gt;0,B86=p_dis_year),1,0)</f>
        <v/>
      </c>
      <c r="F86" s="26">
        <f>IF(AND(p_dis_year&gt;0,B86&gt;=p_dis_year),1-p_eps_a*p_rho_a^(B86-p_dis_year),1)</f>
        <v/>
      </c>
      <c r="G86" s="26">
        <f>INDEX(Calib!$N$1:$N$13,$D86)*(1-p_rent_decline*MIN(1,C86/26))</f>
        <v/>
      </c>
      <c r="H86" s="26">
        <f>IF(C86=0,0,SUMIFS(dl_val,dl_iso,$A86,dl_ind,"pub_cap",dl_year,$B86)/100)</f>
        <v/>
      </c>
      <c r="I86" s="26">
        <f>IF(C86=0,0,SUMIFS(dl_val,dl_iso,$A86,dl_ind,"pub_spend",dl_year,$B86)/100)</f>
        <v/>
      </c>
      <c r="J86" s="26">
        <f>IF(C86=0,0,SUMIFS(dl_val,dl_iso,$A86,dl_ind,"rev",dl_year,$B86)/100)</f>
        <v/>
      </c>
      <c r="K86" s="26">
        <f>(1-p_delta_g)*K85*(1-p_eps_g*$E86)+INDEX(Calib!$E$1:$E$13,$D86)*(INDEX(Calib!$G$1:$G$13,$D86)+0*$H86)</f>
        <v/>
      </c>
      <c r="L86" s="26">
        <f>L85*(1-p_eps_k*$E86)+p_lambda_k*(N86-L85*(1-p_eps_k*$E86))</f>
        <v/>
      </c>
      <c r="M86" s="26">
        <f>INDEX(Calib!$R$1:$R$13,$D86)*$F86*(K85*(1-p_eps_g*$E86))^INDEX(Calib!$Q$1:$Q$13,$D86)*(L85*(1-p_eps_k*$E86))^p_alpha</f>
        <v/>
      </c>
      <c r="N86" s="26">
        <f>p_alpha*(1-INDEX(Calib!$H$1:$H$13,$D86))*M86/(INDEX(Calib!$K$1:$K$13,$D86)+p_delta)</f>
        <v/>
      </c>
      <c r="O86" s="26">
        <f>M86+$G86</f>
        <v/>
      </c>
      <c r="P86" s="26">
        <f>0*($H86+$I86)</f>
        <v/>
      </c>
      <c r="Q86" s="26">
        <f>INDEX(Calib!$I$1:$I$13,$D86)+p_sh_grant*P86</f>
        <v/>
      </c>
      <c r="R86" s="26">
        <f>INDEX(Calib!$H$1:$H$13,$D86)*M86+p_gov_take*$G86+Q86+0*p_pricing*$J86</f>
        <v/>
      </c>
      <c r="S86" s="26">
        <f>INDEX(Calib!$Y$1:$Y$13,$D86)-INDEX(Calib!$Z$1:$Z$13,$D86)*(V85/O85-INDEX(Calib!$AA$1:$AA$13,$D86))</f>
        <v/>
      </c>
      <c r="T86" s="26">
        <f>INDEX(Calib!$X$1:$X$13,$D86)+INDEX(Calib!$G$1:$G$13,$D86)+P86+S86-R86</f>
        <v/>
      </c>
      <c r="U86" s="26">
        <f>p_rk*W85+Y85*(V85-W85)</f>
        <v/>
      </c>
      <c r="V86" s="26">
        <f>V85+U86+T86</f>
        <v/>
      </c>
      <c r="W86" s="26">
        <f>INDEX(Calib!$U$1:$U$13,$D86)+(W85-INDEX(Calib!$U$1:$U$13,$D86))*(1-p_amort)+p_sh_conc*P86</f>
        <v/>
      </c>
      <c r="X86" s="26">
        <f>V86/O86</f>
        <v/>
      </c>
      <c r="Y86" s="26">
        <f>INDEX(Calib!$K$1:$K$13,$D86)+p_eta*MAX(0,X86-INDEX(Calib!$AA$1:$AA$13,$D86))</f>
        <v/>
      </c>
      <c r="Z86" s="26">
        <f>(1-INDEX(Calib!$H$1:$H$13,$D86))*(1-p_alpha)*M86+S86</f>
        <v/>
      </c>
      <c r="AA86" s="26">
        <f>(1-p_delta_g)*AA85*(1-p_eps_g*$E86)+INDEX(Calib!$E$1:$E$13,$D86)*(INDEX(Calib!$G$1:$G$13,$D86)+p_programme*$H86)</f>
        <v/>
      </c>
      <c r="AB86" s="26">
        <f>AB85*(1-p_eps_k*$E86)+p_lambda_k*(AD86-AB85*(1-p_eps_k*$E86))</f>
        <v/>
      </c>
      <c r="AC86" s="26">
        <f>INDEX(Calib!$R$1:$R$13,$D86)*$F86*(AA85*(1-p_eps_g*$E86))^INDEX(Calib!$Q$1:$Q$13,$D86)*(AB85*(1-p_eps_k*$E86))^p_alpha</f>
        <v/>
      </c>
      <c r="AD86" s="26">
        <f>p_alpha*(1-INDEX(Calib!$H$1:$H$13,$D86))*AC86/(INDEX(Calib!$K$1:$K$13,$D86)+p_delta)</f>
        <v/>
      </c>
      <c r="AE86" s="26">
        <f>AC86+$G86</f>
        <v/>
      </c>
      <c r="AF86" s="26">
        <f>p_programme*($H86+$I86)</f>
        <v/>
      </c>
      <c r="AG86" s="26">
        <f>INDEX(Calib!$I$1:$I$13,$D86)+p_sh_grant*AF86</f>
        <v/>
      </c>
      <c r="AH86" s="26">
        <f>INDEX(Calib!$H$1:$H$13,$D86)*AC86+p_gov_take*$G86+AG86+p_programme*p_pricing*$J86</f>
        <v/>
      </c>
      <c r="AI86" s="26">
        <f>INDEX(Calib!$Y$1:$Y$13,$D86)-INDEX(Calib!$Z$1:$Z$13,$D86)*(AL85/AE85-INDEX(Calib!$AA$1:$AA$13,$D86))</f>
        <v/>
      </c>
      <c r="AJ86" s="26">
        <f>INDEX(Calib!$X$1:$X$13,$D86)+INDEX(Calib!$G$1:$G$13,$D86)+AF86+AI86-AH86</f>
        <v/>
      </c>
      <c r="AK86" s="26">
        <f>p_rk*AM85+AO85*(AL85-AM85)</f>
        <v/>
      </c>
      <c r="AL86" s="26">
        <f>AL85+AK86+AJ86</f>
        <v/>
      </c>
      <c r="AM86" s="26">
        <f>INDEX(Calib!$U$1:$U$13,$D86)+(AM85-INDEX(Calib!$U$1:$U$13,$D86))*(1-p_amort)+p_sh_conc*AF86</f>
        <v/>
      </c>
      <c r="AN86" s="26">
        <f>AL86/AE86</f>
        <v/>
      </c>
      <c r="AO86" s="26">
        <f>INDEX(Calib!$K$1:$K$13,$D86)+p_eta*MAX(0,AN86-INDEX(Calib!$AA$1:$AA$13,$D86))</f>
        <v/>
      </c>
      <c r="AP86" s="26">
        <f>(1-INDEX(Calib!$H$1:$H$13,$D86))*(1-p_alpha)*AC86+AI86</f>
        <v/>
      </c>
      <c r="AQ86" s="26">
        <f>(AE86/O86-1)*100</f>
        <v/>
      </c>
      <c r="AR86" s="26">
        <f>(AE86/AE83-1)*100</f>
        <v/>
      </c>
      <c r="AS86" s="26">
        <f>(O86/O83-1)*100</f>
        <v/>
      </c>
      <c r="AT86" s="26">
        <f>(AN86-X86)*100</f>
        <v/>
      </c>
      <c r="AU86" s="26">
        <f>(AP86/Z86-1)*100</f>
        <v/>
      </c>
      <c r="AV86" s="26">
        <f>(AI86-S86)*100</f>
        <v/>
      </c>
    </row>
    <row r="87">
      <c r="A87" s="25" t="inlineStr">
        <is>
          <t>LBR</t>
        </is>
      </c>
      <c r="B87" s="25" t="n">
        <v>2028</v>
      </c>
      <c r="C87" s="25" t="n">
        <v>4</v>
      </c>
      <c r="D87" s="25" t="n">
        <v>5</v>
      </c>
      <c r="E87" s="25">
        <f>IF(AND(p_dis_year&gt;0,B87=p_dis_year),1,0)</f>
        <v/>
      </c>
      <c r="F87" s="26">
        <f>IF(AND(p_dis_year&gt;0,B87&gt;=p_dis_year),1-p_eps_a*p_rho_a^(B87-p_dis_year),1)</f>
        <v/>
      </c>
      <c r="G87" s="26">
        <f>INDEX(Calib!$N$1:$N$13,$D87)*(1-p_rent_decline*MIN(1,C87/26))</f>
        <v/>
      </c>
      <c r="H87" s="26">
        <f>IF(C87=0,0,SUMIFS(dl_val,dl_iso,$A87,dl_ind,"pub_cap",dl_year,$B87)/100)</f>
        <v/>
      </c>
      <c r="I87" s="26">
        <f>IF(C87=0,0,SUMIFS(dl_val,dl_iso,$A87,dl_ind,"pub_spend",dl_year,$B87)/100)</f>
        <v/>
      </c>
      <c r="J87" s="26">
        <f>IF(C87=0,0,SUMIFS(dl_val,dl_iso,$A87,dl_ind,"rev",dl_year,$B87)/100)</f>
        <v/>
      </c>
      <c r="K87" s="26">
        <f>(1-p_delta_g)*K86*(1-p_eps_g*$E87)+INDEX(Calib!$E$1:$E$13,$D87)*(INDEX(Calib!$G$1:$G$13,$D87)+0*$H87)</f>
        <v/>
      </c>
      <c r="L87" s="26">
        <f>L86*(1-p_eps_k*$E87)+p_lambda_k*(N87-L86*(1-p_eps_k*$E87))</f>
        <v/>
      </c>
      <c r="M87" s="26">
        <f>INDEX(Calib!$R$1:$R$13,$D87)*$F87*(K86*(1-p_eps_g*$E87))^INDEX(Calib!$Q$1:$Q$13,$D87)*(L86*(1-p_eps_k*$E87))^p_alpha</f>
        <v/>
      </c>
      <c r="N87" s="26">
        <f>p_alpha*(1-INDEX(Calib!$H$1:$H$13,$D87))*M87/(INDEX(Calib!$K$1:$K$13,$D87)+p_delta)</f>
        <v/>
      </c>
      <c r="O87" s="26">
        <f>M87+$G87</f>
        <v/>
      </c>
      <c r="P87" s="26">
        <f>0*($H87+$I87)</f>
        <v/>
      </c>
      <c r="Q87" s="26">
        <f>INDEX(Calib!$I$1:$I$13,$D87)+p_sh_grant*P87</f>
        <v/>
      </c>
      <c r="R87" s="26">
        <f>INDEX(Calib!$H$1:$H$13,$D87)*M87+p_gov_take*$G87+Q87+0*p_pricing*$J87</f>
        <v/>
      </c>
      <c r="S87" s="26">
        <f>INDEX(Calib!$Y$1:$Y$13,$D87)-INDEX(Calib!$Z$1:$Z$13,$D87)*(V86/O86-INDEX(Calib!$AA$1:$AA$13,$D87))</f>
        <v/>
      </c>
      <c r="T87" s="26">
        <f>INDEX(Calib!$X$1:$X$13,$D87)+INDEX(Calib!$G$1:$G$13,$D87)+P87+S87-R87</f>
        <v/>
      </c>
      <c r="U87" s="26">
        <f>p_rk*W86+Y86*(V86-W86)</f>
        <v/>
      </c>
      <c r="V87" s="26">
        <f>V86+U87+T87</f>
        <v/>
      </c>
      <c r="W87" s="26">
        <f>INDEX(Calib!$U$1:$U$13,$D87)+(W86-INDEX(Calib!$U$1:$U$13,$D87))*(1-p_amort)+p_sh_conc*P87</f>
        <v/>
      </c>
      <c r="X87" s="26">
        <f>V87/O87</f>
        <v/>
      </c>
      <c r="Y87" s="26">
        <f>INDEX(Calib!$K$1:$K$13,$D87)+p_eta*MAX(0,X87-INDEX(Calib!$AA$1:$AA$13,$D87))</f>
        <v/>
      </c>
      <c r="Z87" s="26">
        <f>(1-INDEX(Calib!$H$1:$H$13,$D87))*(1-p_alpha)*M87+S87</f>
        <v/>
      </c>
      <c r="AA87" s="26">
        <f>(1-p_delta_g)*AA86*(1-p_eps_g*$E87)+INDEX(Calib!$E$1:$E$13,$D87)*(INDEX(Calib!$G$1:$G$13,$D87)+p_programme*$H87)</f>
        <v/>
      </c>
      <c r="AB87" s="26">
        <f>AB86*(1-p_eps_k*$E87)+p_lambda_k*(AD87-AB86*(1-p_eps_k*$E87))</f>
        <v/>
      </c>
      <c r="AC87" s="26">
        <f>INDEX(Calib!$R$1:$R$13,$D87)*$F87*(AA86*(1-p_eps_g*$E87))^INDEX(Calib!$Q$1:$Q$13,$D87)*(AB86*(1-p_eps_k*$E87))^p_alpha</f>
        <v/>
      </c>
      <c r="AD87" s="26">
        <f>p_alpha*(1-INDEX(Calib!$H$1:$H$13,$D87))*AC87/(INDEX(Calib!$K$1:$K$13,$D87)+p_delta)</f>
        <v/>
      </c>
      <c r="AE87" s="26">
        <f>AC87+$G87</f>
        <v/>
      </c>
      <c r="AF87" s="26">
        <f>p_programme*($H87+$I87)</f>
        <v/>
      </c>
      <c r="AG87" s="26">
        <f>INDEX(Calib!$I$1:$I$13,$D87)+p_sh_grant*AF87</f>
        <v/>
      </c>
      <c r="AH87" s="26">
        <f>INDEX(Calib!$H$1:$H$13,$D87)*AC87+p_gov_take*$G87+AG87+p_programme*p_pricing*$J87</f>
        <v/>
      </c>
      <c r="AI87" s="26">
        <f>INDEX(Calib!$Y$1:$Y$13,$D87)-INDEX(Calib!$Z$1:$Z$13,$D87)*(AL86/AE86-INDEX(Calib!$AA$1:$AA$13,$D87))</f>
        <v/>
      </c>
      <c r="AJ87" s="26">
        <f>INDEX(Calib!$X$1:$X$13,$D87)+INDEX(Calib!$G$1:$G$13,$D87)+AF87+AI87-AH87</f>
        <v/>
      </c>
      <c r="AK87" s="26">
        <f>p_rk*AM86+AO86*(AL86-AM86)</f>
        <v/>
      </c>
      <c r="AL87" s="26">
        <f>AL86+AK87+AJ87</f>
        <v/>
      </c>
      <c r="AM87" s="26">
        <f>INDEX(Calib!$U$1:$U$13,$D87)+(AM86-INDEX(Calib!$U$1:$U$13,$D87))*(1-p_amort)+p_sh_conc*AF87</f>
        <v/>
      </c>
      <c r="AN87" s="26">
        <f>AL87/AE87</f>
        <v/>
      </c>
      <c r="AO87" s="26">
        <f>INDEX(Calib!$K$1:$K$13,$D87)+p_eta*MAX(0,AN87-INDEX(Calib!$AA$1:$AA$13,$D87))</f>
        <v/>
      </c>
      <c r="AP87" s="26">
        <f>(1-INDEX(Calib!$H$1:$H$13,$D87))*(1-p_alpha)*AC87+AI87</f>
        <v/>
      </c>
      <c r="AQ87" s="26">
        <f>(AE87/O87-1)*100</f>
        <v/>
      </c>
      <c r="AR87" s="26">
        <f>(AE87/AE83-1)*100</f>
        <v/>
      </c>
      <c r="AS87" s="26">
        <f>(O87/O83-1)*100</f>
        <v/>
      </c>
      <c r="AT87" s="26">
        <f>(AN87-X87)*100</f>
        <v/>
      </c>
      <c r="AU87" s="26">
        <f>(AP87/Z87-1)*100</f>
        <v/>
      </c>
      <c r="AV87" s="26">
        <f>(AI87-S87)*100</f>
        <v/>
      </c>
    </row>
    <row r="88">
      <c r="A88" s="25" t="inlineStr">
        <is>
          <t>LBR</t>
        </is>
      </c>
      <c r="B88" s="25" t="n">
        <v>2029</v>
      </c>
      <c r="C88" s="25" t="n">
        <v>5</v>
      </c>
      <c r="D88" s="25" t="n">
        <v>5</v>
      </c>
      <c r="E88" s="25">
        <f>IF(AND(p_dis_year&gt;0,B88=p_dis_year),1,0)</f>
        <v/>
      </c>
      <c r="F88" s="26">
        <f>IF(AND(p_dis_year&gt;0,B88&gt;=p_dis_year),1-p_eps_a*p_rho_a^(B88-p_dis_year),1)</f>
        <v/>
      </c>
      <c r="G88" s="26">
        <f>INDEX(Calib!$N$1:$N$13,$D88)*(1-p_rent_decline*MIN(1,C88/26))</f>
        <v/>
      </c>
      <c r="H88" s="26">
        <f>IF(C88=0,0,SUMIFS(dl_val,dl_iso,$A88,dl_ind,"pub_cap",dl_year,$B88)/100)</f>
        <v/>
      </c>
      <c r="I88" s="26">
        <f>IF(C88=0,0,SUMIFS(dl_val,dl_iso,$A88,dl_ind,"pub_spend",dl_year,$B88)/100)</f>
        <v/>
      </c>
      <c r="J88" s="26">
        <f>IF(C88=0,0,SUMIFS(dl_val,dl_iso,$A88,dl_ind,"rev",dl_year,$B88)/100)</f>
        <v/>
      </c>
      <c r="K88" s="26">
        <f>(1-p_delta_g)*K87*(1-p_eps_g*$E88)+INDEX(Calib!$E$1:$E$13,$D88)*(INDEX(Calib!$G$1:$G$13,$D88)+0*$H88)</f>
        <v/>
      </c>
      <c r="L88" s="26">
        <f>L87*(1-p_eps_k*$E88)+p_lambda_k*(N88-L87*(1-p_eps_k*$E88))</f>
        <v/>
      </c>
      <c r="M88" s="26">
        <f>INDEX(Calib!$R$1:$R$13,$D88)*$F88*(K87*(1-p_eps_g*$E88))^INDEX(Calib!$Q$1:$Q$13,$D88)*(L87*(1-p_eps_k*$E88))^p_alpha</f>
        <v/>
      </c>
      <c r="N88" s="26">
        <f>p_alpha*(1-INDEX(Calib!$H$1:$H$13,$D88))*M88/(INDEX(Calib!$K$1:$K$13,$D88)+p_delta)</f>
        <v/>
      </c>
      <c r="O88" s="26">
        <f>M88+$G88</f>
        <v/>
      </c>
      <c r="P88" s="26">
        <f>0*($H88+$I88)</f>
        <v/>
      </c>
      <c r="Q88" s="26">
        <f>INDEX(Calib!$I$1:$I$13,$D88)+p_sh_grant*P88</f>
        <v/>
      </c>
      <c r="R88" s="26">
        <f>INDEX(Calib!$H$1:$H$13,$D88)*M88+p_gov_take*$G88+Q88+0*p_pricing*$J88</f>
        <v/>
      </c>
      <c r="S88" s="26">
        <f>INDEX(Calib!$Y$1:$Y$13,$D88)-INDEX(Calib!$Z$1:$Z$13,$D88)*(V87/O87-INDEX(Calib!$AA$1:$AA$13,$D88))</f>
        <v/>
      </c>
      <c r="T88" s="26">
        <f>INDEX(Calib!$X$1:$X$13,$D88)+INDEX(Calib!$G$1:$G$13,$D88)+P88+S88-R88</f>
        <v/>
      </c>
      <c r="U88" s="26">
        <f>p_rk*W87+Y87*(V87-W87)</f>
        <v/>
      </c>
      <c r="V88" s="26">
        <f>V87+U88+T88</f>
        <v/>
      </c>
      <c r="W88" s="26">
        <f>INDEX(Calib!$U$1:$U$13,$D88)+(W87-INDEX(Calib!$U$1:$U$13,$D88))*(1-p_amort)+p_sh_conc*P88</f>
        <v/>
      </c>
      <c r="X88" s="26">
        <f>V88/O88</f>
        <v/>
      </c>
      <c r="Y88" s="26">
        <f>INDEX(Calib!$K$1:$K$13,$D88)+p_eta*MAX(0,X88-INDEX(Calib!$AA$1:$AA$13,$D88))</f>
        <v/>
      </c>
      <c r="Z88" s="26">
        <f>(1-INDEX(Calib!$H$1:$H$13,$D88))*(1-p_alpha)*M88+S88</f>
        <v/>
      </c>
      <c r="AA88" s="26">
        <f>(1-p_delta_g)*AA87*(1-p_eps_g*$E88)+INDEX(Calib!$E$1:$E$13,$D88)*(INDEX(Calib!$G$1:$G$13,$D88)+p_programme*$H88)</f>
        <v/>
      </c>
      <c r="AB88" s="26">
        <f>AB87*(1-p_eps_k*$E88)+p_lambda_k*(AD88-AB87*(1-p_eps_k*$E88))</f>
        <v/>
      </c>
      <c r="AC88" s="26">
        <f>INDEX(Calib!$R$1:$R$13,$D88)*$F88*(AA87*(1-p_eps_g*$E88))^INDEX(Calib!$Q$1:$Q$13,$D88)*(AB87*(1-p_eps_k*$E88))^p_alpha</f>
        <v/>
      </c>
      <c r="AD88" s="26">
        <f>p_alpha*(1-INDEX(Calib!$H$1:$H$13,$D88))*AC88/(INDEX(Calib!$K$1:$K$13,$D88)+p_delta)</f>
        <v/>
      </c>
      <c r="AE88" s="26">
        <f>AC88+$G88</f>
        <v/>
      </c>
      <c r="AF88" s="26">
        <f>p_programme*($H88+$I88)</f>
        <v/>
      </c>
      <c r="AG88" s="26">
        <f>INDEX(Calib!$I$1:$I$13,$D88)+p_sh_grant*AF88</f>
        <v/>
      </c>
      <c r="AH88" s="26">
        <f>INDEX(Calib!$H$1:$H$13,$D88)*AC88+p_gov_take*$G88+AG88+p_programme*p_pricing*$J88</f>
        <v/>
      </c>
      <c r="AI88" s="26">
        <f>INDEX(Calib!$Y$1:$Y$13,$D88)-INDEX(Calib!$Z$1:$Z$13,$D88)*(AL87/AE87-INDEX(Calib!$AA$1:$AA$13,$D88))</f>
        <v/>
      </c>
      <c r="AJ88" s="26">
        <f>INDEX(Calib!$X$1:$X$13,$D88)+INDEX(Calib!$G$1:$G$13,$D88)+AF88+AI88-AH88</f>
        <v/>
      </c>
      <c r="AK88" s="26">
        <f>p_rk*AM87+AO87*(AL87-AM87)</f>
        <v/>
      </c>
      <c r="AL88" s="26">
        <f>AL87+AK88+AJ88</f>
        <v/>
      </c>
      <c r="AM88" s="26">
        <f>INDEX(Calib!$U$1:$U$13,$D88)+(AM87-INDEX(Calib!$U$1:$U$13,$D88))*(1-p_amort)+p_sh_conc*AF88</f>
        <v/>
      </c>
      <c r="AN88" s="26">
        <f>AL88/AE88</f>
        <v/>
      </c>
      <c r="AO88" s="26">
        <f>INDEX(Calib!$K$1:$K$13,$D88)+p_eta*MAX(0,AN88-INDEX(Calib!$AA$1:$AA$13,$D88))</f>
        <v/>
      </c>
      <c r="AP88" s="26">
        <f>(1-INDEX(Calib!$H$1:$H$13,$D88))*(1-p_alpha)*AC88+AI88</f>
        <v/>
      </c>
      <c r="AQ88" s="26">
        <f>(AE88/O88-1)*100</f>
        <v/>
      </c>
      <c r="AR88" s="26">
        <f>(AE88/AE83-1)*100</f>
        <v/>
      </c>
      <c r="AS88" s="26">
        <f>(O88/O83-1)*100</f>
        <v/>
      </c>
      <c r="AT88" s="26">
        <f>(AN88-X88)*100</f>
        <v/>
      </c>
      <c r="AU88" s="26">
        <f>(AP88/Z88-1)*100</f>
        <v/>
      </c>
      <c r="AV88" s="26">
        <f>(AI88-S88)*100</f>
        <v/>
      </c>
    </row>
    <row r="89">
      <c r="A89" s="25" t="inlineStr">
        <is>
          <t>LBR</t>
        </is>
      </c>
      <c r="B89" s="25" t="n">
        <v>2030</v>
      </c>
      <c r="C89" s="25" t="n">
        <v>6</v>
      </c>
      <c r="D89" s="25" t="n">
        <v>5</v>
      </c>
      <c r="E89" s="25">
        <f>IF(AND(p_dis_year&gt;0,B89=p_dis_year),1,0)</f>
        <v/>
      </c>
      <c r="F89" s="26">
        <f>IF(AND(p_dis_year&gt;0,B89&gt;=p_dis_year),1-p_eps_a*p_rho_a^(B89-p_dis_year),1)</f>
        <v/>
      </c>
      <c r="G89" s="26">
        <f>INDEX(Calib!$N$1:$N$13,$D89)*(1-p_rent_decline*MIN(1,C89/26))</f>
        <v/>
      </c>
      <c r="H89" s="26">
        <f>IF(C89=0,0,SUMIFS(dl_val,dl_iso,$A89,dl_ind,"pub_cap",dl_year,$B89)/100)</f>
        <v/>
      </c>
      <c r="I89" s="26">
        <f>IF(C89=0,0,SUMIFS(dl_val,dl_iso,$A89,dl_ind,"pub_spend",dl_year,$B89)/100)</f>
        <v/>
      </c>
      <c r="J89" s="26">
        <f>IF(C89=0,0,SUMIFS(dl_val,dl_iso,$A89,dl_ind,"rev",dl_year,$B89)/100)</f>
        <v/>
      </c>
      <c r="K89" s="26">
        <f>(1-p_delta_g)*K88*(1-p_eps_g*$E89)+INDEX(Calib!$E$1:$E$13,$D89)*(INDEX(Calib!$G$1:$G$13,$D89)+0*$H89)</f>
        <v/>
      </c>
      <c r="L89" s="26">
        <f>L88*(1-p_eps_k*$E89)+p_lambda_k*(N89-L88*(1-p_eps_k*$E89))</f>
        <v/>
      </c>
      <c r="M89" s="26">
        <f>INDEX(Calib!$R$1:$R$13,$D89)*$F89*(K88*(1-p_eps_g*$E89))^INDEX(Calib!$Q$1:$Q$13,$D89)*(L88*(1-p_eps_k*$E89))^p_alpha</f>
        <v/>
      </c>
      <c r="N89" s="26">
        <f>p_alpha*(1-INDEX(Calib!$H$1:$H$13,$D89))*M89/(INDEX(Calib!$K$1:$K$13,$D89)+p_delta)</f>
        <v/>
      </c>
      <c r="O89" s="26">
        <f>M89+$G89</f>
        <v/>
      </c>
      <c r="P89" s="26">
        <f>0*($H89+$I89)</f>
        <v/>
      </c>
      <c r="Q89" s="26">
        <f>INDEX(Calib!$I$1:$I$13,$D89)+p_sh_grant*P89</f>
        <v/>
      </c>
      <c r="R89" s="26">
        <f>INDEX(Calib!$H$1:$H$13,$D89)*M89+p_gov_take*$G89+Q89+0*p_pricing*$J89</f>
        <v/>
      </c>
      <c r="S89" s="26">
        <f>INDEX(Calib!$Y$1:$Y$13,$D89)-INDEX(Calib!$Z$1:$Z$13,$D89)*(V88/O88-INDEX(Calib!$AA$1:$AA$13,$D89))</f>
        <v/>
      </c>
      <c r="T89" s="26">
        <f>INDEX(Calib!$X$1:$X$13,$D89)+INDEX(Calib!$G$1:$G$13,$D89)+P89+S89-R89</f>
        <v/>
      </c>
      <c r="U89" s="26">
        <f>p_rk*W88+Y88*(V88-W88)</f>
        <v/>
      </c>
      <c r="V89" s="26">
        <f>V88+U89+T89</f>
        <v/>
      </c>
      <c r="W89" s="26">
        <f>INDEX(Calib!$U$1:$U$13,$D89)+(W88-INDEX(Calib!$U$1:$U$13,$D89))*(1-p_amort)+p_sh_conc*P89</f>
        <v/>
      </c>
      <c r="X89" s="26">
        <f>V89/O89</f>
        <v/>
      </c>
      <c r="Y89" s="26">
        <f>INDEX(Calib!$K$1:$K$13,$D89)+p_eta*MAX(0,X89-INDEX(Calib!$AA$1:$AA$13,$D89))</f>
        <v/>
      </c>
      <c r="Z89" s="26">
        <f>(1-INDEX(Calib!$H$1:$H$13,$D89))*(1-p_alpha)*M89+S89</f>
        <v/>
      </c>
      <c r="AA89" s="26">
        <f>(1-p_delta_g)*AA88*(1-p_eps_g*$E89)+INDEX(Calib!$E$1:$E$13,$D89)*(INDEX(Calib!$G$1:$G$13,$D89)+p_programme*$H89)</f>
        <v/>
      </c>
      <c r="AB89" s="26">
        <f>AB88*(1-p_eps_k*$E89)+p_lambda_k*(AD89-AB88*(1-p_eps_k*$E89))</f>
        <v/>
      </c>
      <c r="AC89" s="26">
        <f>INDEX(Calib!$R$1:$R$13,$D89)*$F89*(AA88*(1-p_eps_g*$E89))^INDEX(Calib!$Q$1:$Q$13,$D89)*(AB88*(1-p_eps_k*$E89))^p_alpha</f>
        <v/>
      </c>
      <c r="AD89" s="26">
        <f>p_alpha*(1-INDEX(Calib!$H$1:$H$13,$D89))*AC89/(INDEX(Calib!$K$1:$K$13,$D89)+p_delta)</f>
        <v/>
      </c>
      <c r="AE89" s="26">
        <f>AC89+$G89</f>
        <v/>
      </c>
      <c r="AF89" s="26">
        <f>p_programme*($H89+$I89)</f>
        <v/>
      </c>
      <c r="AG89" s="26">
        <f>INDEX(Calib!$I$1:$I$13,$D89)+p_sh_grant*AF89</f>
        <v/>
      </c>
      <c r="AH89" s="26">
        <f>INDEX(Calib!$H$1:$H$13,$D89)*AC89+p_gov_take*$G89+AG89+p_programme*p_pricing*$J89</f>
        <v/>
      </c>
      <c r="AI89" s="26">
        <f>INDEX(Calib!$Y$1:$Y$13,$D89)-INDEX(Calib!$Z$1:$Z$13,$D89)*(AL88/AE88-INDEX(Calib!$AA$1:$AA$13,$D89))</f>
        <v/>
      </c>
      <c r="AJ89" s="26">
        <f>INDEX(Calib!$X$1:$X$13,$D89)+INDEX(Calib!$G$1:$G$13,$D89)+AF89+AI89-AH89</f>
        <v/>
      </c>
      <c r="AK89" s="26">
        <f>p_rk*AM88+AO88*(AL88-AM88)</f>
        <v/>
      </c>
      <c r="AL89" s="26">
        <f>AL88+AK89+AJ89</f>
        <v/>
      </c>
      <c r="AM89" s="26">
        <f>INDEX(Calib!$U$1:$U$13,$D89)+(AM88-INDEX(Calib!$U$1:$U$13,$D89))*(1-p_amort)+p_sh_conc*AF89</f>
        <v/>
      </c>
      <c r="AN89" s="26">
        <f>AL89/AE89</f>
        <v/>
      </c>
      <c r="AO89" s="26">
        <f>INDEX(Calib!$K$1:$K$13,$D89)+p_eta*MAX(0,AN89-INDEX(Calib!$AA$1:$AA$13,$D89))</f>
        <v/>
      </c>
      <c r="AP89" s="26">
        <f>(1-INDEX(Calib!$H$1:$H$13,$D89))*(1-p_alpha)*AC89+AI89</f>
        <v/>
      </c>
      <c r="AQ89" s="26">
        <f>(AE89/O89-1)*100</f>
        <v/>
      </c>
      <c r="AR89" s="26">
        <f>(AE89/AE83-1)*100</f>
        <v/>
      </c>
      <c r="AS89" s="26">
        <f>(O89/O83-1)*100</f>
        <v/>
      </c>
      <c r="AT89" s="26">
        <f>(AN89-X89)*100</f>
        <v/>
      </c>
      <c r="AU89" s="26">
        <f>(AP89/Z89-1)*100</f>
        <v/>
      </c>
      <c r="AV89" s="26">
        <f>(AI89-S89)*100</f>
        <v/>
      </c>
    </row>
    <row r="90">
      <c r="A90" s="25" t="inlineStr">
        <is>
          <t>LBR</t>
        </is>
      </c>
      <c r="B90" s="25" t="n">
        <v>2031</v>
      </c>
      <c r="C90" s="25" t="n">
        <v>7</v>
      </c>
      <c r="D90" s="25" t="n">
        <v>5</v>
      </c>
      <c r="E90" s="25">
        <f>IF(AND(p_dis_year&gt;0,B90=p_dis_year),1,0)</f>
        <v/>
      </c>
      <c r="F90" s="26">
        <f>IF(AND(p_dis_year&gt;0,B90&gt;=p_dis_year),1-p_eps_a*p_rho_a^(B90-p_dis_year),1)</f>
        <v/>
      </c>
      <c r="G90" s="26">
        <f>INDEX(Calib!$N$1:$N$13,$D90)*(1-p_rent_decline*MIN(1,C90/26))</f>
        <v/>
      </c>
      <c r="H90" s="26">
        <f>IF(C90=0,0,SUMIFS(dl_val,dl_iso,$A90,dl_ind,"pub_cap",dl_year,$B90)/100)</f>
        <v/>
      </c>
      <c r="I90" s="26">
        <f>IF(C90=0,0,SUMIFS(dl_val,dl_iso,$A90,dl_ind,"pub_spend",dl_year,$B90)/100)</f>
        <v/>
      </c>
      <c r="J90" s="26">
        <f>IF(C90=0,0,SUMIFS(dl_val,dl_iso,$A90,dl_ind,"rev",dl_year,$B90)/100)</f>
        <v/>
      </c>
      <c r="K90" s="26">
        <f>(1-p_delta_g)*K89*(1-p_eps_g*$E90)+INDEX(Calib!$E$1:$E$13,$D90)*(INDEX(Calib!$G$1:$G$13,$D90)+0*$H90)</f>
        <v/>
      </c>
      <c r="L90" s="26">
        <f>L89*(1-p_eps_k*$E90)+p_lambda_k*(N90-L89*(1-p_eps_k*$E90))</f>
        <v/>
      </c>
      <c r="M90" s="26">
        <f>INDEX(Calib!$R$1:$R$13,$D90)*$F90*(K89*(1-p_eps_g*$E90))^INDEX(Calib!$Q$1:$Q$13,$D90)*(L89*(1-p_eps_k*$E90))^p_alpha</f>
        <v/>
      </c>
      <c r="N90" s="26">
        <f>p_alpha*(1-INDEX(Calib!$H$1:$H$13,$D90))*M90/(INDEX(Calib!$K$1:$K$13,$D90)+p_delta)</f>
        <v/>
      </c>
      <c r="O90" s="26">
        <f>M90+$G90</f>
        <v/>
      </c>
      <c r="P90" s="26">
        <f>0*($H90+$I90)</f>
        <v/>
      </c>
      <c r="Q90" s="26">
        <f>INDEX(Calib!$I$1:$I$13,$D90)+p_sh_grant*P90</f>
        <v/>
      </c>
      <c r="R90" s="26">
        <f>INDEX(Calib!$H$1:$H$13,$D90)*M90+p_gov_take*$G90+Q90+0*p_pricing*$J90</f>
        <v/>
      </c>
      <c r="S90" s="26">
        <f>INDEX(Calib!$Y$1:$Y$13,$D90)-INDEX(Calib!$Z$1:$Z$13,$D90)*(V89/O89-INDEX(Calib!$AA$1:$AA$13,$D90))</f>
        <v/>
      </c>
      <c r="T90" s="26">
        <f>INDEX(Calib!$X$1:$X$13,$D90)+INDEX(Calib!$G$1:$G$13,$D90)+P90+S90-R90</f>
        <v/>
      </c>
      <c r="U90" s="26">
        <f>p_rk*W89+Y89*(V89-W89)</f>
        <v/>
      </c>
      <c r="V90" s="26">
        <f>V89+U90+T90</f>
        <v/>
      </c>
      <c r="W90" s="26">
        <f>INDEX(Calib!$U$1:$U$13,$D90)+(W89-INDEX(Calib!$U$1:$U$13,$D90))*(1-p_amort)+p_sh_conc*P90</f>
        <v/>
      </c>
      <c r="X90" s="26">
        <f>V90/O90</f>
        <v/>
      </c>
      <c r="Y90" s="26">
        <f>INDEX(Calib!$K$1:$K$13,$D90)+p_eta*MAX(0,X90-INDEX(Calib!$AA$1:$AA$13,$D90))</f>
        <v/>
      </c>
      <c r="Z90" s="26">
        <f>(1-INDEX(Calib!$H$1:$H$13,$D90))*(1-p_alpha)*M90+S90</f>
        <v/>
      </c>
      <c r="AA90" s="26">
        <f>(1-p_delta_g)*AA89*(1-p_eps_g*$E90)+INDEX(Calib!$E$1:$E$13,$D90)*(INDEX(Calib!$G$1:$G$13,$D90)+p_programme*$H90)</f>
        <v/>
      </c>
      <c r="AB90" s="26">
        <f>AB89*(1-p_eps_k*$E90)+p_lambda_k*(AD90-AB89*(1-p_eps_k*$E90))</f>
        <v/>
      </c>
      <c r="AC90" s="26">
        <f>INDEX(Calib!$R$1:$R$13,$D90)*$F90*(AA89*(1-p_eps_g*$E90))^INDEX(Calib!$Q$1:$Q$13,$D90)*(AB89*(1-p_eps_k*$E90))^p_alpha</f>
        <v/>
      </c>
      <c r="AD90" s="26">
        <f>p_alpha*(1-INDEX(Calib!$H$1:$H$13,$D90))*AC90/(INDEX(Calib!$K$1:$K$13,$D90)+p_delta)</f>
        <v/>
      </c>
      <c r="AE90" s="26">
        <f>AC90+$G90</f>
        <v/>
      </c>
      <c r="AF90" s="26">
        <f>p_programme*($H90+$I90)</f>
        <v/>
      </c>
      <c r="AG90" s="26">
        <f>INDEX(Calib!$I$1:$I$13,$D90)+p_sh_grant*AF90</f>
        <v/>
      </c>
      <c r="AH90" s="26">
        <f>INDEX(Calib!$H$1:$H$13,$D90)*AC90+p_gov_take*$G90+AG90+p_programme*p_pricing*$J90</f>
        <v/>
      </c>
      <c r="AI90" s="26">
        <f>INDEX(Calib!$Y$1:$Y$13,$D90)-INDEX(Calib!$Z$1:$Z$13,$D90)*(AL89/AE89-INDEX(Calib!$AA$1:$AA$13,$D90))</f>
        <v/>
      </c>
      <c r="AJ90" s="26">
        <f>INDEX(Calib!$X$1:$X$13,$D90)+INDEX(Calib!$G$1:$G$13,$D90)+AF90+AI90-AH90</f>
        <v/>
      </c>
      <c r="AK90" s="26">
        <f>p_rk*AM89+AO89*(AL89-AM89)</f>
        <v/>
      </c>
      <c r="AL90" s="26">
        <f>AL89+AK90+AJ90</f>
        <v/>
      </c>
      <c r="AM90" s="26">
        <f>INDEX(Calib!$U$1:$U$13,$D90)+(AM89-INDEX(Calib!$U$1:$U$13,$D90))*(1-p_amort)+p_sh_conc*AF90</f>
        <v/>
      </c>
      <c r="AN90" s="26">
        <f>AL90/AE90</f>
        <v/>
      </c>
      <c r="AO90" s="26">
        <f>INDEX(Calib!$K$1:$K$13,$D90)+p_eta*MAX(0,AN90-INDEX(Calib!$AA$1:$AA$13,$D90))</f>
        <v/>
      </c>
      <c r="AP90" s="26">
        <f>(1-INDEX(Calib!$H$1:$H$13,$D90))*(1-p_alpha)*AC90+AI90</f>
        <v/>
      </c>
      <c r="AQ90" s="26">
        <f>(AE90/O90-1)*100</f>
        <v/>
      </c>
      <c r="AR90" s="26">
        <f>(AE90/AE83-1)*100</f>
        <v/>
      </c>
      <c r="AS90" s="26">
        <f>(O90/O83-1)*100</f>
        <v/>
      </c>
      <c r="AT90" s="26">
        <f>(AN90-X90)*100</f>
        <v/>
      </c>
      <c r="AU90" s="26">
        <f>(AP90/Z90-1)*100</f>
        <v/>
      </c>
      <c r="AV90" s="26">
        <f>(AI90-S90)*100</f>
        <v/>
      </c>
    </row>
    <row r="91">
      <c r="A91" s="25" t="inlineStr">
        <is>
          <t>LBR</t>
        </is>
      </c>
      <c r="B91" s="25" t="n">
        <v>2032</v>
      </c>
      <c r="C91" s="25" t="n">
        <v>8</v>
      </c>
      <c r="D91" s="25" t="n">
        <v>5</v>
      </c>
      <c r="E91" s="25">
        <f>IF(AND(p_dis_year&gt;0,B91=p_dis_year),1,0)</f>
        <v/>
      </c>
      <c r="F91" s="26">
        <f>IF(AND(p_dis_year&gt;0,B91&gt;=p_dis_year),1-p_eps_a*p_rho_a^(B91-p_dis_year),1)</f>
        <v/>
      </c>
      <c r="G91" s="26">
        <f>INDEX(Calib!$N$1:$N$13,$D91)*(1-p_rent_decline*MIN(1,C91/26))</f>
        <v/>
      </c>
      <c r="H91" s="26">
        <f>IF(C91=0,0,SUMIFS(dl_val,dl_iso,$A91,dl_ind,"pub_cap",dl_year,$B91)/100)</f>
        <v/>
      </c>
      <c r="I91" s="26">
        <f>IF(C91=0,0,SUMIFS(dl_val,dl_iso,$A91,dl_ind,"pub_spend",dl_year,$B91)/100)</f>
        <v/>
      </c>
      <c r="J91" s="26">
        <f>IF(C91=0,0,SUMIFS(dl_val,dl_iso,$A91,dl_ind,"rev",dl_year,$B91)/100)</f>
        <v/>
      </c>
      <c r="K91" s="26">
        <f>(1-p_delta_g)*K90*(1-p_eps_g*$E91)+INDEX(Calib!$E$1:$E$13,$D91)*(INDEX(Calib!$G$1:$G$13,$D91)+0*$H91)</f>
        <v/>
      </c>
      <c r="L91" s="26">
        <f>L90*(1-p_eps_k*$E91)+p_lambda_k*(N91-L90*(1-p_eps_k*$E91))</f>
        <v/>
      </c>
      <c r="M91" s="26">
        <f>INDEX(Calib!$R$1:$R$13,$D91)*$F91*(K90*(1-p_eps_g*$E91))^INDEX(Calib!$Q$1:$Q$13,$D91)*(L90*(1-p_eps_k*$E91))^p_alpha</f>
        <v/>
      </c>
      <c r="N91" s="26">
        <f>p_alpha*(1-INDEX(Calib!$H$1:$H$13,$D91))*M91/(INDEX(Calib!$K$1:$K$13,$D91)+p_delta)</f>
        <v/>
      </c>
      <c r="O91" s="26">
        <f>M91+$G91</f>
        <v/>
      </c>
      <c r="P91" s="26">
        <f>0*($H91+$I91)</f>
        <v/>
      </c>
      <c r="Q91" s="26">
        <f>INDEX(Calib!$I$1:$I$13,$D91)+p_sh_grant*P91</f>
        <v/>
      </c>
      <c r="R91" s="26">
        <f>INDEX(Calib!$H$1:$H$13,$D91)*M91+p_gov_take*$G91+Q91+0*p_pricing*$J91</f>
        <v/>
      </c>
      <c r="S91" s="26">
        <f>INDEX(Calib!$Y$1:$Y$13,$D91)-INDEX(Calib!$Z$1:$Z$13,$D91)*(V90/O90-INDEX(Calib!$AA$1:$AA$13,$D91))</f>
        <v/>
      </c>
      <c r="T91" s="26">
        <f>INDEX(Calib!$X$1:$X$13,$D91)+INDEX(Calib!$G$1:$G$13,$D91)+P91+S91-R91</f>
        <v/>
      </c>
      <c r="U91" s="26">
        <f>p_rk*W90+Y90*(V90-W90)</f>
        <v/>
      </c>
      <c r="V91" s="26">
        <f>V90+U91+T91</f>
        <v/>
      </c>
      <c r="W91" s="26">
        <f>INDEX(Calib!$U$1:$U$13,$D91)+(W90-INDEX(Calib!$U$1:$U$13,$D91))*(1-p_amort)+p_sh_conc*P91</f>
        <v/>
      </c>
      <c r="X91" s="26">
        <f>V91/O91</f>
        <v/>
      </c>
      <c r="Y91" s="26">
        <f>INDEX(Calib!$K$1:$K$13,$D91)+p_eta*MAX(0,X91-INDEX(Calib!$AA$1:$AA$13,$D91))</f>
        <v/>
      </c>
      <c r="Z91" s="26">
        <f>(1-INDEX(Calib!$H$1:$H$13,$D91))*(1-p_alpha)*M91+S91</f>
        <v/>
      </c>
      <c r="AA91" s="26">
        <f>(1-p_delta_g)*AA90*(1-p_eps_g*$E91)+INDEX(Calib!$E$1:$E$13,$D91)*(INDEX(Calib!$G$1:$G$13,$D91)+p_programme*$H91)</f>
        <v/>
      </c>
      <c r="AB91" s="26">
        <f>AB90*(1-p_eps_k*$E91)+p_lambda_k*(AD91-AB90*(1-p_eps_k*$E91))</f>
        <v/>
      </c>
      <c r="AC91" s="26">
        <f>INDEX(Calib!$R$1:$R$13,$D91)*$F91*(AA90*(1-p_eps_g*$E91))^INDEX(Calib!$Q$1:$Q$13,$D91)*(AB90*(1-p_eps_k*$E91))^p_alpha</f>
        <v/>
      </c>
      <c r="AD91" s="26">
        <f>p_alpha*(1-INDEX(Calib!$H$1:$H$13,$D91))*AC91/(INDEX(Calib!$K$1:$K$13,$D91)+p_delta)</f>
        <v/>
      </c>
      <c r="AE91" s="26">
        <f>AC91+$G91</f>
        <v/>
      </c>
      <c r="AF91" s="26">
        <f>p_programme*($H91+$I91)</f>
        <v/>
      </c>
      <c r="AG91" s="26">
        <f>INDEX(Calib!$I$1:$I$13,$D91)+p_sh_grant*AF91</f>
        <v/>
      </c>
      <c r="AH91" s="26">
        <f>INDEX(Calib!$H$1:$H$13,$D91)*AC91+p_gov_take*$G91+AG91+p_programme*p_pricing*$J91</f>
        <v/>
      </c>
      <c r="AI91" s="26">
        <f>INDEX(Calib!$Y$1:$Y$13,$D91)-INDEX(Calib!$Z$1:$Z$13,$D91)*(AL90/AE90-INDEX(Calib!$AA$1:$AA$13,$D91))</f>
        <v/>
      </c>
      <c r="AJ91" s="26">
        <f>INDEX(Calib!$X$1:$X$13,$D91)+INDEX(Calib!$G$1:$G$13,$D91)+AF91+AI91-AH91</f>
        <v/>
      </c>
      <c r="AK91" s="26">
        <f>p_rk*AM90+AO90*(AL90-AM90)</f>
        <v/>
      </c>
      <c r="AL91" s="26">
        <f>AL90+AK91+AJ91</f>
        <v/>
      </c>
      <c r="AM91" s="26">
        <f>INDEX(Calib!$U$1:$U$13,$D91)+(AM90-INDEX(Calib!$U$1:$U$13,$D91))*(1-p_amort)+p_sh_conc*AF91</f>
        <v/>
      </c>
      <c r="AN91" s="26">
        <f>AL91/AE91</f>
        <v/>
      </c>
      <c r="AO91" s="26">
        <f>INDEX(Calib!$K$1:$K$13,$D91)+p_eta*MAX(0,AN91-INDEX(Calib!$AA$1:$AA$13,$D91))</f>
        <v/>
      </c>
      <c r="AP91" s="26">
        <f>(1-INDEX(Calib!$H$1:$H$13,$D91))*(1-p_alpha)*AC91+AI91</f>
        <v/>
      </c>
      <c r="AQ91" s="26">
        <f>(AE91/O91-1)*100</f>
        <v/>
      </c>
      <c r="AR91" s="26">
        <f>(AE91/AE83-1)*100</f>
        <v/>
      </c>
      <c r="AS91" s="26">
        <f>(O91/O83-1)*100</f>
        <v/>
      </c>
      <c r="AT91" s="26">
        <f>(AN91-X91)*100</f>
        <v/>
      </c>
      <c r="AU91" s="26">
        <f>(AP91/Z91-1)*100</f>
        <v/>
      </c>
      <c r="AV91" s="26">
        <f>(AI91-S91)*100</f>
        <v/>
      </c>
    </row>
    <row r="92">
      <c r="A92" s="25" t="inlineStr">
        <is>
          <t>LBR</t>
        </is>
      </c>
      <c r="B92" s="25" t="n">
        <v>2033</v>
      </c>
      <c r="C92" s="25" t="n">
        <v>9</v>
      </c>
      <c r="D92" s="25" t="n">
        <v>5</v>
      </c>
      <c r="E92" s="25">
        <f>IF(AND(p_dis_year&gt;0,B92=p_dis_year),1,0)</f>
        <v/>
      </c>
      <c r="F92" s="26">
        <f>IF(AND(p_dis_year&gt;0,B92&gt;=p_dis_year),1-p_eps_a*p_rho_a^(B92-p_dis_year),1)</f>
        <v/>
      </c>
      <c r="G92" s="26">
        <f>INDEX(Calib!$N$1:$N$13,$D92)*(1-p_rent_decline*MIN(1,C92/26))</f>
        <v/>
      </c>
      <c r="H92" s="26">
        <f>IF(C92=0,0,SUMIFS(dl_val,dl_iso,$A92,dl_ind,"pub_cap",dl_year,$B92)/100)</f>
        <v/>
      </c>
      <c r="I92" s="26">
        <f>IF(C92=0,0,SUMIFS(dl_val,dl_iso,$A92,dl_ind,"pub_spend",dl_year,$B92)/100)</f>
        <v/>
      </c>
      <c r="J92" s="26">
        <f>IF(C92=0,0,SUMIFS(dl_val,dl_iso,$A92,dl_ind,"rev",dl_year,$B92)/100)</f>
        <v/>
      </c>
      <c r="K92" s="26">
        <f>(1-p_delta_g)*K91*(1-p_eps_g*$E92)+INDEX(Calib!$E$1:$E$13,$D92)*(INDEX(Calib!$G$1:$G$13,$D92)+0*$H92)</f>
        <v/>
      </c>
      <c r="L92" s="26">
        <f>L91*(1-p_eps_k*$E92)+p_lambda_k*(N92-L91*(1-p_eps_k*$E92))</f>
        <v/>
      </c>
      <c r="M92" s="26">
        <f>INDEX(Calib!$R$1:$R$13,$D92)*$F92*(K91*(1-p_eps_g*$E92))^INDEX(Calib!$Q$1:$Q$13,$D92)*(L91*(1-p_eps_k*$E92))^p_alpha</f>
        <v/>
      </c>
      <c r="N92" s="26">
        <f>p_alpha*(1-INDEX(Calib!$H$1:$H$13,$D92))*M92/(INDEX(Calib!$K$1:$K$13,$D92)+p_delta)</f>
        <v/>
      </c>
      <c r="O92" s="26">
        <f>M92+$G92</f>
        <v/>
      </c>
      <c r="P92" s="26">
        <f>0*($H92+$I92)</f>
        <v/>
      </c>
      <c r="Q92" s="26">
        <f>INDEX(Calib!$I$1:$I$13,$D92)+p_sh_grant*P92</f>
        <v/>
      </c>
      <c r="R92" s="26">
        <f>INDEX(Calib!$H$1:$H$13,$D92)*M92+p_gov_take*$G92+Q92+0*p_pricing*$J92</f>
        <v/>
      </c>
      <c r="S92" s="26">
        <f>INDEX(Calib!$Y$1:$Y$13,$D92)-INDEX(Calib!$Z$1:$Z$13,$D92)*(V91/O91-INDEX(Calib!$AA$1:$AA$13,$D92))</f>
        <v/>
      </c>
      <c r="T92" s="26">
        <f>INDEX(Calib!$X$1:$X$13,$D92)+INDEX(Calib!$G$1:$G$13,$D92)+P92+S92-R92</f>
        <v/>
      </c>
      <c r="U92" s="26">
        <f>p_rk*W91+Y91*(V91-W91)</f>
        <v/>
      </c>
      <c r="V92" s="26">
        <f>V91+U92+T92</f>
        <v/>
      </c>
      <c r="W92" s="26">
        <f>INDEX(Calib!$U$1:$U$13,$D92)+(W91-INDEX(Calib!$U$1:$U$13,$D92))*(1-p_amort)+p_sh_conc*P92</f>
        <v/>
      </c>
      <c r="X92" s="26">
        <f>V92/O92</f>
        <v/>
      </c>
      <c r="Y92" s="26">
        <f>INDEX(Calib!$K$1:$K$13,$D92)+p_eta*MAX(0,X92-INDEX(Calib!$AA$1:$AA$13,$D92))</f>
        <v/>
      </c>
      <c r="Z92" s="26">
        <f>(1-INDEX(Calib!$H$1:$H$13,$D92))*(1-p_alpha)*M92+S92</f>
        <v/>
      </c>
      <c r="AA92" s="26">
        <f>(1-p_delta_g)*AA91*(1-p_eps_g*$E92)+INDEX(Calib!$E$1:$E$13,$D92)*(INDEX(Calib!$G$1:$G$13,$D92)+p_programme*$H92)</f>
        <v/>
      </c>
      <c r="AB92" s="26">
        <f>AB91*(1-p_eps_k*$E92)+p_lambda_k*(AD92-AB91*(1-p_eps_k*$E92))</f>
        <v/>
      </c>
      <c r="AC92" s="26">
        <f>INDEX(Calib!$R$1:$R$13,$D92)*$F92*(AA91*(1-p_eps_g*$E92))^INDEX(Calib!$Q$1:$Q$13,$D92)*(AB91*(1-p_eps_k*$E92))^p_alpha</f>
        <v/>
      </c>
      <c r="AD92" s="26">
        <f>p_alpha*(1-INDEX(Calib!$H$1:$H$13,$D92))*AC92/(INDEX(Calib!$K$1:$K$13,$D92)+p_delta)</f>
        <v/>
      </c>
      <c r="AE92" s="26">
        <f>AC92+$G92</f>
        <v/>
      </c>
      <c r="AF92" s="26">
        <f>p_programme*($H92+$I92)</f>
        <v/>
      </c>
      <c r="AG92" s="26">
        <f>INDEX(Calib!$I$1:$I$13,$D92)+p_sh_grant*AF92</f>
        <v/>
      </c>
      <c r="AH92" s="26">
        <f>INDEX(Calib!$H$1:$H$13,$D92)*AC92+p_gov_take*$G92+AG92+p_programme*p_pricing*$J92</f>
        <v/>
      </c>
      <c r="AI92" s="26">
        <f>INDEX(Calib!$Y$1:$Y$13,$D92)-INDEX(Calib!$Z$1:$Z$13,$D92)*(AL91/AE91-INDEX(Calib!$AA$1:$AA$13,$D92))</f>
        <v/>
      </c>
      <c r="AJ92" s="26">
        <f>INDEX(Calib!$X$1:$X$13,$D92)+INDEX(Calib!$G$1:$G$13,$D92)+AF92+AI92-AH92</f>
        <v/>
      </c>
      <c r="AK92" s="26">
        <f>p_rk*AM91+AO91*(AL91-AM91)</f>
        <v/>
      </c>
      <c r="AL92" s="26">
        <f>AL91+AK92+AJ92</f>
        <v/>
      </c>
      <c r="AM92" s="26">
        <f>INDEX(Calib!$U$1:$U$13,$D92)+(AM91-INDEX(Calib!$U$1:$U$13,$D92))*(1-p_amort)+p_sh_conc*AF92</f>
        <v/>
      </c>
      <c r="AN92" s="26">
        <f>AL92/AE92</f>
        <v/>
      </c>
      <c r="AO92" s="26">
        <f>INDEX(Calib!$K$1:$K$13,$D92)+p_eta*MAX(0,AN92-INDEX(Calib!$AA$1:$AA$13,$D92))</f>
        <v/>
      </c>
      <c r="AP92" s="26">
        <f>(1-INDEX(Calib!$H$1:$H$13,$D92))*(1-p_alpha)*AC92+AI92</f>
        <v/>
      </c>
      <c r="AQ92" s="26">
        <f>(AE92/O92-1)*100</f>
        <v/>
      </c>
      <c r="AR92" s="26">
        <f>(AE92/AE83-1)*100</f>
        <v/>
      </c>
      <c r="AS92" s="26">
        <f>(O92/O83-1)*100</f>
        <v/>
      </c>
      <c r="AT92" s="26">
        <f>(AN92-X92)*100</f>
        <v/>
      </c>
      <c r="AU92" s="26">
        <f>(AP92/Z92-1)*100</f>
        <v/>
      </c>
      <c r="AV92" s="26">
        <f>(AI92-S92)*100</f>
        <v/>
      </c>
    </row>
    <row r="93">
      <c r="A93" s="25" t="inlineStr">
        <is>
          <t>LBR</t>
        </is>
      </c>
      <c r="B93" s="25" t="n">
        <v>2034</v>
      </c>
      <c r="C93" s="25" t="n">
        <v>10</v>
      </c>
      <c r="D93" s="25" t="n">
        <v>5</v>
      </c>
      <c r="E93" s="25">
        <f>IF(AND(p_dis_year&gt;0,B93=p_dis_year),1,0)</f>
        <v/>
      </c>
      <c r="F93" s="26">
        <f>IF(AND(p_dis_year&gt;0,B93&gt;=p_dis_year),1-p_eps_a*p_rho_a^(B93-p_dis_year),1)</f>
        <v/>
      </c>
      <c r="G93" s="26">
        <f>INDEX(Calib!$N$1:$N$13,$D93)*(1-p_rent_decline*MIN(1,C93/26))</f>
        <v/>
      </c>
      <c r="H93" s="26">
        <f>IF(C93=0,0,SUMIFS(dl_val,dl_iso,$A93,dl_ind,"pub_cap",dl_year,$B93)/100)</f>
        <v/>
      </c>
      <c r="I93" s="26">
        <f>IF(C93=0,0,SUMIFS(dl_val,dl_iso,$A93,dl_ind,"pub_spend",dl_year,$B93)/100)</f>
        <v/>
      </c>
      <c r="J93" s="26">
        <f>IF(C93=0,0,SUMIFS(dl_val,dl_iso,$A93,dl_ind,"rev",dl_year,$B93)/100)</f>
        <v/>
      </c>
      <c r="K93" s="26">
        <f>(1-p_delta_g)*K92*(1-p_eps_g*$E93)+INDEX(Calib!$E$1:$E$13,$D93)*(INDEX(Calib!$G$1:$G$13,$D93)+0*$H93)</f>
        <v/>
      </c>
      <c r="L93" s="26">
        <f>L92*(1-p_eps_k*$E93)+p_lambda_k*(N93-L92*(1-p_eps_k*$E93))</f>
        <v/>
      </c>
      <c r="M93" s="26">
        <f>INDEX(Calib!$R$1:$R$13,$D93)*$F93*(K92*(1-p_eps_g*$E93))^INDEX(Calib!$Q$1:$Q$13,$D93)*(L92*(1-p_eps_k*$E93))^p_alpha</f>
        <v/>
      </c>
      <c r="N93" s="26">
        <f>p_alpha*(1-INDEX(Calib!$H$1:$H$13,$D93))*M93/(INDEX(Calib!$K$1:$K$13,$D93)+p_delta)</f>
        <v/>
      </c>
      <c r="O93" s="26">
        <f>M93+$G93</f>
        <v/>
      </c>
      <c r="P93" s="26">
        <f>0*($H93+$I93)</f>
        <v/>
      </c>
      <c r="Q93" s="26">
        <f>INDEX(Calib!$I$1:$I$13,$D93)+p_sh_grant*P93</f>
        <v/>
      </c>
      <c r="R93" s="26">
        <f>INDEX(Calib!$H$1:$H$13,$D93)*M93+p_gov_take*$G93+Q93+0*p_pricing*$J93</f>
        <v/>
      </c>
      <c r="S93" s="26">
        <f>INDEX(Calib!$Y$1:$Y$13,$D93)-INDEX(Calib!$Z$1:$Z$13,$D93)*(V92/O92-INDEX(Calib!$AA$1:$AA$13,$D93))</f>
        <v/>
      </c>
      <c r="T93" s="26">
        <f>INDEX(Calib!$X$1:$X$13,$D93)+INDEX(Calib!$G$1:$G$13,$D93)+P93+S93-R93</f>
        <v/>
      </c>
      <c r="U93" s="26">
        <f>p_rk*W92+Y92*(V92-W92)</f>
        <v/>
      </c>
      <c r="V93" s="26">
        <f>V92+U93+T93</f>
        <v/>
      </c>
      <c r="W93" s="26">
        <f>INDEX(Calib!$U$1:$U$13,$D93)+(W92-INDEX(Calib!$U$1:$U$13,$D93))*(1-p_amort)+p_sh_conc*P93</f>
        <v/>
      </c>
      <c r="X93" s="26">
        <f>V93/O93</f>
        <v/>
      </c>
      <c r="Y93" s="26">
        <f>INDEX(Calib!$K$1:$K$13,$D93)+p_eta*MAX(0,X93-INDEX(Calib!$AA$1:$AA$13,$D93))</f>
        <v/>
      </c>
      <c r="Z93" s="26">
        <f>(1-INDEX(Calib!$H$1:$H$13,$D93))*(1-p_alpha)*M93+S93</f>
        <v/>
      </c>
      <c r="AA93" s="26">
        <f>(1-p_delta_g)*AA92*(1-p_eps_g*$E93)+INDEX(Calib!$E$1:$E$13,$D93)*(INDEX(Calib!$G$1:$G$13,$D93)+p_programme*$H93)</f>
        <v/>
      </c>
      <c r="AB93" s="26">
        <f>AB92*(1-p_eps_k*$E93)+p_lambda_k*(AD93-AB92*(1-p_eps_k*$E93))</f>
        <v/>
      </c>
      <c r="AC93" s="26">
        <f>INDEX(Calib!$R$1:$R$13,$D93)*$F93*(AA92*(1-p_eps_g*$E93))^INDEX(Calib!$Q$1:$Q$13,$D93)*(AB92*(1-p_eps_k*$E93))^p_alpha</f>
        <v/>
      </c>
      <c r="AD93" s="26">
        <f>p_alpha*(1-INDEX(Calib!$H$1:$H$13,$D93))*AC93/(INDEX(Calib!$K$1:$K$13,$D93)+p_delta)</f>
        <v/>
      </c>
      <c r="AE93" s="26">
        <f>AC93+$G93</f>
        <v/>
      </c>
      <c r="AF93" s="26">
        <f>p_programme*($H93+$I93)</f>
        <v/>
      </c>
      <c r="AG93" s="26">
        <f>INDEX(Calib!$I$1:$I$13,$D93)+p_sh_grant*AF93</f>
        <v/>
      </c>
      <c r="AH93" s="26">
        <f>INDEX(Calib!$H$1:$H$13,$D93)*AC93+p_gov_take*$G93+AG93+p_programme*p_pricing*$J93</f>
        <v/>
      </c>
      <c r="AI93" s="26">
        <f>INDEX(Calib!$Y$1:$Y$13,$D93)-INDEX(Calib!$Z$1:$Z$13,$D93)*(AL92/AE92-INDEX(Calib!$AA$1:$AA$13,$D93))</f>
        <v/>
      </c>
      <c r="AJ93" s="26">
        <f>INDEX(Calib!$X$1:$X$13,$D93)+INDEX(Calib!$G$1:$G$13,$D93)+AF93+AI93-AH93</f>
        <v/>
      </c>
      <c r="AK93" s="26">
        <f>p_rk*AM92+AO92*(AL92-AM92)</f>
        <v/>
      </c>
      <c r="AL93" s="26">
        <f>AL92+AK93+AJ93</f>
        <v/>
      </c>
      <c r="AM93" s="26">
        <f>INDEX(Calib!$U$1:$U$13,$D93)+(AM92-INDEX(Calib!$U$1:$U$13,$D93))*(1-p_amort)+p_sh_conc*AF93</f>
        <v/>
      </c>
      <c r="AN93" s="26">
        <f>AL93/AE93</f>
        <v/>
      </c>
      <c r="AO93" s="26">
        <f>INDEX(Calib!$K$1:$K$13,$D93)+p_eta*MAX(0,AN93-INDEX(Calib!$AA$1:$AA$13,$D93))</f>
        <v/>
      </c>
      <c r="AP93" s="26">
        <f>(1-INDEX(Calib!$H$1:$H$13,$D93))*(1-p_alpha)*AC93+AI93</f>
        <v/>
      </c>
      <c r="AQ93" s="26">
        <f>(AE93/O93-1)*100</f>
        <v/>
      </c>
      <c r="AR93" s="26">
        <f>(AE93/AE83-1)*100</f>
        <v/>
      </c>
      <c r="AS93" s="26">
        <f>(O93/O83-1)*100</f>
        <v/>
      </c>
      <c r="AT93" s="26">
        <f>(AN93-X93)*100</f>
        <v/>
      </c>
      <c r="AU93" s="26">
        <f>(AP93/Z93-1)*100</f>
        <v/>
      </c>
      <c r="AV93" s="26">
        <f>(AI93-S93)*100</f>
        <v/>
      </c>
    </row>
    <row r="94">
      <c r="A94" s="25" t="inlineStr">
        <is>
          <t>LBR</t>
        </is>
      </c>
      <c r="B94" s="25" t="n">
        <v>2035</v>
      </c>
      <c r="C94" s="25" t="n">
        <v>11</v>
      </c>
      <c r="D94" s="25" t="n">
        <v>5</v>
      </c>
      <c r="E94" s="25">
        <f>IF(AND(p_dis_year&gt;0,B94=p_dis_year),1,0)</f>
        <v/>
      </c>
      <c r="F94" s="26">
        <f>IF(AND(p_dis_year&gt;0,B94&gt;=p_dis_year),1-p_eps_a*p_rho_a^(B94-p_dis_year),1)</f>
        <v/>
      </c>
      <c r="G94" s="26">
        <f>INDEX(Calib!$N$1:$N$13,$D94)*(1-p_rent_decline*MIN(1,C94/26))</f>
        <v/>
      </c>
      <c r="H94" s="26">
        <f>IF(C94=0,0,SUMIFS(dl_val,dl_iso,$A94,dl_ind,"pub_cap",dl_year,$B94)/100)</f>
        <v/>
      </c>
      <c r="I94" s="26">
        <f>IF(C94=0,0,SUMIFS(dl_val,dl_iso,$A94,dl_ind,"pub_spend",dl_year,$B94)/100)</f>
        <v/>
      </c>
      <c r="J94" s="26">
        <f>IF(C94=0,0,SUMIFS(dl_val,dl_iso,$A94,dl_ind,"rev",dl_year,$B94)/100)</f>
        <v/>
      </c>
      <c r="K94" s="26">
        <f>(1-p_delta_g)*K93*(1-p_eps_g*$E94)+INDEX(Calib!$E$1:$E$13,$D94)*(INDEX(Calib!$G$1:$G$13,$D94)+0*$H94)</f>
        <v/>
      </c>
      <c r="L94" s="26">
        <f>L93*(1-p_eps_k*$E94)+p_lambda_k*(N94-L93*(1-p_eps_k*$E94))</f>
        <v/>
      </c>
      <c r="M94" s="26">
        <f>INDEX(Calib!$R$1:$R$13,$D94)*$F94*(K93*(1-p_eps_g*$E94))^INDEX(Calib!$Q$1:$Q$13,$D94)*(L93*(1-p_eps_k*$E94))^p_alpha</f>
        <v/>
      </c>
      <c r="N94" s="26">
        <f>p_alpha*(1-INDEX(Calib!$H$1:$H$13,$D94))*M94/(INDEX(Calib!$K$1:$K$13,$D94)+p_delta)</f>
        <v/>
      </c>
      <c r="O94" s="26">
        <f>M94+$G94</f>
        <v/>
      </c>
      <c r="P94" s="26">
        <f>0*($H94+$I94)</f>
        <v/>
      </c>
      <c r="Q94" s="26">
        <f>INDEX(Calib!$I$1:$I$13,$D94)+p_sh_grant*P94</f>
        <v/>
      </c>
      <c r="R94" s="26">
        <f>INDEX(Calib!$H$1:$H$13,$D94)*M94+p_gov_take*$G94+Q94+0*p_pricing*$J94</f>
        <v/>
      </c>
      <c r="S94" s="26">
        <f>INDEX(Calib!$Y$1:$Y$13,$D94)-INDEX(Calib!$Z$1:$Z$13,$D94)*(V93/O93-INDEX(Calib!$AA$1:$AA$13,$D94))</f>
        <v/>
      </c>
      <c r="T94" s="26">
        <f>INDEX(Calib!$X$1:$X$13,$D94)+INDEX(Calib!$G$1:$G$13,$D94)+P94+S94-R94</f>
        <v/>
      </c>
      <c r="U94" s="26">
        <f>p_rk*W93+Y93*(V93-W93)</f>
        <v/>
      </c>
      <c r="V94" s="26">
        <f>V93+U94+T94</f>
        <v/>
      </c>
      <c r="W94" s="26">
        <f>INDEX(Calib!$U$1:$U$13,$D94)+(W93-INDEX(Calib!$U$1:$U$13,$D94))*(1-p_amort)+p_sh_conc*P94</f>
        <v/>
      </c>
      <c r="X94" s="26">
        <f>V94/O94</f>
        <v/>
      </c>
      <c r="Y94" s="26">
        <f>INDEX(Calib!$K$1:$K$13,$D94)+p_eta*MAX(0,X94-INDEX(Calib!$AA$1:$AA$13,$D94))</f>
        <v/>
      </c>
      <c r="Z94" s="26">
        <f>(1-INDEX(Calib!$H$1:$H$13,$D94))*(1-p_alpha)*M94+S94</f>
        <v/>
      </c>
      <c r="AA94" s="26">
        <f>(1-p_delta_g)*AA93*(1-p_eps_g*$E94)+INDEX(Calib!$E$1:$E$13,$D94)*(INDEX(Calib!$G$1:$G$13,$D94)+p_programme*$H94)</f>
        <v/>
      </c>
      <c r="AB94" s="26">
        <f>AB93*(1-p_eps_k*$E94)+p_lambda_k*(AD94-AB93*(1-p_eps_k*$E94))</f>
        <v/>
      </c>
      <c r="AC94" s="26">
        <f>INDEX(Calib!$R$1:$R$13,$D94)*$F94*(AA93*(1-p_eps_g*$E94))^INDEX(Calib!$Q$1:$Q$13,$D94)*(AB93*(1-p_eps_k*$E94))^p_alpha</f>
        <v/>
      </c>
      <c r="AD94" s="26">
        <f>p_alpha*(1-INDEX(Calib!$H$1:$H$13,$D94))*AC94/(INDEX(Calib!$K$1:$K$13,$D94)+p_delta)</f>
        <v/>
      </c>
      <c r="AE94" s="26">
        <f>AC94+$G94</f>
        <v/>
      </c>
      <c r="AF94" s="26">
        <f>p_programme*($H94+$I94)</f>
        <v/>
      </c>
      <c r="AG94" s="26">
        <f>INDEX(Calib!$I$1:$I$13,$D94)+p_sh_grant*AF94</f>
        <v/>
      </c>
      <c r="AH94" s="26">
        <f>INDEX(Calib!$H$1:$H$13,$D94)*AC94+p_gov_take*$G94+AG94+p_programme*p_pricing*$J94</f>
        <v/>
      </c>
      <c r="AI94" s="26">
        <f>INDEX(Calib!$Y$1:$Y$13,$D94)-INDEX(Calib!$Z$1:$Z$13,$D94)*(AL93/AE93-INDEX(Calib!$AA$1:$AA$13,$D94))</f>
        <v/>
      </c>
      <c r="AJ94" s="26">
        <f>INDEX(Calib!$X$1:$X$13,$D94)+INDEX(Calib!$G$1:$G$13,$D94)+AF94+AI94-AH94</f>
        <v/>
      </c>
      <c r="AK94" s="26">
        <f>p_rk*AM93+AO93*(AL93-AM93)</f>
        <v/>
      </c>
      <c r="AL94" s="26">
        <f>AL93+AK94+AJ94</f>
        <v/>
      </c>
      <c r="AM94" s="26">
        <f>INDEX(Calib!$U$1:$U$13,$D94)+(AM93-INDEX(Calib!$U$1:$U$13,$D94))*(1-p_amort)+p_sh_conc*AF94</f>
        <v/>
      </c>
      <c r="AN94" s="26">
        <f>AL94/AE94</f>
        <v/>
      </c>
      <c r="AO94" s="26">
        <f>INDEX(Calib!$K$1:$K$13,$D94)+p_eta*MAX(0,AN94-INDEX(Calib!$AA$1:$AA$13,$D94))</f>
        <v/>
      </c>
      <c r="AP94" s="26">
        <f>(1-INDEX(Calib!$H$1:$H$13,$D94))*(1-p_alpha)*AC94+AI94</f>
        <v/>
      </c>
      <c r="AQ94" s="26">
        <f>(AE94/O94-1)*100</f>
        <v/>
      </c>
      <c r="AR94" s="26">
        <f>(AE94/AE83-1)*100</f>
        <v/>
      </c>
      <c r="AS94" s="26">
        <f>(O94/O83-1)*100</f>
        <v/>
      </c>
      <c r="AT94" s="26">
        <f>(AN94-X94)*100</f>
        <v/>
      </c>
      <c r="AU94" s="26">
        <f>(AP94/Z94-1)*100</f>
        <v/>
      </c>
      <c r="AV94" s="26">
        <f>(AI94-S94)*100</f>
        <v/>
      </c>
    </row>
    <row r="95">
      <c r="A95" s="25" t="inlineStr">
        <is>
          <t>LBR</t>
        </is>
      </c>
      <c r="B95" s="25" t="n">
        <v>2036</v>
      </c>
      <c r="C95" s="25" t="n">
        <v>12</v>
      </c>
      <c r="D95" s="25" t="n">
        <v>5</v>
      </c>
      <c r="E95" s="25">
        <f>IF(AND(p_dis_year&gt;0,B95=p_dis_year),1,0)</f>
        <v/>
      </c>
      <c r="F95" s="26">
        <f>IF(AND(p_dis_year&gt;0,B95&gt;=p_dis_year),1-p_eps_a*p_rho_a^(B95-p_dis_year),1)</f>
        <v/>
      </c>
      <c r="G95" s="26">
        <f>INDEX(Calib!$N$1:$N$13,$D95)*(1-p_rent_decline*MIN(1,C95/26))</f>
        <v/>
      </c>
      <c r="H95" s="26">
        <f>IF(C95=0,0,SUMIFS(dl_val,dl_iso,$A95,dl_ind,"pub_cap",dl_year,$B95)/100)</f>
        <v/>
      </c>
      <c r="I95" s="26">
        <f>IF(C95=0,0,SUMIFS(dl_val,dl_iso,$A95,dl_ind,"pub_spend",dl_year,$B95)/100)</f>
        <v/>
      </c>
      <c r="J95" s="26">
        <f>IF(C95=0,0,SUMIFS(dl_val,dl_iso,$A95,dl_ind,"rev",dl_year,$B95)/100)</f>
        <v/>
      </c>
      <c r="K95" s="26">
        <f>(1-p_delta_g)*K94*(1-p_eps_g*$E95)+INDEX(Calib!$E$1:$E$13,$D95)*(INDEX(Calib!$G$1:$G$13,$D95)+0*$H95)</f>
        <v/>
      </c>
      <c r="L95" s="26">
        <f>L94*(1-p_eps_k*$E95)+p_lambda_k*(N95-L94*(1-p_eps_k*$E95))</f>
        <v/>
      </c>
      <c r="M95" s="26">
        <f>INDEX(Calib!$R$1:$R$13,$D95)*$F95*(K94*(1-p_eps_g*$E95))^INDEX(Calib!$Q$1:$Q$13,$D95)*(L94*(1-p_eps_k*$E95))^p_alpha</f>
        <v/>
      </c>
      <c r="N95" s="26">
        <f>p_alpha*(1-INDEX(Calib!$H$1:$H$13,$D95))*M95/(INDEX(Calib!$K$1:$K$13,$D95)+p_delta)</f>
        <v/>
      </c>
      <c r="O95" s="26">
        <f>M95+$G95</f>
        <v/>
      </c>
      <c r="P95" s="26">
        <f>0*($H95+$I95)</f>
        <v/>
      </c>
      <c r="Q95" s="26">
        <f>INDEX(Calib!$I$1:$I$13,$D95)+p_sh_grant*P95</f>
        <v/>
      </c>
      <c r="R95" s="26">
        <f>INDEX(Calib!$H$1:$H$13,$D95)*M95+p_gov_take*$G95+Q95+0*p_pricing*$J95</f>
        <v/>
      </c>
      <c r="S95" s="26">
        <f>INDEX(Calib!$Y$1:$Y$13,$D95)-INDEX(Calib!$Z$1:$Z$13,$D95)*(V94/O94-INDEX(Calib!$AA$1:$AA$13,$D95))</f>
        <v/>
      </c>
      <c r="T95" s="26">
        <f>INDEX(Calib!$X$1:$X$13,$D95)+INDEX(Calib!$G$1:$G$13,$D95)+P95+S95-R95</f>
        <v/>
      </c>
      <c r="U95" s="26">
        <f>p_rk*W94+Y94*(V94-W94)</f>
        <v/>
      </c>
      <c r="V95" s="26">
        <f>V94+U95+T95</f>
        <v/>
      </c>
      <c r="W95" s="26">
        <f>INDEX(Calib!$U$1:$U$13,$D95)+(W94-INDEX(Calib!$U$1:$U$13,$D95))*(1-p_amort)+p_sh_conc*P95</f>
        <v/>
      </c>
      <c r="X95" s="26">
        <f>V95/O95</f>
        <v/>
      </c>
      <c r="Y95" s="26">
        <f>INDEX(Calib!$K$1:$K$13,$D95)+p_eta*MAX(0,X95-INDEX(Calib!$AA$1:$AA$13,$D95))</f>
        <v/>
      </c>
      <c r="Z95" s="26">
        <f>(1-INDEX(Calib!$H$1:$H$13,$D95))*(1-p_alpha)*M95+S95</f>
        <v/>
      </c>
      <c r="AA95" s="26">
        <f>(1-p_delta_g)*AA94*(1-p_eps_g*$E95)+INDEX(Calib!$E$1:$E$13,$D95)*(INDEX(Calib!$G$1:$G$13,$D95)+p_programme*$H95)</f>
        <v/>
      </c>
      <c r="AB95" s="26">
        <f>AB94*(1-p_eps_k*$E95)+p_lambda_k*(AD95-AB94*(1-p_eps_k*$E95))</f>
        <v/>
      </c>
      <c r="AC95" s="26">
        <f>INDEX(Calib!$R$1:$R$13,$D95)*$F95*(AA94*(1-p_eps_g*$E95))^INDEX(Calib!$Q$1:$Q$13,$D95)*(AB94*(1-p_eps_k*$E95))^p_alpha</f>
        <v/>
      </c>
      <c r="AD95" s="26">
        <f>p_alpha*(1-INDEX(Calib!$H$1:$H$13,$D95))*AC95/(INDEX(Calib!$K$1:$K$13,$D95)+p_delta)</f>
        <v/>
      </c>
      <c r="AE95" s="26">
        <f>AC95+$G95</f>
        <v/>
      </c>
      <c r="AF95" s="26">
        <f>p_programme*($H95+$I95)</f>
        <v/>
      </c>
      <c r="AG95" s="26">
        <f>INDEX(Calib!$I$1:$I$13,$D95)+p_sh_grant*AF95</f>
        <v/>
      </c>
      <c r="AH95" s="26">
        <f>INDEX(Calib!$H$1:$H$13,$D95)*AC95+p_gov_take*$G95+AG95+p_programme*p_pricing*$J95</f>
        <v/>
      </c>
      <c r="AI95" s="26">
        <f>INDEX(Calib!$Y$1:$Y$13,$D95)-INDEX(Calib!$Z$1:$Z$13,$D95)*(AL94/AE94-INDEX(Calib!$AA$1:$AA$13,$D95))</f>
        <v/>
      </c>
      <c r="AJ95" s="26">
        <f>INDEX(Calib!$X$1:$X$13,$D95)+INDEX(Calib!$G$1:$G$13,$D95)+AF95+AI95-AH95</f>
        <v/>
      </c>
      <c r="AK95" s="26">
        <f>p_rk*AM94+AO94*(AL94-AM94)</f>
        <v/>
      </c>
      <c r="AL95" s="26">
        <f>AL94+AK95+AJ95</f>
        <v/>
      </c>
      <c r="AM95" s="26">
        <f>INDEX(Calib!$U$1:$U$13,$D95)+(AM94-INDEX(Calib!$U$1:$U$13,$D95))*(1-p_amort)+p_sh_conc*AF95</f>
        <v/>
      </c>
      <c r="AN95" s="26">
        <f>AL95/AE95</f>
        <v/>
      </c>
      <c r="AO95" s="26">
        <f>INDEX(Calib!$K$1:$K$13,$D95)+p_eta*MAX(0,AN95-INDEX(Calib!$AA$1:$AA$13,$D95))</f>
        <v/>
      </c>
      <c r="AP95" s="26">
        <f>(1-INDEX(Calib!$H$1:$H$13,$D95))*(1-p_alpha)*AC95+AI95</f>
        <v/>
      </c>
      <c r="AQ95" s="26">
        <f>(AE95/O95-1)*100</f>
        <v/>
      </c>
      <c r="AR95" s="26">
        <f>(AE95/AE83-1)*100</f>
        <v/>
      </c>
      <c r="AS95" s="26">
        <f>(O95/O83-1)*100</f>
        <v/>
      </c>
      <c r="AT95" s="26">
        <f>(AN95-X95)*100</f>
        <v/>
      </c>
      <c r="AU95" s="26">
        <f>(AP95/Z95-1)*100</f>
        <v/>
      </c>
      <c r="AV95" s="26">
        <f>(AI95-S95)*100</f>
        <v/>
      </c>
    </row>
    <row r="96">
      <c r="A96" s="25" t="inlineStr">
        <is>
          <t>LBR</t>
        </is>
      </c>
      <c r="B96" s="25" t="n">
        <v>2037</v>
      </c>
      <c r="C96" s="25" t="n">
        <v>13</v>
      </c>
      <c r="D96" s="25" t="n">
        <v>5</v>
      </c>
      <c r="E96" s="25">
        <f>IF(AND(p_dis_year&gt;0,B96=p_dis_year),1,0)</f>
        <v/>
      </c>
      <c r="F96" s="26">
        <f>IF(AND(p_dis_year&gt;0,B96&gt;=p_dis_year),1-p_eps_a*p_rho_a^(B96-p_dis_year),1)</f>
        <v/>
      </c>
      <c r="G96" s="26">
        <f>INDEX(Calib!$N$1:$N$13,$D96)*(1-p_rent_decline*MIN(1,C96/26))</f>
        <v/>
      </c>
      <c r="H96" s="26">
        <f>IF(C96=0,0,SUMIFS(dl_val,dl_iso,$A96,dl_ind,"pub_cap",dl_year,$B96)/100)</f>
        <v/>
      </c>
      <c r="I96" s="26">
        <f>IF(C96=0,0,SUMIFS(dl_val,dl_iso,$A96,dl_ind,"pub_spend",dl_year,$B96)/100)</f>
        <v/>
      </c>
      <c r="J96" s="26">
        <f>IF(C96=0,0,SUMIFS(dl_val,dl_iso,$A96,dl_ind,"rev",dl_year,$B96)/100)</f>
        <v/>
      </c>
      <c r="K96" s="26">
        <f>(1-p_delta_g)*K95*(1-p_eps_g*$E96)+INDEX(Calib!$E$1:$E$13,$D96)*(INDEX(Calib!$G$1:$G$13,$D96)+0*$H96)</f>
        <v/>
      </c>
      <c r="L96" s="26">
        <f>L95*(1-p_eps_k*$E96)+p_lambda_k*(N96-L95*(1-p_eps_k*$E96))</f>
        <v/>
      </c>
      <c r="M96" s="26">
        <f>INDEX(Calib!$R$1:$R$13,$D96)*$F96*(K95*(1-p_eps_g*$E96))^INDEX(Calib!$Q$1:$Q$13,$D96)*(L95*(1-p_eps_k*$E96))^p_alpha</f>
        <v/>
      </c>
      <c r="N96" s="26">
        <f>p_alpha*(1-INDEX(Calib!$H$1:$H$13,$D96))*M96/(INDEX(Calib!$K$1:$K$13,$D96)+p_delta)</f>
        <v/>
      </c>
      <c r="O96" s="26">
        <f>M96+$G96</f>
        <v/>
      </c>
      <c r="P96" s="26">
        <f>0*($H96+$I96)</f>
        <v/>
      </c>
      <c r="Q96" s="26">
        <f>INDEX(Calib!$I$1:$I$13,$D96)+p_sh_grant*P96</f>
        <v/>
      </c>
      <c r="R96" s="26">
        <f>INDEX(Calib!$H$1:$H$13,$D96)*M96+p_gov_take*$G96+Q96+0*p_pricing*$J96</f>
        <v/>
      </c>
      <c r="S96" s="26">
        <f>INDEX(Calib!$Y$1:$Y$13,$D96)-INDEX(Calib!$Z$1:$Z$13,$D96)*(V95/O95-INDEX(Calib!$AA$1:$AA$13,$D96))</f>
        <v/>
      </c>
      <c r="T96" s="26">
        <f>INDEX(Calib!$X$1:$X$13,$D96)+INDEX(Calib!$G$1:$G$13,$D96)+P96+S96-R96</f>
        <v/>
      </c>
      <c r="U96" s="26">
        <f>p_rk*W95+Y95*(V95-W95)</f>
        <v/>
      </c>
      <c r="V96" s="26">
        <f>V95+U96+T96</f>
        <v/>
      </c>
      <c r="W96" s="26">
        <f>INDEX(Calib!$U$1:$U$13,$D96)+(W95-INDEX(Calib!$U$1:$U$13,$D96))*(1-p_amort)+p_sh_conc*P96</f>
        <v/>
      </c>
      <c r="X96" s="26">
        <f>V96/O96</f>
        <v/>
      </c>
      <c r="Y96" s="26">
        <f>INDEX(Calib!$K$1:$K$13,$D96)+p_eta*MAX(0,X96-INDEX(Calib!$AA$1:$AA$13,$D96))</f>
        <v/>
      </c>
      <c r="Z96" s="26">
        <f>(1-INDEX(Calib!$H$1:$H$13,$D96))*(1-p_alpha)*M96+S96</f>
        <v/>
      </c>
      <c r="AA96" s="26">
        <f>(1-p_delta_g)*AA95*(1-p_eps_g*$E96)+INDEX(Calib!$E$1:$E$13,$D96)*(INDEX(Calib!$G$1:$G$13,$D96)+p_programme*$H96)</f>
        <v/>
      </c>
      <c r="AB96" s="26">
        <f>AB95*(1-p_eps_k*$E96)+p_lambda_k*(AD96-AB95*(1-p_eps_k*$E96))</f>
        <v/>
      </c>
      <c r="AC96" s="26">
        <f>INDEX(Calib!$R$1:$R$13,$D96)*$F96*(AA95*(1-p_eps_g*$E96))^INDEX(Calib!$Q$1:$Q$13,$D96)*(AB95*(1-p_eps_k*$E96))^p_alpha</f>
        <v/>
      </c>
      <c r="AD96" s="26">
        <f>p_alpha*(1-INDEX(Calib!$H$1:$H$13,$D96))*AC96/(INDEX(Calib!$K$1:$K$13,$D96)+p_delta)</f>
        <v/>
      </c>
      <c r="AE96" s="26">
        <f>AC96+$G96</f>
        <v/>
      </c>
      <c r="AF96" s="26">
        <f>p_programme*($H96+$I96)</f>
        <v/>
      </c>
      <c r="AG96" s="26">
        <f>INDEX(Calib!$I$1:$I$13,$D96)+p_sh_grant*AF96</f>
        <v/>
      </c>
      <c r="AH96" s="26">
        <f>INDEX(Calib!$H$1:$H$13,$D96)*AC96+p_gov_take*$G96+AG96+p_programme*p_pricing*$J96</f>
        <v/>
      </c>
      <c r="AI96" s="26">
        <f>INDEX(Calib!$Y$1:$Y$13,$D96)-INDEX(Calib!$Z$1:$Z$13,$D96)*(AL95/AE95-INDEX(Calib!$AA$1:$AA$13,$D96))</f>
        <v/>
      </c>
      <c r="AJ96" s="26">
        <f>INDEX(Calib!$X$1:$X$13,$D96)+INDEX(Calib!$G$1:$G$13,$D96)+AF96+AI96-AH96</f>
        <v/>
      </c>
      <c r="AK96" s="26">
        <f>p_rk*AM95+AO95*(AL95-AM95)</f>
        <v/>
      </c>
      <c r="AL96" s="26">
        <f>AL95+AK96+AJ96</f>
        <v/>
      </c>
      <c r="AM96" s="26">
        <f>INDEX(Calib!$U$1:$U$13,$D96)+(AM95-INDEX(Calib!$U$1:$U$13,$D96))*(1-p_amort)+p_sh_conc*AF96</f>
        <v/>
      </c>
      <c r="AN96" s="26">
        <f>AL96/AE96</f>
        <v/>
      </c>
      <c r="AO96" s="26">
        <f>INDEX(Calib!$K$1:$K$13,$D96)+p_eta*MAX(0,AN96-INDEX(Calib!$AA$1:$AA$13,$D96))</f>
        <v/>
      </c>
      <c r="AP96" s="26">
        <f>(1-INDEX(Calib!$H$1:$H$13,$D96))*(1-p_alpha)*AC96+AI96</f>
        <v/>
      </c>
      <c r="AQ96" s="26">
        <f>(AE96/O96-1)*100</f>
        <v/>
      </c>
      <c r="AR96" s="26">
        <f>(AE96/AE83-1)*100</f>
        <v/>
      </c>
      <c r="AS96" s="26">
        <f>(O96/O83-1)*100</f>
        <v/>
      </c>
      <c r="AT96" s="26">
        <f>(AN96-X96)*100</f>
        <v/>
      </c>
      <c r="AU96" s="26">
        <f>(AP96/Z96-1)*100</f>
        <v/>
      </c>
      <c r="AV96" s="26">
        <f>(AI96-S96)*100</f>
        <v/>
      </c>
    </row>
    <row r="97">
      <c r="A97" s="25" t="inlineStr">
        <is>
          <t>LBR</t>
        </is>
      </c>
      <c r="B97" s="25" t="n">
        <v>2038</v>
      </c>
      <c r="C97" s="25" t="n">
        <v>14</v>
      </c>
      <c r="D97" s="25" t="n">
        <v>5</v>
      </c>
      <c r="E97" s="25">
        <f>IF(AND(p_dis_year&gt;0,B97=p_dis_year),1,0)</f>
        <v/>
      </c>
      <c r="F97" s="26">
        <f>IF(AND(p_dis_year&gt;0,B97&gt;=p_dis_year),1-p_eps_a*p_rho_a^(B97-p_dis_year),1)</f>
        <v/>
      </c>
      <c r="G97" s="26">
        <f>INDEX(Calib!$N$1:$N$13,$D97)*(1-p_rent_decline*MIN(1,C97/26))</f>
        <v/>
      </c>
      <c r="H97" s="26">
        <f>IF(C97=0,0,SUMIFS(dl_val,dl_iso,$A97,dl_ind,"pub_cap",dl_year,$B97)/100)</f>
        <v/>
      </c>
      <c r="I97" s="26">
        <f>IF(C97=0,0,SUMIFS(dl_val,dl_iso,$A97,dl_ind,"pub_spend",dl_year,$B97)/100)</f>
        <v/>
      </c>
      <c r="J97" s="26">
        <f>IF(C97=0,0,SUMIFS(dl_val,dl_iso,$A97,dl_ind,"rev",dl_year,$B97)/100)</f>
        <v/>
      </c>
      <c r="K97" s="26">
        <f>(1-p_delta_g)*K96*(1-p_eps_g*$E97)+INDEX(Calib!$E$1:$E$13,$D97)*(INDEX(Calib!$G$1:$G$13,$D97)+0*$H97)</f>
        <v/>
      </c>
      <c r="L97" s="26">
        <f>L96*(1-p_eps_k*$E97)+p_lambda_k*(N97-L96*(1-p_eps_k*$E97))</f>
        <v/>
      </c>
      <c r="M97" s="26">
        <f>INDEX(Calib!$R$1:$R$13,$D97)*$F97*(K96*(1-p_eps_g*$E97))^INDEX(Calib!$Q$1:$Q$13,$D97)*(L96*(1-p_eps_k*$E97))^p_alpha</f>
        <v/>
      </c>
      <c r="N97" s="26">
        <f>p_alpha*(1-INDEX(Calib!$H$1:$H$13,$D97))*M97/(INDEX(Calib!$K$1:$K$13,$D97)+p_delta)</f>
        <v/>
      </c>
      <c r="O97" s="26">
        <f>M97+$G97</f>
        <v/>
      </c>
      <c r="P97" s="26">
        <f>0*($H97+$I97)</f>
        <v/>
      </c>
      <c r="Q97" s="26">
        <f>INDEX(Calib!$I$1:$I$13,$D97)+p_sh_grant*P97</f>
        <v/>
      </c>
      <c r="R97" s="26">
        <f>INDEX(Calib!$H$1:$H$13,$D97)*M97+p_gov_take*$G97+Q97+0*p_pricing*$J97</f>
        <v/>
      </c>
      <c r="S97" s="26">
        <f>INDEX(Calib!$Y$1:$Y$13,$D97)-INDEX(Calib!$Z$1:$Z$13,$D97)*(V96/O96-INDEX(Calib!$AA$1:$AA$13,$D97))</f>
        <v/>
      </c>
      <c r="T97" s="26">
        <f>INDEX(Calib!$X$1:$X$13,$D97)+INDEX(Calib!$G$1:$G$13,$D97)+P97+S97-R97</f>
        <v/>
      </c>
      <c r="U97" s="26">
        <f>p_rk*W96+Y96*(V96-W96)</f>
        <v/>
      </c>
      <c r="V97" s="26">
        <f>V96+U97+T97</f>
        <v/>
      </c>
      <c r="W97" s="26">
        <f>INDEX(Calib!$U$1:$U$13,$D97)+(W96-INDEX(Calib!$U$1:$U$13,$D97))*(1-p_amort)+p_sh_conc*P97</f>
        <v/>
      </c>
      <c r="X97" s="26">
        <f>V97/O97</f>
        <v/>
      </c>
      <c r="Y97" s="26">
        <f>INDEX(Calib!$K$1:$K$13,$D97)+p_eta*MAX(0,X97-INDEX(Calib!$AA$1:$AA$13,$D97))</f>
        <v/>
      </c>
      <c r="Z97" s="26">
        <f>(1-INDEX(Calib!$H$1:$H$13,$D97))*(1-p_alpha)*M97+S97</f>
        <v/>
      </c>
      <c r="AA97" s="26">
        <f>(1-p_delta_g)*AA96*(1-p_eps_g*$E97)+INDEX(Calib!$E$1:$E$13,$D97)*(INDEX(Calib!$G$1:$G$13,$D97)+p_programme*$H97)</f>
        <v/>
      </c>
      <c r="AB97" s="26">
        <f>AB96*(1-p_eps_k*$E97)+p_lambda_k*(AD97-AB96*(1-p_eps_k*$E97))</f>
        <v/>
      </c>
      <c r="AC97" s="26">
        <f>INDEX(Calib!$R$1:$R$13,$D97)*$F97*(AA96*(1-p_eps_g*$E97))^INDEX(Calib!$Q$1:$Q$13,$D97)*(AB96*(1-p_eps_k*$E97))^p_alpha</f>
        <v/>
      </c>
      <c r="AD97" s="26">
        <f>p_alpha*(1-INDEX(Calib!$H$1:$H$13,$D97))*AC97/(INDEX(Calib!$K$1:$K$13,$D97)+p_delta)</f>
        <v/>
      </c>
      <c r="AE97" s="26">
        <f>AC97+$G97</f>
        <v/>
      </c>
      <c r="AF97" s="26">
        <f>p_programme*($H97+$I97)</f>
        <v/>
      </c>
      <c r="AG97" s="26">
        <f>INDEX(Calib!$I$1:$I$13,$D97)+p_sh_grant*AF97</f>
        <v/>
      </c>
      <c r="AH97" s="26">
        <f>INDEX(Calib!$H$1:$H$13,$D97)*AC97+p_gov_take*$G97+AG97+p_programme*p_pricing*$J97</f>
        <v/>
      </c>
      <c r="AI97" s="26">
        <f>INDEX(Calib!$Y$1:$Y$13,$D97)-INDEX(Calib!$Z$1:$Z$13,$D97)*(AL96/AE96-INDEX(Calib!$AA$1:$AA$13,$D97))</f>
        <v/>
      </c>
      <c r="AJ97" s="26">
        <f>INDEX(Calib!$X$1:$X$13,$D97)+INDEX(Calib!$G$1:$G$13,$D97)+AF97+AI97-AH97</f>
        <v/>
      </c>
      <c r="AK97" s="26">
        <f>p_rk*AM96+AO96*(AL96-AM96)</f>
        <v/>
      </c>
      <c r="AL97" s="26">
        <f>AL96+AK97+AJ97</f>
        <v/>
      </c>
      <c r="AM97" s="26">
        <f>INDEX(Calib!$U$1:$U$13,$D97)+(AM96-INDEX(Calib!$U$1:$U$13,$D97))*(1-p_amort)+p_sh_conc*AF97</f>
        <v/>
      </c>
      <c r="AN97" s="26">
        <f>AL97/AE97</f>
        <v/>
      </c>
      <c r="AO97" s="26">
        <f>INDEX(Calib!$K$1:$K$13,$D97)+p_eta*MAX(0,AN97-INDEX(Calib!$AA$1:$AA$13,$D97))</f>
        <v/>
      </c>
      <c r="AP97" s="26">
        <f>(1-INDEX(Calib!$H$1:$H$13,$D97))*(1-p_alpha)*AC97+AI97</f>
        <v/>
      </c>
      <c r="AQ97" s="26">
        <f>(AE97/O97-1)*100</f>
        <v/>
      </c>
      <c r="AR97" s="26">
        <f>(AE97/AE83-1)*100</f>
        <v/>
      </c>
      <c r="AS97" s="26">
        <f>(O97/O83-1)*100</f>
        <v/>
      </c>
      <c r="AT97" s="26">
        <f>(AN97-X97)*100</f>
        <v/>
      </c>
      <c r="AU97" s="26">
        <f>(AP97/Z97-1)*100</f>
        <v/>
      </c>
      <c r="AV97" s="26">
        <f>(AI97-S97)*100</f>
        <v/>
      </c>
    </row>
    <row r="98">
      <c r="A98" s="25" t="inlineStr">
        <is>
          <t>LBR</t>
        </is>
      </c>
      <c r="B98" s="25" t="n">
        <v>2039</v>
      </c>
      <c r="C98" s="25" t="n">
        <v>15</v>
      </c>
      <c r="D98" s="25" t="n">
        <v>5</v>
      </c>
      <c r="E98" s="25">
        <f>IF(AND(p_dis_year&gt;0,B98=p_dis_year),1,0)</f>
        <v/>
      </c>
      <c r="F98" s="26">
        <f>IF(AND(p_dis_year&gt;0,B98&gt;=p_dis_year),1-p_eps_a*p_rho_a^(B98-p_dis_year),1)</f>
        <v/>
      </c>
      <c r="G98" s="26">
        <f>INDEX(Calib!$N$1:$N$13,$D98)*(1-p_rent_decline*MIN(1,C98/26))</f>
        <v/>
      </c>
      <c r="H98" s="26">
        <f>IF(C98=0,0,SUMIFS(dl_val,dl_iso,$A98,dl_ind,"pub_cap",dl_year,$B98)/100)</f>
        <v/>
      </c>
      <c r="I98" s="26">
        <f>IF(C98=0,0,SUMIFS(dl_val,dl_iso,$A98,dl_ind,"pub_spend",dl_year,$B98)/100)</f>
        <v/>
      </c>
      <c r="J98" s="26">
        <f>IF(C98=0,0,SUMIFS(dl_val,dl_iso,$A98,dl_ind,"rev",dl_year,$B98)/100)</f>
        <v/>
      </c>
      <c r="K98" s="26">
        <f>(1-p_delta_g)*K97*(1-p_eps_g*$E98)+INDEX(Calib!$E$1:$E$13,$D98)*(INDEX(Calib!$G$1:$G$13,$D98)+0*$H98)</f>
        <v/>
      </c>
      <c r="L98" s="26">
        <f>L97*(1-p_eps_k*$E98)+p_lambda_k*(N98-L97*(1-p_eps_k*$E98))</f>
        <v/>
      </c>
      <c r="M98" s="26">
        <f>INDEX(Calib!$R$1:$R$13,$D98)*$F98*(K97*(1-p_eps_g*$E98))^INDEX(Calib!$Q$1:$Q$13,$D98)*(L97*(1-p_eps_k*$E98))^p_alpha</f>
        <v/>
      </c>
      <c r="N98" s="26">
        <f>p_alpha*(1-INDEX(Calib!$H$1:$H$13,$D98))*M98/(INDEX(Calib!$K$1:$K$13,$D98)+p_delta)</f>
        <v/>
      </c>
      <c r="O98" s="26">
        <f>M98+$G98</f>
        <v/>
      </c>
      <c r="P98" s="26">
        <f>0*($H98+$I98)</f>
        <v/>
      </c>
      <c r="Q98" s="26">
        <f>INDEX(Calib!$I$1:$I$13,$D98)+p_sh_grant*P98</f>
        <v/>
      </c>
      <c r="R98" s="26">
        <f>INDEX(Calib!$H$1:$H$13,$D98)*M98+p_gov_take*$G98+Q98+0*p_pricing*$J98</f>
        <v/>
      </c>
      <c r="S98" s="26">
        <f>INDEX(Calib!$Y$1:$Y$13,$D98)-INDEX(Calib!$Z$1:$Z$13,$D98)*(V97/O97-INDEX(Calib!$AA$1:$AA$13,$D98))</f>
        <v/>
      </c>
      <c r="T98" s="26">
        <f>INDEX(Calib!$X$1:$X$13,$D98)+INDEX(Calib!$G$1:$G$13,$D98)+P98+S98-R98</f>
        <v/>
      </c>
      <c r="U98" s="26">
        <f>p_rk*W97+Y97*(V97-W97)</f>
        <v/>
      </c>
      <c r="V98" s="26">
        <f>V97+U98+T98</f>
        <v/>
      </c>
      <c r="W98" s="26">
        <f>INDEX(Calib!$U$1:$U$13,$D98)+(W97-INDEX(Calib!$U$1:$U$13,$D98))*(1-p_amort)+p_sh_conc*P98</f>
        <v/>
      </c>
      <c r="X98" s="26">
        <f>V98/O98</f>
        <v/>
      </c>
      <c r="Y98" s="26">
        <f>INDEX(Calib!$K$1:$K$13,$D98)+p_eta*MAX(0,X98-INDEX(Calib!$AA$1:$AA$13,$D98))</f>
        <v/>
      </c>
      <c r="Z98" s="26">
        <f>(1-INDEX(Calib!$H$1:$H$13,$D98))*(1-p_alpha)*M98+S98</f>
        <v/>
      </c>
      <c r="AA98" s="26">
        <f>(1-p_delta_g)*AA97*(1-p_eps_g*$E98)+INDEX(Calib!$E$1:$E$13,$D98)*(INDEX(Calib!$G$1:$G$13,$D98)+p_programme*$H98)</f>
        <v/>
      </c>
      <c r="AB98" s="26">
        <f>AB97*(1-p_eps_k*$E98)+p_lambda_k*(AD98-AB97*(1-p_eps_k*$E98))</f>
        <v/>
      </c>
      <c r="AC98" s="26">
        <f>INDEX(Calib!$R$1:$R$13,$D98)*$F98*(AA97*(1-p_eps_g*$E98))^INDEX(Calib!$Q$1:$Q$13,$D98)*(AB97*(1-p_eps_k*$E98))^p_alpha</f>
        <v/>
      </c>
      <c r="AD98" s="26">
        <f>p_alpha*(1-INDEX(Calib!$H$1:$H$13,$D98))*AC98/(INDEX(Calib!$K$1:$K$13,$D98)+p_delta)</f>
        <v/>
      </c>
      <c r="AE98" s="26">
        <f>AC98+$G98</f>
        <v/>
      </c>
      <c r="AF98" s="26">
        <f>p_programme*($H98+$I98)</f>
        <v/>
      </c>
      <c r="AG98" s="26">
        <f>INDEX(Calib!$I$1:$I$13,$D98)+p_sh_grant*AF98</f>
        <v/>
      </c>
      <c r="AH98" s="26">
        <f>INDEX(Calib!$H$1:$H$13,$D98)*AC98+p_gov_take*$G98+AG98+p_programme*p_pricing*$J98</f>
        <v/>
      </c>
      <c r="AI98" s="26">
        <f>INDEX(Calib!$Y$1:$Y$13,$D98)-INDEX(Calib!$Z$1:$Z$13,$D98)*(AL97/AE97-INDEX(Calib!$AA$1:$AA$13,$D98))</f>
        <v/>
      </c>
      <c r="AJ98" s="26">
        <f>INDEX(Calib!$X$1:$X$13,$D98)+INDEX(Calib!$G$1:$G$13,$D98)+AF98+AI98-AH98</f>
        <v/>
      </c>
      <c r="AK98" s="26">
        <f>p_rk*AM97+AO97*(AL97-AM97)</f>
        <v/>
      </c>
      <c r="AL98" s="26">
        <f>AL97+AK98+AJ98</f>
        <v/>
      </c>
      <c r="AM98" s="26">
        <f>INDEX(Calib!$U$1:$U$13,$D98)+(AM97-INDEX(Calib!$U$1:$U$13,$D98))*(1-p_amort)+p_sh_conc*AF98</f>
        <v/>
      </c>
      <c r="AN98" s="26">
        <f>AL98/AE98</f>
        <v/>
      </c>
      <c r="AO98" s="26">
        <f>INDEX(Calib!$K$1:$K$13,$D98)+p_eta*MAX(0,AN98-INDEX(Calib!$AA$1:$AA$13,$D98))</f>
        <v/>
      </c>
      <c r="AP98" s="26">
        <f>(1-INDEX(Calib!$H$1:$H$13,$D98))*(1-p_alpha)*AC98+AI98</f>
        <v/>
      </c>
      <c r="AQ98" s="26">
        <f>(AE98/O98-1)*100</f>
        <v/>
      </c>
      <c r="AR98" s="26">
        <f>(AE98/AE83-1)*100</f>
        <v/>
      </c>
      <c r="AS98" s="26">
        <f>(O98/O83-1)*100</f>
        <v/>
      </c>
      <c r="AT98" s="26">
        <f>(AN98-X98)*100</f>
        <v/>
      </c>
      <c r="AU98" s="26">
        <f>(AP98/Z98-1)*100</f>
        <v/>
      </c>
      <c r="AV98" s="26">
        <f>(AI98-S98)*100</f>
        <v/>
      </c>
    </row>
    <row r="99">
      <c r="A99" s="25" t="inlineStr">
        <is>
          <t>LBR</t>
        </is>
      </c>
      <c r="B99" s="25" t="n">
        <v>2040</v>
      </c>
      <c r="C99" s="25" t="n">
        <v>16</v>
      </c>
      <c r="D99" s="25" t="n">
        <v>5</v>
      </c>
      <c r="E99" s="25">
        <f>IF(AND(p_dis_year&gt;0,B99=p_dis_year),1,0)</f>
        <v/>
      </c>
      <c r="F99" s="26">
        <f>IF(AND(p_dis_year&gt;0,B99&gt;=p_dis_year),1-p_eps_a*p_rho_a^(B99-p_dis_year),1)</f>
        <v/>
      </c>
      <c r="G99" s="26">
        <f>INDEX(Calib!$N$1:$N$13,$D99)*(1-p_rent_decline*MIN(1,C99/26))</f>
        <v/>
      </c>
      <c r="H99" s="26">
        <f>IF(C99=0,0,SUMIFS(dl_val,dl_iso,$A99,dl_ind,"pub_cap",dl_year,$B99)/100)</f>
        <v/>
      </c>
      <c r="I99" s="26">
        <f>IF(C99=0,0,SUMIFS(dl_val,dl_iso,$A99,dl_ind,"pub_spend",dl_year,$B99)/100)</f>
        <v/>
      </c>
      <c r="J99" s="26">
        <f>IF(C99=0,0,SUMIFS(dl_val,dl_iso,$A99,dl_ind,"rev",dl_year,$B99)/100)</f>
        <v/>
      </c>
      <c r="K99" s="26">
        <f>(1-p_delta_g)*K98*(1-p_eps_g*$E99)+INDEX(Calib!$E$1:$E$13,$D99)*(INDEX(Calib!$G$1:$G$13,$D99)+0*$H99)</f>
        <v/>
      </c>
      <c r="L99" s="26">
        <f>L98*(1-p_eps_k*$E99)+p_lambda_k*(N99-L98*(1-p_eps_k*$E99))</f>
        <v/>
      </c>
      <c r="M99" s="26">
        <f>INDEX(Calib!$R$1:$R$13,$D99)*$F99*(K98*(1-p_eps_g*$E99))^INDEX(Calib!$Q$1:$Q$13,$D99)*(L98*(1-p_eps_k*$E99))^p_alpha</f>
        <v/>
      </c>
      <c r="N99" s="26">
        <f>p_alpha*(1-INDEX(Calib!$H$1:$H$13,$D99))*M99/(INDEX(Calib!$K$1:$K$13,$D99)+p_delta)</f>
        <v/>
      </c>
      <c r="O99" s="26">
        <f>M99+$G99</f>
        <v/>
      </c>
      <c r="P99" s="26">
        <f>0*($H99+$I99)</f>
        <v/>
      </c>
      <c r="Q99" s="26">
        <f>INDEX(Calib!$I$1:$I$13,$D99)+p_sh_grant*P99</f>
        <v/>
      </c>
      <c r="R99" s="26">
        <f>INDEX(Calib!$H$1:$H$13,$D99)*M99+p_gov_take*$G99+Q99+0*p_pricing*$J99</f>
        <v/>
      </c>
      <c r="S99" s="26">
        <f>INDEX(Calib!$Y$1:$Y$13,$D99)-INDEX(Calib!$Z$1:$Z$13,$D99)*(V98/O98-INDEX(Calib!$AA$1:$AA$13,$D99))</f>
        <v/>
      </c>
      <c r="T99" s="26">
        <f>INDEX(Calib!$X$1:$X$13,$D99)+INDEX(Calib!$G$1:$G$13,$D99)+P99+S99-R99</f>
        <v/>
      </c>
      <c r="U99" s="26">
        <f>p_rk*W98+Y98*(V98-W98)</f>
        <v/>
      </c>
      <c r="V99" s="26">
        <f>V98+U99+T99</f>
        <v/>
      </c>
      <c r="W99" s="26">
        <f>INDEX(Calib!$U$1:$U$13,$D99)+(W98-INDEX(Calib!$U$1:$U$13,$D99))*(1-p_amort)+p_sh_conc*P99</f>
        <v/>
      </c>
      <c r="X99" s="26">
        <f>V99/O99</f>
        <v/>
      </c>
      <c r="Y99" s="26">
        <f>INDEX(Calib!$K$1:$K$13,$D99)+p_eta*MAX(0,X99-INDEX(Calib!$AA$1:$AA$13,$D99))</f>
        <v/>
      </c>
      <c r="Z99" s="26">
        <f>(1-INDEX(Calib!$H$1:$H$13,$D99))*(1-p_alpha)*M99+S99</f>
        <v/>
      </c>
      <c r="AA99" s="26">
        <f>(1-p_delta_g)*AA98*(1-p_eps_g*$E99)+INDEX(Calib!$E$1:$E$13,$D99)*(INDEX(Calib!$G$1:$G$13,$D99)+p_programme*$H99)</f>
        <v/>
      </c>
      <c r="AB99" s="26">
        <f>AB98*(1-p_eps_k*$E99)+p_lambda_k*(AD99-AB98*(1-p_eps_k*$E99))</f>
        <v/>
      </c>
      <c r="AC99" s="26">
        <f>INDEX(Calib!$R$1:$R$13,$D99)*$F99*(AA98*(1-p_eps_g*$E99))^INDEX(Calib!$Q$1:$Q$13,$D99)*(AB98*(1-p_eps_k*$E99))^p_alpha</f>
        <v/>
      </c>
      <c r="AD99" s="26">
        <f>p_alpha*(1-INDEX(Calib!$H$1:$H$13,$D99))*AC99/(INDEX(Calib!$K$1:$K$13,$D99)+p_delta)</f>
        <v/>
      </c>
      <c r="AE99" s="26">
        <f>AC99+$G99</f>
        <v/>
      </c>
      <c r="AF99" s="26">
        <f>p_programme*($H99+$I99)</f>
        <v/>
      </c>
      <c r="AG99" s="26">
        <f>INDEX(Calib!$I$1:$I$13,$D99)+p_sh_grant*AF99</f>
        <v/>
      </c>
      <c r="AH99" s="26">
        <f>INDEX(Calib!$H$1:$H$13,$D99)*AC99+p_gov_take*$G99+AG99+p_programme*p_pricing*$J99</f>
        <v/>
      </c>
      <c r="AI99" s="26">
        <f>INDEX(Calib!$Y$1:$Y$13,$D99)-INDEX(Calib!$Z$1:$Z$13,$D99)*(AL98/AE98-INDEX(Calib!$AA$1:$AA$13,$D99))</f>
        <v/>
      </c>
      <c r="AJ99" s="26">
        <f>INDEX(Calib!$X$1:$X$13,$D99)+INDEX(Calib!$G$1:$G$13,$D99)+AF99+AI99-AH99</f>
        <v/>
      </c>
      <c r="AK99" s="26">
        <f>p_rk*AM98+AO98*(AL98-AM98)</f>
        <v/>
      </c>
      <c r="AL99" s="26">
        <f>AL98+AK99+AJ99</f>
        <v/>
      </c>
      <c r="AM99" s="26">
        <f>INDEX(Calib!$U$1:$U$13,$D99)+(AM98-INDEX(Calib!$U$1:$U$13,$D99))*(1-p_amort)+p_sh_conc*AF99</f>
        <v/>
      </c>
      <c r="AN99" s="26">
        <f>AL99/AE99</f>
        <v/>
      </c>
      <c r="AO99" s="26">
        <f>INDEX(Calib!$K$1:$K$13,$D99)+p_eta*MAX(0,AN99-INDEX(Calib!$AA$1:$AA$13,$D99))</f>
        <v/>
      </c>
      <c r="AP99" s="26">
        <f>(1-INDEX(Calib!$H$1:$H$13,$D99))*(1-p_alpha)*AC99+AI99</f>
        <v/>
      </c>
      <c r="AQ99" s="26">
        <f>(AE99/O99-1)*100</f>
        <v/>
      </c>
      <c r="AR99" s="26">
        <f>(AE99/AE83-1)*100</f>
        <v/>
      </c>
      <c r="AS99" s="26">
        <f>(O99/O83-1)*100</f>
        <v/>
      </c>
      <c r="AT99" s="26">
        <f>(AN99-X99)*100</f>
        <v/>
      </c>
      <c r="AU99" s="26">
        <f>(AP99/Z99-1)*100</f>
        <v/>
      </c>
      <c r="AV99" s="26">
        <f>(AI99-S99)*100</f>
        <v/>
      </c>
    </row>
    <row r="100">
      <c r="A100" s="25" t="inlineStr">
        <is>
          <t>LBR</t>
        </is>
      </c>
      <c r="B100" s="25" t="n">
        <v>2041</v>
      </c>
      <c r="C100" s="25" t="n">
        <v>17</v>
      </c>
      <c r="D100" s="25" t="n">
        <v>5</v>
      </c>
      <c r="E100" s="25">
        <f>IF(AND(p_dis_year&gt;0,B100=p_dis_year),1,0)</f>
        <v/>
      </c>
      <c r="F100" s="26">
        <f>IF(AND(p_dis_year&gt;0,B100&gt;=p_dis_year),1-p_eps_a*p_rho_a^(B100-p_dis_year),1)</f>
        <v/>
      </c>
      <c r="G100" s="26">
        <f>INDEX(Calib!$N$1:$N$13,$D100)*(1-p_rent_decline*MIN(1,C100/26))</f>
        <v/>
      </c>
      <c r="H100" s="26">
        <f>IF(C100=0,0,SUMIFS(dl_val,dl_iso,$A100,dl_ind,"pub_cap",dl_year,$B100)/100)</f>
        <v/>
      </c>
      <c r="I100" s="26">
        <f>IF(C100=0,0,SUMIFS(dl_val,dl_iso,$A100,dl_ind,"pub_spend",dl_year,$B100)/100)</f>
        <v/>
      </c>
      <c r="J100" s="26">
        <f>IF(C100=0,0,SUMIFS(dl_val,dl_iso,$A100,dl_ind,"rev",dl_year,$B100)/100)</f>
        <v/>
      </c>
      <c r="K100" s="26">
        <f>(1-p_delta_g)*K99*(1-p_eps_g*$E100)+INDEX(Calib!$E$1:$E$13,$D100)*(INDEX(Calib!$G$1:$G$13,$D100)+0*$H100)</f>
        <v/>
      </c>
      <c r="L100" s="26">
        <f>L99*(1-p_eps_k*$E100)+p_lambda_k*(N100-L99*(1-p_eps_k*$E100))</f>
        <v/>
      </c>
      <c r="M100" s="26">
        <f>INDEX(Calib!$R$1:$R$13,$D100)*$F100*(K99*(1-p_eps_g*$E100))^INDEX(Calib!$Q$1:$Q$13,$D100)*(L99*(1-p_eps_k*$E100))^p_alpha</f>
        <v/>
      </c>
      <c r="N100" s="26">
        <f>p_alpha*(1-INDEX(Calib!$H$1:$H$13,$D100))*M100/(INDEX(Calib!$K$1:$K$13,$D100)+p_delta)</f>
        <v/>
      </c>
      <c r="O100" s="26">
        <f>M100+$G100</f>
        <v/>
      </c>
      <c r="P100" s="26">
        <f>0*($H100+$I100)</f>
        <v/>
      </c>
      <c r="Q100" s="26">
        <f>INDEX(Calib!$I$1:$I$13,$D100)+p_sh_grant*P100</f>
        <v/>
      </c>
      <c r="R100" s="26">
        <f>INDEX(Calib!$H$1:$H$13,$D100)*M100+p_gov_take*$G100+Q100+0*p_pricing*$J100</f>
        <v/>
      </c>
      <c r="S100" s="26">
        <f>INDEX(Calib!$Y$1:$Y$13,$D100)-INDEX(Calib!$Z$1:$Z$13,$D100)*(V99/O99-INDEX(Calib!$AA$1:$AA$13,$D100))</f>
        <v/>
      </c>
      <c r="T100" s="26">
        <f>INDEX(Calib!$X$1:$X$13,$D100)+INDEX(Calib!$G$1:$G$13,$D100)+P100+S100-R100</f>
        <v/>
      </c>
      <c r="U100" s="26">
        <f>p_rk*W99+Y99*(V99-W99)</f>
        <v/>
      </c>
      <c r="V100" s="26">
        <f>V99+U100+T100</f>
        <v/>
      </c>
      <c r="W100" s="26">
        <f>INDEX(Calib!$U$1:$U$13,$D100)+(W99-INDEX(Calib!$U$1:$U$13,$D100))*(1-p_amort)+p_sh_conc*P100</f>
        <v/>
      </c>
      <c r="X100" s="26">
        <f>V100/O100</f>
        <v/>
      </c>
      <c r="Y100" s="26">
        <f>INDEX(Calib!$K$1:$K$13,$D100)+p_eta*MAX(0,X100-INDEX(Calib!$AA$1:$AA$13,$D100))</f>
        <v/>
      </c>
      <c r="Z100" s="26">
        <f>(1-INDEX(Calib!$H$1:$H$13,$D100))*(1-p_alpha)*M100+S100</f>
        <v/>
      </c>
      <c r="AA100" s="26">
        <f>(1-p_delta_g)*AA99*(1-p_eps_g*$E100)+INDEX(Calib!$E$1:$E$13,$D100)*(INDEX(Calib!$G$1:$G$13,$D100)+p_programme*$H100)</f>
        <v/>
      </c>
      <c r="AB100" s="26">
        <f>AB99*(1-p_eps_k*$E100)+p_lambda_k*(AD100-AB99*(1-p_eps_k*$E100))</f>
        <v/>
      </c>
      <c r="AC100" s="26">
        <f>INDEX(Calib!$R$1:$R$13,$D100)*$F100*(AA99*(1-p_eps_g*$E100))^INDEX(Calib!$Q$1:$Q$13,$D100)*(AB99*(1-p_eps_k*$E100))^p_alpha</f>
        <v/>
      </c>
      <c r="AD100" s="26">
        <f>p_alpha*(1-INDEX(Calib!$H$1:$H$13,$D100))*AC100/(INDEX(Calib!$K$1:$K$13,$D100)+p_delta)</f>
        <v/>
      </c>
      <c r="AE100" s="26">
        <f>AC100+$G100</f>
        <v/>
      </c>
      <c r="AF100" s="26">
        <f>p_programme*($H100+$I100)</f>
        <v/>
      </c>
      <c r="AG100" s="26">
        <f>INDEX(Calib!$I$1:$I$13,$D100)+p_sh_grant*AF100</f>
        <v/>
      </c>
      <c r="AH100" s="26">
        <f>INDEX(Calib!$H$1:$H$13,$D100)*AC100+p_gov_take*$G100+AG100+p_programme*p_pricing*$J100</f>
        <v/>
      </c>
      <c r="AI100" s="26">
        <f>INDEX(Calib!$Y$1:$Y$13,$D100)-INDEX(Calib!$Z$1:$Z$13,$D100)*(AL99/AE99-INDEX(Calib!$AA$1:$AA$13,$D100))</f>
        <v/>
      </c>
      <c r="AJ100" s="26">
        <f>INDEX(Calib!$X$1:$X$13,$D100)+INDEX(Calib!$G$1:$G$13,$D100)+AF100+AI100-AH100</f>
        <v/>
      </c>
      <c r="AK100" s="26">
        <f>p_rk*AM99+AO99*(AL99-AM99)</f>
        <v/>
      </c>
      <c r="AL100" s="26">
        <f>AL99+AK100+AJ100</f>
        <v/>
      </c>
      <c r="AM100" s="26">
        <f>INDEX(Calib!$U$1:$U$13,$D100)+(AM99-INDEX(Calib!$U$1:$U$13,$D100))*(1-p_amort)+p_sh_conc*AF100</f>
        <v/>
      </c>
      <c r="AN100" s="26">
        <f>AL100/AE100</f>
        <v/>
      </c>
      <c r="AO100" s="26">
        <f>INDEX(Calib!$K$1:$K$13,$D100)+p_eta*MAX(0,AN100-INDEX(Calib!$AA$1:$AA$13,$D100))</f>
        <v/>
      </c>
      <c r="AP100" s="26">
        <f>(1-INDEX(Calib!$H$1:$H$13,$D100))*(1-p_alpha)*AC100+AI100</f>
        <v/>
      </c>
      <c r="AQ100" s="26">
        <f>(AE100/O100-1)*100</f>
        <v/>
      </c>
      <c r="AR100" s="26">
        <f>(AE100/AE83-1)*100</f>
        <v/>
      </c>
      <c r="AS100" s="26">
        <f>(O100/O83-1)*100</f>
        <v/>
      </c>
      <c r="AT100" s="26">
        <f>(AN100-X100)*100</f>
        <v/>
      </c>
      <c r="AU100" s="26">
        <f>(AP100/Z100-1)*100</f>
        <v/>
      </c>
      <c r="AV100" s="26">
        <f>(AI100-S100)*100</f>
        <v/>
      </c>
    </row>
    <row r="101">
      <c r="A101" s="25" t="inlineStr">
        <is>
          <t>LBR</t>
        </is>
      </c>
      <c r="B101" s="25" t="n">
        <v>2042</v>
      </c>
      <c r="C101" s="25" t="n">
        <v>18</v>
      </c>
      <c r="D101" s="25" t="n">
        <v>5</v>
      </c>
      <c r="E101" s="25">
        <f>IF(AND(p_dis_year&gt;0,B101=p_dis_year),1,0)</f>
        <v/>
      </c>
      <c r="F101" s="26">
        <f>IF(AND(p_dis_year&gt;0,B101&gt;=p_dis_year),1-p_eps_a*p_rho_a^(B101-p_dis_year),1)</f>
        <v/>
      </c>
      <c r="G101" s="26">
        <f>INDEX(Calib!$N$1:$N$13,$D101)*(1-p_rent_decline*MIN(1,C101/26))</f>
        <v/>
      </c>
      <c r="H101" s="26">
        <f>IF(C101=0,0,SUMIFS(dl_val,dl_iso,$A101,dl_ind,"pub_cap",dl_year,$B101)/100)</f>
        <v/>
      </c>
      <c r="I101" s="26">
        <f>IF(C101=0,0,SUMIFS(dl_val,dl_iso,$A101,dl_ind,"pub_spend",dl_year,$B101)/100)</f>
        <v/>
      </c>
      <c r="J101" s="26">
        <f>IF(C101=0,0,SUMIFS(dl_val,dl_iso,$A101,dl_ind,"rev",dl_year,$B101)/100)</f>
        <v/>
      </c>
      <c r="K101" s="26">
        <f>(1-p_delta_g)*K100*(1-p_eps_g*$E101)+INDEX(Calib!$E$1:$E$13,$D101)*(INDEX(Calib!$G$1:$G$13,$D101)+0*$H101)</f>
        <v/>
      </c>
      <c r="L101" s="26">
        <f>L100*(1-p_eps_k*$E101)+p_lambda_k*(N101-L100*(1-p_eps_k*$E101))</f>
        <v/>
      </c>
      <c r="M101" s="26">
        <f>INDEX(Calib!$R$1:$R$13,$D101)*$F101*(K100*(1-p_eps_g*$E101))^INDEX(Calib!$Q$1:$Q$13,$D101)*(L100*(1-p_eps_k*$E101))^p_alpha</f>
        <v/>
      </c>
      <c r="N101" s="26">
        <f>p_alpha*(1-INDEX(Calib!$H$1:$H$13,$D101))*M101/(INDEX(Calib!$K$1:$K$13,$D101)+p_delta)</f>
        <v/>
      </c>
      <c r="O101" s="26">
        <f>M101+$G101</f>
        <v/>
      </c>
      <c r="P101" s="26">
        <f>0*($H101+$I101)</f>
        <v/>
      </c>
      <c r="Q101" s="26">
        <f>INDEX(Calib!$I$1:$I$13,$D101)+p_sh_grant*P101</f>
        <v/>
      </c>
      <c r="R101" s="26">
        <f>INDEX(Calib!$H$1:$H$13,$D101)*M101+p_gov_take*$G101+Q101+0*p_pricing*$J101</f>
        <v/>
      </c>
      <c r="S101" s="26">
        <f>INDEX(Calib!$Y$1:$Y$13,$D101)-INDEX(Calib!$Z$1:$Z$13,$D101)*(V100/O100-INDEX(Calib!$AA$1:$AA$13,$D101))</f>
        <v/>
      </c>
      <c r="T101" s="26">
        <f>INDEX(Calib!$X$1:$X$13,$D101)+INDEX(Calib!$G$1:$G$13,$D101)+P101+S101-R101</f>
        <v/>
      </c>
      <c r="U101" s="26">
        <f>p_rk*W100+Y100*(V100-W100)</f>
        <v/>
      </c>
      <c r="V101" s="26">
        <f>V100+U101+T101</f>
        <v/>
      </c>
      <c r="W101" s="26">
        <f>INDEX(Calib!$U$1:$U$13,$D101)+(W100-INDEX(Calib!$U$1:$U$13,$D101))*(1-p_amort)+p_sh_conc*P101</f>
        <v/>
      </c>
      <c r="X101" s="26">
        <f>V101/O101</f>
        <v/>
      </c>
      <c r="Y101" s="26">
        <f>INDEX(Calib!$K$1:$K$13,$D101)+p_eta*MAX(0,X101-INDEX(Calib!$AA$1:$AA$13,$D101))</f>
        <v/>
      </c>
      <c r="Z101" s="26">
        <f>(1-INDEX(Calib!$H$1:$H$13,$D101))*(1-p_alpha)*M101+S101</f>
        <v/>
      </c>
      <c r="AA101" s="26">
        <f>(1-p_delta_g)*AA100*(1-p_eps_g*$E101)+INDEX(Calib!$E$1:$E$13,$D101)*(INDEX(Calib!$G$1:$G$13,$D101)+p_programme*$H101)</f>
        <v/>
      </c>
      <c r="AB101" s="26">
        <f>AB100*(1-p_eps_k*$E101)+p_lambda_k*(AD101-AB100*(1-p_eps_k*$E101))</f>
        <v/>
      </c>
      <c r="AC101" s="26">
        <f>INDEX(Calib!$R$1:$R$13,$D101)*$F101*(AA100*(1-p_eps_g*$E101))^INDEX(Calib!$Q$1:$Q$13,$D101)*(AB100*(1-p_eps_k*$E101))^p_alpha</f>
        <v/>
      </c>
      <c r="AD101" s="26">
        <f>p_alpha*(1-INDEX(Calib!$H$1:$H$13,$D101))*AC101/(INDEX(Calib!$K$1:$K$13,$D101)+p_delta)</f>
        <v/>
      </c>
      <c r="AE101" s="26">
        <f>AC101+$G101</f>
        <v/>
      </c>
      <c r="AF101" s="26">
        <f>p_programme*($H101+$I101)</f>
        <v/>
      </c>
      <c r="AG101" s="26">
        <f>INDEX(Calib!$I$1:$I$13,$D101)+p_sh_grant*AF101</f>
        <v/>
      </c>
      <c r="AH101" s="26">
        <f>INDEX(Calib!$H$1:$H$13,$D101)*AC101+p_gov_take*$G101+AG101+p_programme*p_pricing*$J101</f>
        <v/>
      </c>
      <c r="AI101" s="26">
        <f>INDEX(Calib!$Y$1:$Y$13,$D101)-INDEX(Calib!$Z$1:$Z$13,$D101)*(AL100/AE100-INDEX(Calib!$AA$1:$AA$13,$D101))</f>
        <v/>
      </c>
      <c r="AJ101" s="26">
        <f>INDEX(Calib!$X$1:$X$13,$D101)+INDEX(Calib!$G$1:$G$13,$D101)+AF101+AI101-AH101</f>
        <v/>
      </c>
      <c r="AK101" s="26">
        <f>p_rk*AM100+AO100*(AL100-AM100)</f>
        <v/>
      </c>
      <c r="AL101" s="26">
        <f>AL100+AK101+AJ101</f>
        <v/>
      </c>
      <c r="AM101" s="26">
        <f>INDEX(Calib!$U$1:$U$13,$D101)+(AM100-INDEX(Calib!$U$1:$U$13,$D101))*(1-p_amort)+p_sh_conc*AF101</f>
        <v/>
      </c>
      <c r="AN101" s="26">
        <f>AL101/AE101</f>
        <v/>
      </c>
      <c r="AO101" s="26">
        <f>INDEX(Calib!$K$1:$K$13,$D101)+p_eta*MAX(0,AN101-INDEX(Calib!$AA$1:$AA$13,$D101))</f>
        <v/>
      </c>
      <c r="AP101" s="26">
        <f>(1-INDEX(Calib!$H$1:$H$13,$D101))*(1-p_alpha)*AC101+AI101</f>
        <v/>
      </c>
      <c r="AQ101" s="26">
        <f>(AE101/O101-1)*100</f>
        <v/>
      </c>
      <c r="AR101" s="26">
        <f>(AE101/AE83-1)*100</f>
        <v/>
      </c>
      <c r="AS101" s="26">
        <f>(O101/O83-1)*100</f>
        <v/>
      </c>
      <c r="AT101" s="26">
        <f>(AN101-X101)*100</f>
        <v/>
      </c>
      <c r="AU101" s="26">
        <f>(AP101/Z101-1)*100</f>
        <v/>
      </c>
      <c r="AV101" s="26">
        <f>(AI101-S101)*100</f>
        <v/>
      </c>
    </row>
    <row r="102">
      <c r="A102" s="25" t="inlineStr">
        <is>
          <t>LBR</t>
        </is>
      </c>
      <c r="B102" s="25" t="n">
        <v>2043</v>
      </c>
      <c r="C102" s="25" t="n">
        <v>19</v>
      </c>
      <c r="D102" s="25" t="n">
        <v>5</v>
      </c>
      <c r="E102" s="25">
        <f>IF(AND(p_dis_year&gt;0,B102=p_dis_year),1,0)</f>
        <v/>
      </c>
      <c r="F102" s="26">
        <f>IF(AND(p_dis_year&gt;0,B102&gt;=p_dis_year),1-p_eps_a*p_rho_a^(B102-p_dis_year),1)</f>
        <v/>
      </c>
      <c r="G102" s="26">
        <f>INDEX(Calib!$N$1:$N$13,$D102)*(1-p_rent_decline*MIN(1,C102/26))</f>
        <v/>
      </c>
      <c r="H102" s="26">
        <f>IF(C102=0,0,SUMIFS(dl_val,dl_iso,$A102,dl_ind,"pub_cap",dl_year,$B102)/100)</f>
        <v/>
      </c>
      <c r="I102" s="26">
        <f>IF(C102=0,0,SUMIFS(dl_val,dl_iso,$A102,dl_ind,"pub_spend",dl_year,$B102)/100)</f>
        <v/>
      </c>
      <c r="J102" s="26">
        <f>IF(C102=0,0,SUMIFS(dl_val,dl_iso,$A102,dl_ind,"rev",dl_year,$B102)/100)</f>
        <v/>
      </c>
      <c r="K102" s="26">
        <f>(1-p_delta_g)*K101*(1-p_eps_g*$E102)+INDEX(Calib!$E$1:$E$13,$D102)*(INDEX(Calib!$G$1:$G$13,$D102)+0*$H102)</f>
        <v/>
      </c>
      <c r="L102" s="26">
        <f>L101*(1-p_eps_k*$E102)+p_lambda_k*(N102-L101*(1-p_eps_k*$E102))</f>
        <v/>
      </c>
      <c r="M102" s="26">
        <f>INDEX(Calib!$R$1:$R$13,$D102)*$F102*(K101*(1-p_eps_g*$E102))^INDEX(Calib!$Q$1:$Q$13,$D102)*(L101*(1-p_eps_k*$E102))^p_alpha</f>
        <v/>
      </c>
      <c r="N102" s="26">
        <f>p_alpha*(1-INDEX(Calib!$H$1:$H$13,$D102))*M102/(INDEX(Calib!$K$1:$K$13,$D102)+p_delta)</f>
        <v/>
      </c>
      <c r="O102" s="26">
        <f>M102+$G102</f>
        <v/>
      </c>
      <c r="P102" s="26">
        <f>0*($H102+$I102)</f>
        <v/>
      </c>
      <c r="Q102" s="26">
        <f>INDEX(Calib!$I$1:$I$13,$D102)+p_sh_grant*P102</f>
        <v/>
      </c>
      <c r="R102" s="26">
        <f>INDEX(Calib!$H$1:$H$13,$D102)*M102+p_gov_take*$G102+Q102+0*p_pricing*$J102</f>
        <v/>
      </c>
      <c r="S102" s="26">
        <f>INDEX(Calib!$Y$1:$Y$13,$D102)-INDEX(Calib!$Z$1:$Z$13,$D102)*(V101/O101-INDEX(Calib!$AA$1:$AA$13,$D102))</f>
        <v/>
      </c>
      <c r="T102" s="26">
        <f>INDEX(Calib!$X$1:$X$13,$D102)+INDEX(Calib!$G$1:$G$13,$D102)+P102+S102-R102</f>
        <v/>
      </c>
      <c r="U102" s="26">
        <f>p_rk*W101+Y101*(V101-W101)</f>
        <v/>
      </c>
      <c r="V102" s="26">
        <f>V101+U102+T102</f>
        <v/>
      </c>
      <c r="W102" s="26">
        <f>INDEX(Calib!$U$1:$U$13,$D102)+(W101-INDEX(Calib!$U$1:$U$13,$D102))*(1-p_amort)+p_sh_conc*P102</f>
        <v/>
      </c>
      <c r="X102" s="26">
        <f>V102/O102</f>
        <v/>
      </c>
      <c r="Y102" s="26">
        <f>INDEX(Calib!$K$1:$K$13,$D102)+p_eta*MAX(0,X102-INDEX(Calib!$AA$1:$AA$13,$D102))</f>
        <v/>
      </c>
      <c r="Z102" s="26">
        <f>(1-INDEX(Calib!$H$1:$H$13,$D102))*(1-p_alpha)*M102+S102</f>
        <v/>
      </c>
      <c r="AA102" s="26">
        <f>(1-p_delta_g)*AA101*(1-p_eps_g*$E102)+INDEX(Calib!$E$1:$E$13,$D102)*(INDEX(Calib!$G$1:$G$13,$D102)+p_programme*$H102)</f>
        <v/>
      </c>
      <c r="AB102" s="26">
        <f>AB101*(1-p_eps_k*$E102)+p_lambda_k*(AD102-AB101*(1-p_eps_k*$E102))</f>
        <v/>
      </c>
      <c r="AC102" s="26">
        <f>INDEX(Calib!$R$1:$R$13,$D102)*$F102*(AA101*(1-p_eps_g*$E102))^INDEX(Calib!$Q$1:$Q$13,$D102)*(AB101*(1-p_eps_k*$E102))^p_alpha</f>
        <v/>
      </c>
      <c r="AD102" s="26">
        <f>p_alpha*(1-INDEX(Calib!$H$1:$H$13,$D102))*AC102/(INDEX(Calib!$K$1:$K$13,$D102)+p_delta)</f>
        <v/>
      </c>
      <c r="AE102" s="26">
        <f>AC102+$G102</f>
        <v/>
      </c>
      <c r="AF102" s="26">
        <f>p_programme*($H102+$I102)</f>
        <v/>
      </c>
      <c r="AG102" s="26">
        <f>INDEX(Calib!$I$1:$I$13,$D102)+p_sh_grant*AF102</f>
        <v/>
      </c>
      <c r="AH102" s="26">
        <f>INDEX(Calib!$H$1:$H$13,$D102)*AC102+p_gov_take*$G102+AG102+p_programme*p_pricing*$J102</f>
        <v/>
      </c>
      <c r="AI102" s="26">
        <f>INDEX(Calib!$Y$1:$Y$13,$D102)-INDEX(Calib!$Z$1:$Z$13,$D102)*(AL101/AE101-INDEX(Calib!$AA$1:$AA$13,$D102))</f>
        <v/>
      </c>
      <c r="AJ102" s="26">
        <f>INDEX(Calib!$X$1:$X$13,$D102)+INDEX(Calib!$G$1:$G$13,$D102)+AF102+AI102-AH102</f>
        <v/>
      </c>
      <c r="AK102" s="26">
        <f>p_rk*AM101+AO101*(AL101-AM101)</f>
        <v/>
      </c>
      <c r="AL102" s="26">
        <f>AL101+AK102+AJ102</f>
        <v/>
      </c>
      <c r="AM102" s="26">
        <f>INDEX(Calib!$U$1:$U$13,$D102)+(AM101-INDEX(Calib!$U$1:$U$13,$D102))*(1-p_amort)+p_sh_conc*AF102</f>
        <v/>
      </c>
      <c r="AN102" s="26">
        <f>AL102/AE102</f>
        <v/>
      </c>
      <c r="AO102" s="26">
        <f>INDEX(Calib!$K$1:$K$13,$D102)+p_eta*MAX(0,AN102-INDEX(Calib!$AA$1:$AA$13,$D102))</f>
        <v/>
      </c>
      <c r="AP102" s="26">
        <f>(1-INDEX(Calib!$H$1:$H$13,$D102))*(1-p_alpha)*AC102+AI102</f>
        <v/>
      </c>
      <c r="AQ102" s="26">
        <f>(AE102/O102-1)*100</f>
        <v/>
      </c>
      <c r="AR102" s="26">
        <f>(AE102/AE83-1)*100</f>
        <v/>
      </c>
      <c r="AS102" s="26">
        <f>(O102/O83-1)*100</f>
        <v/>
      </c>
      <c r="AT102" s="26">
        <f>(AN102-X102)*100</f>
        <v/>
      </c>
      <c r="AU102" s="26">
        <f>(AP102/Z102-1)*100</f>
        <v/>
      </c>
      <c r="AV102" s="26">
        <f>(AI102-S102)*100</f>
        <v/>
      </c>
    </row>
    <row r="103">
      <c r="A103" s="25" t="inlineStr">
        <is>
          <t>LBR</t>
        </is>
      </c>
      <c r="B103" s="25" t="n">
        <v>2044</v>
      </c>
      <c r="C103" s="25" t="n">
        <v>20</v>
      </c>
      <c r="D103" s="25" t="n">
        <v>5</v>
      </c>
      <c r="E103" s="25">
        <f>IF(AND(p_dis_year&gt;0,B103=p_dis_year),1,0)</f>
        <v/>
      </c>
      <c r="F103" s="26">
        <f>IF(AND(p_dis_year&gt;0,B103&gt;=p_dis_year),1-p_eps_a*p_rho_a^(B103-p_dis_year),1)</f>
        <v/>
      </c>
      <c r="G103" s="26">
        <f>INDEX(Calib!$N$1:$N$13,$D103)*(1-p_rent_decline*MIN(1,C103/26))</f>
        <v/>
      </c>
      <c r="H103" s="26">
        <f>IF(C103=0,0,SUMIFS(dl_val,dl_iso,$A103,dl_ind,"pub_cap",dl_year,$B103)/100)</f>
        <v/>
      </c>
      <c r="I103" s="26">
        <f>IF(C103=0,0,SUMIFS(dl_val,dl_iso,$A103,dl_ind,"pub_spend",dl_year,$B103)/100)</f>
        <v/>
      </c>
      <c r="J103" s="26">
        <f>IF(C103=0,0,SUMIFS(dl_val,dl_iso,$A103,dl_ind,"rev",dl_year,$B103)/100)</f>
        <v/>
      </c>
      <c r="K103" s="26">
        <f>(1-p_delta_g)*K102*(1-p_eps_g*$E103)+INDEX(Calib!$E$1:$E$13,$D103)*(INDEX(Calib!$G$1:$G$13,$D103)+0*$H103)</f>
        <v/>
      </c>
      <c r="L103" s="26">
        <f>L102*(1-p_eps_k*$E103)+p_lambda_k*(N103-L102*(1-p_eps_k*$E103))</f>
        <v/>
      </c>
      <c r="M103" s="26">
        <f>INDEX(Calib!$R$1:$R$13,$D103)*$F103*(K102*(1-p_eps_g*$E103))^INDEX(Calib!$Q$1:$Q$13,$D103)*(L102*(1-p_eps_k*$E103))^p_alpha</f>
        <v/>
      </c>
      <c r="N103" s="26">
        <f>p_alpha*(1-INDEX(Calib!$H$1:$H$13,$D103))*M103/(INDEX(Calib!$K$1:$K$13,$D103)+p_delta)</f>
        <v/>
      </c>
      <c r="O103" s="26">
        <f>M103+$G103</f>
        <v/>
      </c>
      <c r="P103" s="26">
        <f>0*($H103+$I103)</f>
        <v/>
      </c>
      <c r="Q103" s="26">
        <f>INDEX(Calib!$I$1:$I$13,$D103)+p_sh_grant*P103</f>
        <v/>
      </c>
      <c r="R103" s="26">
        <f>INDEX(Calib!$H$1:$H$13,$D103)*M103+p_gov_take*$G103+Q103+0*p_pricing*$J103</f>
        <v/>
      </c>
      <c r="S103" s="26">
        <f>INDEX(Calib!$Y$1:$Y$13,$D103)-INDEX(Calib!$Z$1:$Z$13,$D103)*(V102/O102-INDEX(Calib!$AA$1:$AA$13,$D103))</f>
        <v/>
      </c>
      <c r="T103" s="26">
        <f>INDEX(Calib!$X$1:$X$13,$D103)+INDEX(Calib!$G$1:$G$13,$D103)+P103+S103-R103</f>
        <v/>
      </c>
      <c r="U103" s="26">
        <f>p_rk*W102+Y102*(V102-W102)</f>
        <v/>
      </c>
      <c r="V103" s="26">
        <f>V102+U103+T103</f>
        <v/>
      </c>
      <c r="W103" s="26">
        <f>INDEX(Calib!$U$1:$U$13,$D103)+(W102-INDEX(Calib!$U$1:$U$13,$D103))*(1-p_amort)+p_sh_conc*P103</f>
        <v/>
      </c>
      <c r="X103" s="26">
        <f>V103/O103</f>
        <v/>
      </c>
      <c r="Y103" s="26">
        <f>INDEX(Calib!$K$1:$K$13,$D103)+p_eta*MAX(0,X103-INDEX(Calib!$AA$1:$AA$13,$D103))</f>
        <v/>
      </c>
      <c r="Z103" s="26">
        <f>(1-INDEX(Calib!$H$1:$H$13,$D103))*(1-p_alpha)*M103+S103</f>
        <v/>
      </c>
      <c r="AA103" s="26">
        <f>(1-p_delta_g)*AA102*(1-p_eps_g*$E103)+INDEX(Calib!$E$1:$E$13,$D103)*(INDEX(Calib!$G$1:$G$13,$D103)+p_programme*$H103)</f>
        <v/>
      </c>
      <c r="AB103" s="26">
        <f>AB102*(1-p_eps_k*$E103)+p_lambda_k*(AD103-AB102*(1-p_eps_k*$E103))</f>
        <v/>
      </c>
      <c r="AC103" s="26">
        <f>INDEX(Calib!$R$1:$R$13,$D103)*$F103*(AA102*(1-p_eps_g*$E103))^INDEX(Calib!$Q$1:$Q$13,$D103)*(AB102*(1-p_eps_k*$E103))^p_alpha</f>
        <v/>
      </c>
      <c r="AD103" s="26">
        <f>p_alpha*(1-INDEX(Calib!$H$1:$H$13,$D103))*AC103/(INDEX(Calib!$K$1:$K$13,$D103)+p_delta)</f>
        <v/>
      </c>
      <c r="AE103" s="26">
        <f>AC103+$G103</f>
        <v/>
      </c>
      <c r="AF103" s="26">
        <f>p_programme*($H103+$I103)</f>
        <v/>
      </c>
      <c r="AG103" s="26">
        <f>INDEX(Calib!$I$1:$I$13,$D103)+p_sh_grant*AF103</f>
        <v/>
      </c>
      <c r="AH103" s="26">
        <f>INDEX(Calib!$H$1:$H$13,$D103)*AC103+p_gov_take*$G103+AG103+p_programme*p_pricing*$J103</f>
        <v/>
      </c>
      <c r="AI103" s="26">
        <f>INDEX(Calib!$Y$1:$Y$13,$D103)-INDEX(Calib!$Z$1:$Z$13,$D103)*(AL102/AE102-INDEX(Calib!$AA$1:$AA$13,$D103))</f>
        <v/>
      </c>
      <c r="AJ103" s="26">
        <f>INDEX(Calib!$X$1:$X$13,$D103)+INDEX(Calib!$G$1:$G$13,$D103)+AF103+AI103-AH103</f>
        <v/>
      </c>
      <c r="AK103" s="26">
        <f>p_rk*AM102+AO102*(AL102-AM102)</f>
        <v/>
      </c>
      <c r="AL103" s="26">
        <f>AL102+AK103+AJ103</f>
        <v/>
      </c>
      <c r="AM103" s="26">
        <f>INDEX(Calib!$U$1:$U$13,$D103)+(AM102-INDEX(Calib!$U$1:$U$13,$D103))*(1-p_amort)+p_sh_conc*AF103</f>
        <v/>
      </c>
      <c r="AN103" s="26">
        <f>AL103/AE103</f>
        <v/>
      </c>
      <c r="AO103" s="26">
        <f>INDEX(Calib!$K$1:$K$13,$D103)+p_eta*MAX(0,AN103-INDEX(Calib!$AA$1:$AA$13,$D103))</f>
        <v/>
      </c>
      <c r="AP103" s="26">
        <f>(1-INDEX(Calib!$H$1:$H$13,$D103))*(1-p_alpha)*AC103+AI103</f>
        <v/>
      </c>
      <c r="AQ103" s="26">
        <f>(AE103/O103-1)*100</f>
        <v/>
      </c>
      <c r="AR103" s="26">
        <f>(AE103/AE83-1)*100</f>
        <v/>
      </c>
      <c r="AS103" s="26">
        <f>(O103/O83-1)*100</f>
        <v/>
      </c>
      <c r="AT103" s="26">
        <f>(AN103-X103)*100</f>
        <v/>
      </c>
      <c r="AU103" s="26">
        <f>(AP103/Z103-1)*100</f>
        <v/>
      </c>
      <c r="AV103" s="26">
        <f>(AI103-S103)*100</f>
        <v/>
      </c>
    </row>
    <row r="104">
      <c r="A104" s="25" t="inlineStr">
        <is>
          <t>LBR</t>
        </is>
      </c>
      <c r="B104" s="25" t="n">
        <v>2045</v>
      </c>
      <c r="C104" s="25" t="n">
        <v>21</v>
      </c>
      <c r="D104" s="25" t="n">
        <v>5</v>
      </c>
      <c r="E104" s="25">
        <f>IF(AND(p_dis_year&gt;0,B104=p_dis_year),1,0)</f>
        <v/>
      </c>
      <c r="F104" s="26">
        <f>IF(AND(p_dis_year&gt;0,B104&gt;=p_dis_year),1-p_eps_a*p_rho_a^(B104-p_dis_year),1)</f>
        <v/>
      </c>
      <c r="G104" s="26">
        <f>INDEX(Calib!$N$1:$N$13,$D104)*(1-p_rent_decline*MIN(1,C104/26))</f>
        <v/>
      </c>
      <c r="H104" s="26">
        <f>IF(C104=0,0,SUMIFS(dl_val,dl_iso,$A104,dl_ind,"pub_cap",dl_year,$B104)/100)</f>
        <v/>
      </c>
      <c r="I104" s="26">
        <f>IF(C104=0,0,SUMIFS(dl_val,dl_iso,$A104,dl_ind,"pub_spend",dl_year,$B104)/100)</f>
        <v/>
      </c>
      <c r="J104" s="26">
        <f>IF(C104=0,0,SUMIFS(dl_val,dl_iso,$A104,dl_ind,"rev",dl_year,$B104)/100)</f>
        <v/>
      </c>
      <c r="K104" s="26">
        <f>(1-p_delta_g)*K103*(1-p_eps_g*$E104)+INDEX(Calib!$E$1:$E$13,$D104)*(INDEX(Calib!$G$1:$G$13,$D104)+0*$H104)</f>
        <v/>
      </c>
      <c r="L104" s="26">
        <f>L103*(1-p_eps_k*$E104)+p_lambda_k*(N104-L103*(1-p_eps_k*$E104))</f>
        <v/>
      </c>
      <c r="M104" s="26">
        <f>INDEX(Calib!$R$1:$R$13,$D104)*$F104*(K103*(1-p_eps_g*$E104))^INDEX(Calib!$Q$1:$Q$13,$D104)*(L103*(1-p_eps_k*$E104))^p_alpha</f>
        <v/>
      </c>
      <c r="N104" s="26">
        <f>p_alpha*(1-INDEX(Calib!$H$1:$H$13,$D104))*M104/(INDEX(Calib!$K$1:$K$13,$D104)+p_delta)</f>
        <v/>
      </c>
      <c r="O104" s="26">
        <f>M104+$G104</f>
        <v/>
      </c>
      <c r="P104" s="26">
        <f>0*($H104+$I104)</f>
        <v/>
      </c>
      <c r="Q104" s="26">
        <f>INDEX(Calib!$I$1:$I$13,$D104)+p_sh_grant*P104</f>
        <v/>
      </c>
      <c r="R104" s="26">
        <f>INDEX(Calib!$H$1:$H$13,$D104)*M104+p_gov_take*$G104+Q104+0*p_pricing*$J104</f>
        <v/>
      </c>
      <c r="S104" s="26">
        <f>INDEX(Calib!$Y$1:$Y$13,$D104)-INDEX(Calib!$Z$1:$Z$13,$D104)*(V103/O103-INDEX(Calib!$AA$1:$AA$13,$D104))</f>
        <v/>
      </c>
      <c r="T104" s="26">
        <f>INDEX(Calib!$X$1:$X$13,$D104)+INDEX(Calib!$G$1:$G$13,$D104)+P104+S104-R104</f>
        <v/>
      </c>
      <c r="U104" s="26">
        <f>p_rk*W103+Y103*(V103-W103)</f>
        <v/>
      </c>
      <c r="V104" s="26">
        <f>V103+U104+T104</f>
        <v/>
      </c>
      <c r="W104" s="26">
        <f>INDEX(Calib!$U$1:$U$13,$D104)+(W103-INDEX(Calib!$U$1:$U$13,$D104))*(1-p_amort)+p_sh_conc*P104</f>
        <v/>
      </c>
      <c r="X104" s="26">
        <f>V104/O104</f>
        <v/>
      </c>
      <c r="Y104" s="26">
        <f>INDEX(Calib!$K$1:$K$13,$D104)+p_eta*MAX(0,X104-INDEX(Calib!$AA$1:$AA$13,$D104))</f>
        <v/>
      </c>
      <c r="Z104" s="26">
        <f>(1-INDEX(Calib!$H$1:$H$13,$D104))*(1-p_alpha)*M104+S104</f>
        <v/>
      </c>
      <c r="AA104" s="26">
        <f>(1-p_delta_g)*AA103*(1-p_eps_g*$E104)+INDEX(Calib!$E$1:$E$13,$D104)*(INDEX(Calib!$G$1:$G$13,$D104)+p_programme*$H104)</f>
        <v/>
      </c>
      <c r="AB104" s="26">
        <f>AB103*(1-p_eps_k*$E104)+p_lambda_k*(AD104-AB103*(1-p_eps_k*$E104))</f>
        <v/>
      </c>
      <c r="AC104" s="26">
        <f>INDEX(Calib!$R$1:$R$13,$D104)*$F104*(AA103*(1-p_eps_g*$E104))^INDEX(Calib!$Q$1:$Q$13,$D104)*(AB103*(1-p_eps_k*$E104))^p_alpha</f>
        <v/>
      </c>
      <c r="AD104" s="26">
        <f>p_alpha*(1-INDEX(Calib!$H$1:$H$13,$D104))*AC104/(INDEX(Calib!$K$1:$K$13,$D104)+p_delta)</f>
        <v/>
      </c>
      <c r="AE104" s="26">
        <f>AC104+$G104</f>
        <v/>
      </c>
      <c r="AF104" s="26">
        <f>p_programme*($H104+$I104)</f>
        <v/>
      </c>
      <c r="AG104" s="26">
        <f>INDEX(Calib!$I$1:$I$13,$D104)+p_sh_grant*AF104</f>
        <v/>
      </c>
      <c r="AH104" s="26">
        <f>INDEX(Calib!$H$1:$H$13,$D104)*AC104+p_gov_take*$G104+AG104+p_programme*p_pricing*$J104</f>
        <v/>
      </c>
      <c r="AI104" s="26">
        <f>INDEX(Calib!$Y$1:$Y$13,$D104)-INDEX(Calib!$Z$1:$Z$13,$D104)*(AL103/AE103-INDEX(Calib!$AA$1:$AA$13,$D104))</f>
        <v/>
      </c>
      <c r="AJ104" s="26">
        <f>INDEX(Calib!$X$1:$X$13,$D104)+INDEX(Calib!$G$1:$G$13,$D104)+AF104+AI104-AH104</f>
        <v/>
      </c>
      <c r="AK104" s="26">
        <f>p_rk*AM103+AO103*(AL103-AM103)</f>
        <v/>
      </c>
      <c r="AL104" s="26">
        <f>AL103+AK104+AJ104</f>
        <v/>
      </c>
      <c r="AM104" s="26">
        <f>INDEX(Calib!$U$1:$U$13,$D104)+(AM103-INDEX(Calib!$U$1:$U$13,$D104))*(1-p_amort)+p_sh_conc*AF104</f>
        <v/>
      </c>
      <c r="AN104" s="26">
        <f>AL104/AE104</f>
        <v/>
      </c>
      <c r="AO104" s="26">
        <f>INDEX(Calib!$K$1:$K$13,$D104)+p_eta*MAX(0,AN104-INDEX(Calib!$AA$1:$AA$13,$D104))</f>
        <v/>
      </c>
      <c r="AP104" s="26">
        <f>(1-INDEX(Calib!$H$1:$H$13,$D104))*(1-p_alpha)*AC104+AI104</f>
        <v/>
      </c>
      <c r="AQ104" s="26">
        <f>(AE104/O104-1)*100</f>
        <v/>
      </c>
      <c r="AR104" s="26">
        <f>(AE104/AE83-1)*100</f>
        <v/>
      </c>
      <c r="AS104" s="26">
        <f>(O104/O83-1)*100</f>
        <v/>
      </c>
      <c r="AT104" s="26">
        <f>(AN104-X104)*100</f>
        <v/>
      </c>
      <c r="AU104" s="26">
        <f>(AP104/Z104-1)*100</f>
        <v/>
      </c>
      <c r="AV104" s="26">
        <f>(AI104-S104)*100</f>
        <v/>
      </c>
    </row>
    <row r="105">
      <c r="A105" s="25" t="inlineStr">
        <is>
          <t>LBR</t>
        </is>
      </c>
      <c r="B105" s="25" t="n">
        <v>2046</v>
      </c>
      <c r="C105" s="25" t="n">
        <v>22</v>
      </c>
      <c r="D105" s="25" t="n">
        <v>5</v>
      </c>
      <c r="E105" s="25">
        <f>IF(AND(p_dis_year&gt;0,B105=p_dis_year),1,0)</f>
        <v/>
      </c>
      <c r="F105" s="26">
        <f>IF(AND(p_dis_year&gt;0,B105&gt;=p_dis_year),1-p_eps_a*p_rho_a^(B105-p_dis_year),1)</f>
        <v/>
      </c>
      <c r="G105" s="26">
        <f>INDEX(Calib!$N$1:$N$13,$D105)*(1-p_rent_decline*MIN(1,C105/26))</f>
        <v/>
      </c>
      <c r="H105" s="26">
        <f>IF(C105=0,0,SUMIFS(dl_val,dl_iso,$A105,dl_ind,"pub_cap",dl_year,$B105)/100)</f>
        <v/>
      </c>
      <c r="I105" s="26">
        <f>IF(C105=0,0,SUMIFS(dl_val,dl_iso,$A105,dl_ind,"pub_spend",dl_year,$B105)/100)</f>
        <v/>
      </c>
      <c r="J105" s="26">
        <f>IF(C105=0,0,SUMIFS(dl_val,dl_iso,$A105,dl_ind,"rev",dl_year,$B105)/100)</f>
        <v/>
      </c>
      <c r="K105" s="26">
        <f>(1-p_delta_g)*K104*(1-p_eps_g*$E105)+INDEX(Calib!$E$1:$E$13,$D105)*(INDEX(Calib!$G$1:$G$13,$D105)+0*$H105)</f>
        <v/>
      </c>
      <c r="L105" s="26">
        <f>L104*(1-p_eps_k*$E105)+p_lambda_k*(N105-L104*(1-p_eps_k*$E105))</f>
        <v/>
      </c>
      <c r="M105" s="26">
        <f>INDEX(Calib!$R$1:$R$13,$D105)*$F105*(K104*(1-p_eps_g*$E105))^INDEX(Calib!$Q$1:$Q$13,$D105)*(L104*(1-p_eps_k*$E105))^p_alpha</f>
        <v/>
      </c>
      <c r="N105" s="26">
        <f>p_alpha*(1-INDEX(Calib!$H$1:$H$13,$D105))*M105/(INDEX(Calib!$K$1:$K$13,$D105)+p_delta)</f>
        <v/>
      </c>
      <c r="O105" s="26">
        <f>M105+$G105</f>
        <v/>
      </c>
      <c r="P105" s="26">
        <f>0*($H105+$I105)</f>
        <v/>
      </c>
      <c r="Q105" s="26">
        <f>INDEX(Calib!$I$1:$I$13,$D105)+p_sh_grant*P105</f>
        <v/>
      </c>
      <c r="R105" s="26">
        <f>INDEX(Calib!$H$1:$H$13,$D105)*M105+p_gov_take*$G105+Q105+0*p_pricing*$J105</f>
        <v/>
      </c>
      <c r="S105" s="26">
        <f>INDEX(Calib!$Y$1:$Y$13,$D105)-INDEX(Calib!$Z$1:$Z$13,$D105)*(V104/O104-INDEX(Calib!$AA$1:$AA$13,$D105))</f>
        <v/>
      </c>
      <c r="T105" s="26">
        <f>INDEX(Calib!$X$1:$X$13,$D105)+INDEX(Calib!$G$1:$G$13,$D105)+P105+S105-R105</f>
        <v/>
      </c>
      <c r="U105" s="26">
        <f>p_rk*W104+Y104*(V104-W104)</f>
        <v/>
      </c>
      <c r="V105" s="26">
        <f>V104+U105+T105</f>
        <v/>
      </c>
      <c r="W105" s="26">
        <f>INDEX(Calib!$U$1:$U$13,$D105)+(W104-INDEX(Calib!$U$1:$U$13,$D105))*(1-p_amort)+p_sh_conc*P105</f>
        <v/>
      </c>
      <c r="X105" s="26">
        <f>V105/O105</f>
        <v/>
      </c>
      <c r="Y105" s="26">
        <f>INDEX(Calib!$K$1:$K$13,$D105)+p_eta*MAX(0,X105-INDEX(Calib!$AA$1:$AA$13,$D105))</f>
        <v/>
      </c>
      <c r="Z105" s="26">
        <f>(1-INDEX(Calib!$H$1:$H$13,$D105))*(1-p_alpha)*M105+S105</f>
        <v/>
      </c>
      <c r="AA105" s="26">
        <f>(1-p_delta_g)*AA104*(1-p_eps_g*$E105)+INDEX(Calib!$E$1:$E$13,$D105)*(INDEX(Calib!$G$1:$G$13,$D105)+p_programme*$H105)</f>
        <v/>
      </c>
      <c r="AB105" s="26">
        <f>AB104*(1-p_eps_k*$E105)+p_lambda_k*(AD105-AB104*(1-p_eps_k*$E105))</f>
        <v/>
      </c>
      <c r="AC105" s="26">
        <f>INDEX(Calib!$R$1:$R$13,$D105)*$F105*(AA104*(1-p_eps_g*$E105))^INDEX(Calib!$Q$1:$Q$13,$D105)*(AB104*(1-p_eps_k*$E105))^p_alpha</f>
        <v/>
      </c>
      <c r="AD105" s="26">
        <f>p_alpha*(1-INDEX(Calib!$H$1:$H$13,$D105))*AC105/(INDEX(Calib!$K$1:$K$13,$D105)+p_delta)</f>
        <v/>
      </c>
      <c r="AE105" s="26">
        <f>AC105+$G105</f>
        <v/>
      </c>
      <c r="AF105" s="26">
        <f>p_programme*($H105+$I105)</f>
        <v/>
      </c>
      <c r="AG105" s="26">
        <f>INDEX(Calib!$I$1:$I$13,$D105)+p_sh_grant*AF105</f>
        <v/>
      </c>
      <c r="AH105" s="26">
        <f>INDEX(Calib!$H$1:$H$13,$D105)*AC105+p_gov_take*$G105+AG105+p_programme*p_pricing*$J105</f>
        <v/>
      </c>
      <c r="AI105" s="26">
        <f>INDEX(Calib!$Y$1:$Y$13,$D105)-INDEX(Calib!$Z$1:$Z$13,$D105)*(AL104/AE104-INDEX(Calib!$AA$1:$AA$13,$D105))</f>
        <v/>
      </c>
      <c r="AJ105" s="26">
        <f>INDEX(Calib!$X$1:$X$13,$D105)+INDEX(Calib!$G$1:$G$13,$D105)+AF105+AI105-AH105</f>
        <v/>
      </c>
      <c r="AK105" s="26">
        <f>p_rk*AM104+AO104*(AL104-AM104)</f>
        <v/>
      </c>
      <c r="AL105" s="26">
        <f>AL104+AK105+AJ105</f>
        <v/>
      </c>
      <c r="AM105" s="26">
        <f>INDEX(Calib!$U$1:$U$13,$D105)+(AM104-INDEX(Calib!$U$1:$U$13,$D105))*(1-p_amort)+p_sh_conc*AF105</f>
        <v/>
      </c>
      <c r="AN105" s="26">
        <f>AL105/AE105</f>
        <v/>
      </c>
      <c r="AO105" s="26">
        <f>INDEX(Calib!$K$1:$K$13,$D105)+p_eta*MAX(0,AN105-INDEX(Calib!$AA$1:$AA$13,$D105))</f>
        <v/>
      </c>
      <c r="AP105" s="26">
        <f>(1-INDEX(Calib!$H$1:$H$13,$D105))*(1-p_alpha)*AC105+AI105</f>
        <v/>
      </c>
      <c r="AQ105" s="26">
        <f>(AE105/O105-1)*100</f>
        <v/>
      </c>
      <c r="AR105" s="26">
        <f>(AE105/AE83-1)*100</f>
        <v/>
      </c>
      <c r="AS105" s="26">
        <f>(O105/O83-1)*100</f>
        <v/>
      </c>
      <c r="AT105" s="26">
        <f>(AN105-X105)*100</f>
        <v/>
      </c>
      <c r="AU105" s="26">
        <f>(AP105/Z105-1)*100</f>
        <v/>
      </c>
      <c r="AV105" s="26">
        <f>(AI105-S105)*100</f>
        <v/>
      </c>
    </row>
    <row r="106">
      <c r="A106" s="25" t="inlineStr">
        <is>
          <t>LBR</t>
        </is>
      </c>
      <c r="B106" s="25" t="n">
        <v>2047</v>
      </c>
      <c r="C106" s="25" t="n">
        <v>23</v>
      </c>
      <c r="D106" s="25" t="n">
        <v>5</v>
      </c>
      <c r="E106" s="25">
        <f>IF(AND(p_dis_year&gt;0,B106=p_dis_year),1,0)</f>
        <v/>
      </c>
      <c r="F106" s="26">
        <f>IF(AND(p_dis_year&gt;0,B106&gt;=p_dis_year),1-p_eps_a*p_rho_a^(B106-p_dis_year),1)</f>
        <v/>
      </c>
      <c r="G106" s="26">
        <f>INDEX(Calib!$N$1:$N$13,$D106)*(1-p_rent_decline*MIN(1,C106/26))</f>
        <v/>
      </c>
      <c r="H106" s="26">
        <f>IF(C106=0,0,SUMIFS(dl_val,dl_iso,$A106,dl_ind,"pub_cap",dl_year,$B106)/100)</f>
        <v/>
      </c>
      <c r="I106" s="26">
        <f>IF(C106=0,0,SUMIFS(dl_val,dl_iso,$A106,dl_ind,"pub_spend",dl_year,$B106)/100)</f>
        <v/>
      </c>
      <c r="J106" s="26">
        <f>IF(C106=0,0,SUMIFS(dl_val,dl_iso,$A106,dl_ind,"rev",dl_year,$B106)/100)</f>
        <v/>
      </c>
      <c r="K106" s="26">
        <f>(1-p_delta_g)*K105*(1-p_eps_g*$E106)+INDEX(Calib!$E$1:$E$13,$D106)*(INDEX(Calib!$G$1:$G$13,$D106)+0*$H106)</f>
        <v/>
      </c>
      <c r="L106" s="26">
        <f>L105*(1-p_eps_k*$E106)+p_lambda_k*(N106-L105*(1-p_eps_k*$E106))</f>
        <v/>
      </c>
      <c r="M106" s="26">
        <f>INDEX(Calib!$R$1:$R$13,$D106)*$F106*(K105*(1-p_eps_g*$E106))^INDEX(Calib!$Q$1:$Q$13,$D106)*(L105*(1-p_eps_k*$E106))^p_alpha</f>
        <v/>
      </c>
      <c r="N106" s="26">
        <f>p_alpha*(1-INDEX(Calib!$H$1:$H$13,$D106))*M106/(INDEX(Calib!$K$1:$K$13,$D106)+p_delta)</f>
        <v/>
      </c>
      <c r="O106" s="26">
        <f>M106+$G106</f>
        <v/>
      </c>
      <c r="P106" s="26">
        <f>0*($H106+$I106)</f>
        <v/>
      </c>
      <c r="Q106" s="26">
        <f>INDEX(Calib!$I$1:$I$13,$D106)+p_sh_grant*P106</f>
        <v/>
      </c>
      <c r="R106" s="26">
        <f>INDEX(Calib!$H$1:$H$13,$D106)*M106+p_gov_take*$G106+Q106+0*p_pricing*$J106</f>
        <v/>
      </c>
      <c r="S106" s="26">
        <f>INDEX(Calib!$Y$1:$Y$13,$D106)-INDEX(Calib!$Z$1:$Z$13,$D106)*(V105/O105-INDEX(Calib!$AA$1:$AA$13,$D106))</f>
        <v/>
      </c>
      <c r="T106" s="26">
        <f>INDEX(Calib!$X$1:$X$13,$D106)+INDEX(Calib!$G$1:$G$13,$D106)+P106+S106-R106</f>
        <v/>
      </c>
      <c r="U106" s="26">
        <f>p_rk*W105+Y105*(V105-W105)</f>
        <v/>
      </c>
      <c r="V106" s="26">
        <f>V105+U106+T106</f>
        <v/>
      </c>
      <c r="W106" s="26">
        <f>INDEX(Calib!$U$1:$U$13,$D106)+(W105-INDEX(Calib!$U$1:$U$13,$D106))*(1-p_amort)+p_sh_conc*P106</f>
        <v/>
      </c>
      <c r="X106" s="26">
        <f>V106/O106</f>
        <v/>
      </c>
      <c r="Y106" s="26">
        <f>INDEX(Calib!$K$1:$K$13,$D106)+p_eta*MAX(0,X106-INDEX(Calib!$AA$1:$AA$13,$D106))</f>
        <v/>
      </c>
      <c r="Z106" s="26">
        <f>(1-INDEX(Calib!$H$1:$H$13,$D106))*(1-p_alpha)*M106+S106</f>
        <v/>
      </c>
      <c r="AA106" s="26">
        <f>(1-p_delta_g)*AA105*(1-p_eps_g*$E106)+INDEX(Calib!$E$1:$E$13,$D106)*(INDEX(Calib!$G$1:$G$13,$D106)+p_programme*$H106)</f>
        <v/>
      </c>
      <c r="AB106" s="26">
        <f>AB105*(1-p_eps_k*$E106)+p_lambda_k*(AD106-AB105*(1-p_eps_k*$E106))</f>
        <v/>
      </c>
      <c r="AC106" s="26">
        <f>INDEX(Calib!$R$1:$R$13,$D106)*$F106*(AA105*(1-p_eps_g*$E106))^INDEX(Calib!$Q$1:$Q$13,$D106)*(AB105*(1-p_eps_k*$E106))^p_alpha</f>
        <v/>
      </c>
      <c r="AD106" s="26">
        <f>p_alpha*(1-INDEX(Calib!$H$1:$H$13,$D106))*AC106/(INDEX(Calib!$K$1:$K$13,$D106)+p_delta)</f>
        <v/>
      </c>
      <c r="AE106" s="26">
        <f>AC106+$G106</f>
        <v/>
      </c>
      <c r="AF106" s="26">
        <f>p_programme*($H106+$I106)</f>
        <v/>
      </c>
      <c r="AG106" s="26">
        <f>INDEX(Calib!$I$1:$I$13,$D106)+p_sh_grant*AF106</f>
        <v/>
      </c>
      <c r="AH106" s="26">
        <f>INDEX(Calib!$H$1:$H$13,$D106)*AC106+p_gov_take*$G106+AG106+p_programme*p_pricing*$J106</f>
        <v/>
      </c>
      <c r="AI106" s="26">
        <f>INDEX(Calib!$Y$1:$Y$13,$D106)-INDEX(Calib!$Z$1:$Z$13,$D106)*(AL105/AE105-INDEX(Calib!$AA$1:$AA$13,$D106))</f>
        <v/>
      </c>
      <c r="AJ106" s="26">
        <f>INDEX(Calib!$X$1:$X$13,$D106)+INDEX(Calib!$G$1:$G$13,$D106)+AF106+AI106-AH106</f>
        <v/>
      </c>
      <c r="AK106" s="26">
        <f>p_rk*AM105+AO105*(AL105-AM105)</f>
        <v/>
      </c>
      <c r="AL106" s="26">
        <f>AL105+AK106+AJ106</f>
        <v/>
      </c>
      <c r="AM106" s="26">
        <f>INDEX(Calib!$U$1:$U$13,$D106)+(AM105-INDEX(Calib!$U$1:$U$13,$D106))*(1-p_amort)+p_sh_conc*AF106</f>
        <v/>
      </c>
      <c r="AN106" s="26">
        <f>AL106/AE106</f>
        <v/>
      </c>
      <c r="AO106" s="26">
        <f>INDEX(Calib!$K$1:$K$13,$D106)+p_eta*MAX(0,AN106-INDEX(Calib!$AA$1:$AA$13,$D106))</f>
        <v/>
      </c>
      <c r="AP106" s="26">
        <f>(1-INDEX(Calib!$H$1:$H$13,$D106))*(1-p_alpha)*AC106+AI106</f>
        <v/>
      </c>
      <c r="AQ106" s="26">
        <f>(AE106/O106-1)*100</f>
        <v/>
      </c>
      <c r="AR106" s="26">
        <f>(AE106/AE83-1)*100</f>
        <v/>
      </c>
      <c r="AS106" s="26">
        <f>(O106/O83-1)*100</f>
        <v/>
      </c>
      <c r="AT106" s="26">
        <f>(AN106-X106)*100</f>
        <v/>
      </c>
      <c r="AU106" s="26">
        <f>(AP106/Z106-1)*100</f>
        <v/>
      </c>
      <c r="AV106" s="26">
        <f>(AI106-S106)*100</f>
        <v/>
      </c>
    </row>
    <row r="107">
      <c r="A107" s="25" t="inlineStr">
        <is>
          <t>LBR</t>
        </is>
      </c>
      <c r="B107" s="25" t="n">
        <v>2048</v>
      </c>
      <c r="C107" s="25" t="n">
        <v>24</v>
      </c>
      <c r="D107" s="25" t="n">
        <v>5</v>
      </c>
      <c r="E107" s="25">
        <f>IF(AND(p_dis_year&gt;0,B107=p_dis_year),1,0)</f>
        <v/>
      </c>
      <c r="F107" s="26">
        <f>IF(AND(p_dis_year&gt;0,B107&gt;=p_dis_year),1-p_eps_a*p_rho_a^(B107-p_dis_year),1)</f>
        <v/>
      </c>
      <c r="G107" s="26">
        <f>INDEX(Calib!$N$1:$N$13,$D107)*(1-p_rent_decline*MIN(1,C107/26))</f>
        <v/>
      </c>
      <c r="H107" s="26">
        <f>IF(C107=0,0,SUMIFS(dl_val,dl_iso,$A107,dl_ind,"pub_cap",dl_year,$B107)/100)</f>
        <v/>
      </c>
      <c r="I107" s="26">
        <f>IF(C107=0,0,SUMIFS(dl_val,dl_iso,$A107,dl_ind,"pub_spend",dl_year,$B107)/100)</f>
        <v/>
      </c>
      <c r="J107" s="26">
        <f>IF(C107=0,0,SUMIFS(dl_val,dl_iso,$A107,dl_ind,"rev",dl_year,$B107)/100)</f>
        <v/>
      </c>
      <c r="K107" s="26">
        <f>(1-p_delta_g)*K106*(1-p_eps_g*$E107)+INDEX(Calib!$E$1:$E$13,$D107)*(INDEX(Calib!$G$1:$G$13,$D107)+0*$H107)</f>
        <v/>
      </c>
      <c r="L107" s="26">
        <f>L106*(1-p_eps_k*$E107)+p_lambda_k*(N107-L106*(1-p_eps_k*$E107))</f>
        <v/>
      </c>
      <c r="M107" s="26">
        <f>INDEX(Calib!$R$1:$R$13,$D107)*$F107*(K106*(1-p_eps_g*$E107))^INDEX(Calib!$Q$1:$Q$13,$D107)*(L106*(1-p_eps_k*$E107))^p_alpha</f>
        <v/>
      </c>
      <c r="N107" s="26">
        <f>p_alpha*(1-INDEX(Calib!$H$1:$H$13,$D107))*M107/(INDEX(Calib!$K$1:$K$13,$D107)+p_delta)</f>
        <v/>
      </c>
      <c r="O107" s="26">
        <f>M107+$G107</f>
        <v/>
      </c>
      <c r="P107" s="26">
        <f>0*($H107+$I107)</f>
        <v/>
      </c>
      <c r="Q107" s="26">
        <f>INDEX(Calib!$I$1:$I$13,$D107)+p_sh_grant*P107</f>
        <v/>
      </c>
      <c r="R107" s="26">
        <f>INDEX(Calib!$H$1:$H$13,$D107)*M107+p_gov_take*$G107+Q107+0*p_pricing*$J107</f>
        <v/>
      </c>
      <c r="S107" s="26">
        <f>INDEX(Calib!$Y$1:$Y$13,$D107)-INDEX(Calib!$Z$1:$Z$13,$D107)*(V106/O106-INDEX(Calib!$AA$1:$AA$13,$D107))</f>
        <v/>
      </c>
      <c r="T107" s="26">
        <f>INDEX(Calib!$X$1:$X$13,$D107)+INDEX(Calib!$G$1:$G$13,$D107)+P107+S107-R107</f>
        <v/>
      </c>
      <c r="U107" s="26">
        <f>p_rk*W106+Y106*(V106-W106)</f>
        <v/>
      </c>
      <c r="V107" s="26">
        <f>V106+U107+T107</f>
        <v/>
      </c>
      <c r="W107" s="26">
        <f>INDEX(Calib!$U$1:$U$13,$D107)+(W106-INDEX(Calib!$U$1:$U$13,$D107))*(1-p_amort)+p_sh_conc*P107</f>
        <v/>
      </c>
      <c r="X107" s="26">
        <f>V107/O107</f>
        <v/>
      </c>
      <c r="Y107" s="26">
        <f>INDEX(Calib!$K$1:$K$13,$D107)+p_eta*MAX(0,X107-INDEX(Calib!$AA$1:$AA$13,$D107))</f>
        <v/>
      </c>
      <c r="Z107" s="26">
        <f>(1-INDEX(Calib!$H$1:$H$13,$D107))*(1-p_alpha)*M107+S107</f>
        <v/>
      </c>
      <c r="AA107" s="26">
        <f>(1-p_delta_g)*AA106*(1-p_eps_g*$E107)+INDEX(Calib!$E$1:$E$13,$D107)*(INDEX(Calib!$G$1:$G$13,$D107)+p_programme*$H107)</f>
        <v/>
      </c>
      <c r="AB107" s="26">
        <f>AB106*(1-p_eps_k*$E107)+p_lambda_k*(AD107-AB106*(1-p_eps_k*$E107))</f>
        <v/>
      </c>
      <c r="AC107" s="26">
        <f>INDEX(Calib!$R$1:$R$13,$D107)*$F107*(AA106*(1-p_eps_g*$E107))^INDEX(Calib!$Q$1:$Q$13,$D107)*(AB106*(1-p_eps_k*$E107))^p_alpha</f>
        <v/>
      </c>
      <c r="AD107" s="26">
        <f>p_alpha*(1-INDEX(Calib!$H$1:$H$13,$D107))*AC107/(INDEX(Calib!$K$1:$K$13,$D107)+p_delta)</f>
        <v/>
      </c>
      <c r="AE107" s="26">
        <f>AC107+$G107</f>
        <v/>
      </c>
      <c r="AF107" s="26">
        <f>p_programme*($H107+$I107)</f>
        <v/>
      </c>
      <c r="AG107" s="26">
        <f>INDEX(Calib!$I$1:$I$13,$D107)+p_sh_grant*AF107</f>
        <v/>
      </c>
      <c r="AH107" s="26">
        <f>INDEX(Calib!$H$1:$H$13,$D107)*AC107+p_gov_take*$G107+AG107+p_programme*p_pricing*$J107</f>
        <v/>
      </c>
      <c r="AI107" s="26">
        <f>INDEX(Calib!$Y$1:$Y$13,$D107)-INDEX(Calib!$Z$1:$Z$13,$D107)*(AL106/AE106-INDEX(Calib!$AA$1:$AA$13,$D107))</f>
        <v/>
      </c>
      <c r="AJ107" s="26">
        <f>INDEX(Calib!$X$1:$X$13,$D107)+INDEX(Calib!$G$1:$G$13,$D107)+AF107+AI107-AH107</f>
        <v/>
      </c>
      <c r="AK107" s="26">
        <f>p_rk*AM106+AO106*(AL106-AM106)</f>
        <v/>
      </c>
      <c r="AL107" s="26">
        <f>AL106+AK107+AJ107</f>
        <v/>
      </c>
      <c r="AM107" s="26">
        <f>INDEX(Calib!$U$1:$U$13,$D107)+(AM106-INDEX(Calib!$U$1:$U$13,$D107))*(1-p_amort)+p_sh_conc*AF107</f>
        <v/>
      </c>
      <c r="AN107" s="26">
        <f>AL107/AE107</f>
        <v/>
      </c>
      <c r="AO107" s="26">
        <f>INDEX(Calib!$K$1:$K$13,$D107)+p_eta*MAX(0,AN107-INDEX(Calib!$AA$1:$AA$13,$D107))</f>
        <v/>
      </c>
      <c r="AP107" s="26">
        <f>(1-INDEX(Calib!$H$1:$H$13,$D107))*(1-p_alpha)*AC107+AI107</f>
        <v/>
      </c>
      <c r="AQ107" s="26">
        <f>(AE107/O107-1)*100</f>
        <v/>
      </c>
      <c r="AR107" s="26">
        <f>(AE107/AE83-1)*100</f>
        <v/>
      </c>
      <c r="AS107" s="26">
        <f>(O107/O83-1)*100</f>
        <v/>
      </c>
      <c r="AT107" s="26">
        <f>(AN107-X107)*100</f>
        <v/>
      </c>
      <c r="AU107" s="26">
        <f>(AP107/Z107-1)*100</f>
        <v/>
      </c>
      <c r="AV107" s="26">
        <f>(AI107-S107)*100</f>
        <v/>
      </c>
    </row>
    <row r="108">
      <c r="A108" s="25" t="inlineStr">
        <is>
          <t>LBR</t>
        </is>
      </c>
      <c r="B108" s="25" t="n">
        <v>2049</v>
      </c>
      <c r="C108" s="25" t="n">
        <v>25</v>
      </c>
      <c r="D108" s="25" t="n">
        <v>5</v>
      </c>
      <c r="E108" s="25">
        <f>IF(AND(p_dis_year&gt;0,B108=p_dis_year),1,0)</f>
        <v/>
      </c>
      <c r="F108" s="26">
        <f>IF(AND(p_dis_year&gt;0,B108&gt;=p_dis_year),1-p_eps_a*p_rho_a^(B108-p_dis_year),1)</f>
        <v/>
      </c>
      <c r="G108" s="26">
        <f>INDEX(Calib!$N$1:$N$13,$D108)*(1-p_rent_decline*MIN(1,C108/26))</f>
        <v/>
      </c>
      <c r="H108" s="26">
        <f>IF(C108=0,0,SUMIFS(dl_val,dl_iso,$A108,dl_ind,"pub_cap",dl_year,$B108)/100)</f>
        <v/>
      </c>
      <c r="I108" s="26">
        <f>IF(C108=0,0,SUMIFS(dl_val,dl_iso,$A108,dl_ind,"pub_spend",dl_year,$B108)/100)</f>
        <v/>
      </c>
      <c r="J108" s="26">
        <f>IF(C108=0,0,SUMIFS(dl_val,dl_iso,$A108,dl_ind,"rev",dl_year,$B108)/100)</f>
        <v/>
      </c>
      <c r="K108" s="26">
        <f>(1-p_delta_g)*K107*(1-p_eps_g*$E108)+INDEX(Calib!$E$1:$E$13,$D108)*(INDEX(Calib!$G$1:$G$13,$D108)+0*$H108)</f>
        <v/>
      </c>
      <c r="L108" s="26">
        <f>L107*(1-p_eps_k*$E108)+p_lambda_k*(N108-L107*(1-p_eps_k*$E108))</f>
        <v/>
      </c>
      <c r="M108" s="26">
        <f>INDEX(Calib!$R$1:$R$13,$D108)*$F108*(K107*(1-p_eps_g*$E108))^INDEX(Calib!$Q$1:$Q$13,$D108)*(L107*(1-p_eps_k*$E108))^p_alpha</f>
        <v/>
      </c>
      <c r="N108" s="26">
        <f>p_alpha*(1-INDEX(Calib!$H$1:$H$13,$D108))*M108/(INDEX(Calib!$K$1:$K$13,$D108)+p_delta)</f>
        <v/>
      </c>
      <c r="O108" s="26">
        <f>M108+$G108</f>
        <v/>
      </c>
      <c r="P108" s="26">
        <f>0*($H108+$I108)</f>
        <v/>
      </c>
      <c r="Q108" s="26">
        <f>INDEX(Calib!$I$1:$I$13,$D108)+p_sh_grant*P108</f>
        <v/>
      </c>
      <c r="R108" s="26">
        <f>INDEX(Calib!$H$1:$H$13,$D108)*M108+p_gov_take*$G108+Q108+0*p_pricing*$J108</f>
        <v/>
      </c>
      <c r="S108" s="26">
        <f>INDEX(Calib!$Y$1:$Y$13,$D108)-INDEX(Calib!$Z$1:$Z$13,$D108)*(V107/O107-INDEX(Calib!$AA$1:$AA$13,$D108))</f>
        <v/>
      </c>
      <c r="T108" s="26">
        <f>INDEX(Calib!$X$1:$X$13,$D108)+INDEX(Calib!$G$1:$G$13,$D108)+P108+S108-R108</f>
        <v/>
      </c>
      <c r="U108" s="26">
        <f>p_rk*W107+Y107*(V107-W107)</f>
        <v/>
      </c>
      <c r="V108" s="26">
        <f>V107+U108+T108</f>
        <v/>
      </c>
      <c r="W108" s="26">
        <f>INDEX(Calib!$U$1:$U$13,$D108)+(W107-INDEX(Calib!$U$1:$U$13,$D108))*(1-p_amort)+p_sh_conc*P108</f>
        <v/>
      </c>
      <c r="X108" s="26">
        <f>V108/O108</f>
        <v/>
      </c>
      <c r="Y108" s="26">
        <f>INDEX(Calib!$K$1:$K$13,$D108)+p_eta*MAX(0,X108-INDEX(Calib!$AA$1:$AA$13,$D108))</f>
        <v/>
      </c>
      <c r="Z108" s="26">
        <f>(1-INDEX(Calib!$H$1:$H$13,$D108))*(1-p_alpha)*M108+S108</f>
        <v/>
      </c>
      <c r="AA108" s="26">
        <f>(1-p_delta_g)*AA107*(1-p_eps_g*$E108)+INDEX(Calib!$E$1:$E$13,$D108)*(INDEX(Calib!$G$1:$G$13,$D108)+p_programme*$H108)</f>
        <v/>
      </c>
      <c r="AB108" s="26">
        <f>AB107*(1-p_eps_k*$E108)+p_lambda_k*(AD108-AB107*(1-p_eps_k*$E108))</f>
        <v/>
      </c>
      <c r="AC108" s="26">
        <f>INDEX(Calib!$R$1:$R$13,$D108)*$F108*(AA107*(1-p_eps_g*$E108))^INDEX(Calib!$Q$1:$Q$13,$D108)*(AB107*(1-p_eps_k*$E108))^p_alpha</f>
        <v/>
      </c>
      <c r="AD108" s="26">
        <f>p_alpha*(1-INDEX(Calib!$H$1:$H$13,$D108))*AC108/(INDEX(Calib!$K$1:$K$13,$D108)+p_delta)</f>
        <v/>
      </c>
      <c r="AE108" s="26">
        <f>AC108+$G108</f>
        <v/>
      </c>
      <c r="AF108" s="26">
        <f>p_programme*($H108+$I108)</f>
        <v/>
      </c>
      <c r="AG108" s="26">
        <f>INDEX(Calib!$I$1:$I$13,$D108)+p_sh_grant*AF108</f>
        <v/>
      </c>
      <c r="AH108" s="26">
        <f>INDEX(Calib!$H$1:$H$13,$D108)*AC108+p_gov_take*$G108+AG108+p_programme*p_pricing*$J108</f>
        <v/>
      </c>
      <c r="AI108" s="26">
        <f>INDEX(Calib!$Y$1:$Y$13,$D108)-INDEX(Calib!$Z$1:$Z$13,$D108)*(AL107/AE107-INDEX(Calib!$AA$1:$AA$13,$D108))</f>
        <v/>
      </c>
      <c r="AJ108" s="26">
        <f>INDEX(Calib!$X$1:$X$13,$D108)+INDEX(Calib!$G$1:$G$13,$D108)+AF108+AI108-AH108</f>
        <v/>
      </c>
      <c r="AK108" s="26">
        <f>p_rk*AM107+AO107*(AL107-AM107)</f>
        <v/>
      </c>
      <c r="AL108" s="26">
        <f>AL107+AK108+AJ108</f>
        <v/>
      </c>
      <c r="AM108" s="26">
        <f>INDEX(Calib!$U$1:$U$13,$D108)+(AM107-INDEX(Calib!$U$1:$U$13,$D108))*(1-p_amort)+p_sh_conc*AF108</f>
        <v/>
      </c>
      <c r="AN108" s="26">
        <f>AL108/AE108</f>
        <v/>
      </c>
      <c r="AO108" s="26">
        <f>INDEX(Calib!$K$1:$K$13,$D108)+p_eta*MAX(0,AN108-INDEX(Calib!$AA$1:$AA$13,$D108))</f>
        <v/>
      </c>
      <c r="AP108" s="26">
        <f>(1-INDEX(Calib!$H$1:$H$13,$D108))*(1-p_alpha)*AC108+AI108</f>
        <v/>
      </c>
      <c r="AQ108" s="26">
        <f>(AE108/O108-1)*100</f>
        <v/>
      </c>
      <c r="AR108" s="26">
        <f>(AE108/AE83-1)*100</f>
        <v/>
      </c>
      <c r="AS108" s="26">
        <f>(O108/O83-1)*100</f>
        <v/>
      </c>
      <c r="AT108" s="26">
        <f>(AN108-X108)*100</f>
        <v/>
      </c>
      <c r="AU108" s="26">
        <f>(AP108/Z108-1)*100</f>
        <v/>
      </c>
      <c r="AV108" s="26">
        <f>(AI108-S108)*100</f>
        <v/>
      </c>
    </row>
    <row r="109">
      <c r="A109" s="25" t="inlineStr">
        <is>
          <t>LBR</t>
        </is>
      </c>
      <c r="B109" s="25" t="n">
        <v>2050</v>
      </c>
      <c r="C109" s="25" t="n">
        <v>26</v>
      </c>
      <c r="D109" s="25" t="n">
        <v>5</v>
      </c>
      <c r="E109" s="25">
        <f>IF(AND(p_dis_year&gt;0,B109=p_dis_year),1,0)</f>
        <v/>
      </c>
      <c r="F109" s="26">
        <f>IF(AND(p_dis_year&gt;0,B109&gt;=p_dis_year),1-p_eps_a*p_rho_a^(B109-p_dis_year),1)</f>
        <v/>
      </c>
      <c r="G109" s="26">
        <f>INDEX(Calib!$N$1:$N$13,$D109)*(1-p_rent_decline*MIN(1,C109/26))</f>
        <v/>
      </c>
      <c r="H109" s="26">
        <f>IF(C109=0,0,SUMIFS(dl_val,dl_iso,$A109,dl_ind,"pub_cap",dl_year,$B109)/100)</f>
        <v/>
      </c>
      <c r="I109" s="26">
        <f>IF(C109=0,0,SUMIFS(dl_val,dl_iso,$A109,dl_ind,"pub_spend",dl_year,$B109)/100)</f>
        <v/>
      </c>
      <c r="J109" s="26">
        <f>IF(C109=0,0,SUMIFS(dl_val,dl_iso,$A109,dl_ind,"rev",dl_year,$B109)/100)</f>
        <v/>
      </c>
      <c r="K109" s="26">
        <f>(1-p_delta_g)*K108*(1-p_eps_g*$E109)+INDEX(Calib!$E$1:$E$13,$D109)*(INDEX(Calib!$G$1:$G$13,$D109)+0*$H109)</f>
        <v/>
      </c>
      <c r="L109" s="26">
        <f>L108*(1-p_eps_k*$E109)+p_lambda_k*(N109-L108*(1-p_eps_k*$E109))</f>
        <v/>
      </c>
      <c r="M109" s="26">
        <f>INDEX(Calib!$R$1:$R$13,$D109)*$F109*(K108*(1-p_eps_g*$E109))^INDEX(Calib!$Q$1:$Q$13,$D109)*(L108*(1-p_eps_k*$E109))^p_alpha</f>
        <v/>
      </c>
      <c r="N109" s="26">
        <f>p_alpha*(1-INDEX(Calib!$H$1:$H$13,$D109))*M109/(INDEX(Calib!$K$1:$K$13,$D109)+p_delta)</f>
        <v/>
      </c>
      <c r="O109" s="26">
        <f>M109+$G109</f>
        <v/>
      </c>
      <c r="P109" s="26">
        <f>0*($H109+$I109)</f>
        <v/>
      </c>
      <c r="Q109" s="26">
        <f>INDEX(Calib!$I$1:$I$13,$D109)+p_sh_grant*P109</f>
        <v/>
      </c>
      <c r="R109" s="26">
        <f>INDEX(Calib!$H$1:$H$13,$D109)*M109+p_gov_take*$G109+Q109+0*p_pricing*$J109</f>
        <v/>
      </c>
      <c r="S109" s="26">
        <f>INDEX(Calib!$Y$1:$Y$13,$D109)-INDEX(Calib!$Z$1:$Z$13,$D109)*(V108/O108-INDEX(Calib!$AA$1:$AA$13,$D109))</f>
        <v/>
      </c>
      <c r="T109" s="26">
        <f>INDEX(Calib!$X$1:$X$13,$D109)+INDEX(Calib!$G$1:$G$13,$D109)+P109+S109-R109</f>
        <v/>
      </c>
      <c r="U109" s="26">
        <f>p_rk*W108+Y108*(V108-W108)</f>
        <v/>
      </c>
      <c r="V109" s="26">
        <f>V108+U109+T109</f>
        <v/>
      </c>
      <c r="W109" s="26">
        <f>INDEX(Calib!$U$1:$U$13,$D109)+(W108-INDEX(Calib!$U$1:$U$13,$D109))*(1-p_amort)+p_sh_conc*P109</f>
        <v/>
      </c>
      <c r="X109" s="26">
        <f>V109/O109</f>
        <v/>
      </c>
      <c r="Y109" s="26">
        <f>INDEX(Calib!$K$1:$K$13,$D109)+p_eta*MAX(0,X109-INDEX(Calib!$AA$1:$AA$13,$D109))</f>
        <v/>
      </c>
      <c r="Z109" s="26">
        <f>(1-INDEX(Calib!$H$1:$H$13,$D109))*(1-p_alpha)*M109+S109</f>
        <v/>
      </c>
      <c r="AA109" s="26">
        <f>(1-p_delta_g)*AA108*(1-p_eps_g*$E109)+INDEX(Calib!$E$1:$E$13,$D109)*(INDEX(Calib!$G$1:$G$13,$D109)+p_programme*$H109)</f>
        <v/>
      </c>
      <c r="AB109" s="26">
        <f>AB108*(1-p_eps_k*$E109)+p_lambda_k*(AD109-AB108*(1-p_eps_k*$E109))</f>
        <v/>
      </c>
      <c r="AC109" s="26">
        <f>INDEX(Calib!$R$1:$R$13,$D109)*$F109*(AA108*(1-p_eps_g*$E109))^INDEX(Calib!$Q$1:$Q$13,$D109)*(AB108*(1-p_eps_k*$E109))^p_alpha</f>
        <v/>
      </c>
      <c r="AD109" s="26">
        <f>p_alpha*(1-INDEX(Calib!$H$1:$H$13,$D109))*AC109/(INDEX(Calib!$K$1:$K$13,$D109)+p_delta)</f>
        <v/>
      </c>
      <c r="AE109" s="26">
        <f>AC109+$G109</f>
        <v/>
      </c>
      <c r="AF109" s="26">
        <f>p_programme*($H109+$I109)</f>
        <v/>
      </c>
      <c r="AG109" s="26">
        <f>INDEX(Calib!$I$1:$I$13,$D109)+p_sh_grant*AF109</f>
        <v/>
      </c>
      <c r="AH109" s="26">
        <f>INDEX(Calib!$H$1:$H$13,$D109)*AC109+p_gov_take*$G109+AG109+p_programme*p_pricing*$J109</f>
        <v/>
      </c>
      <c r="AI109" s="26">
        <f>INDEX(Calib!$Y$1:$Y$13,$D109)-INDEX(Calib!$Z$1:$Z$13,$D109)*(AL108/AE108-INDEX(Calib!$AA$1:$AA$13,$D109))</f>
        <v/>
      </c>
      <c r="AJ109" s="26">
        <f>INDEX(Calib!$X$1:$X$13,$D109)+INDEX(Calib!$G$1:$G$13,$D109)+AF109+AI109-AH109</f>
        <v/>
      </c>
      <c r="AK109" s="26">
        <f>p_rk*AM108+AO108*(AL108-AM108)</f>
        <v/>
      </c>
      <c r="AL109" s="26">
        <f>AL108+AK109+AJ109</f>
        <v/>
      </c>
      <c r="AM109" s="26">
        <f>INDEX(Calib!$U$1:$U$13,$D109)+(AM108-INDEX(Calib!$U$1:$U$13,$D109))*(1-p_amort)+p_sh_conc*AF109</f>
        <v/>
      </c>
      <c r="AN109" s="26">
        <f>AL109/AE109</f>
        <v/>
      </c>
      <c r="AO109" s="26">
        <f>INDEX(Calib!$K$1:$K$13,$D109)+p_eta*MAX(0,AN109-INDEX(Calib!$AA$1:$AA$13,$D109))</f>
        <v/>
      </c>
      <c r="AP109" s="26">
        <f>(1-INDEX(Calib!$H$1:$H$13,$D109))*(1-p_alpha)*AC109+AI109</f>
        <v/>
      </c>
      <c r="AQ109" s="26">
        <f>(AE109/O109-1)*100</f>
        <v/>
      </c>
      <c r="AR109" s="26">
        <f>(AE109/AE83-1)*100</f>
        <v/>
      </c>
      <c r="AS109" s="26">
        <f>(O109/O83-1)*100</f>
        <v/>
      </c>
      <c r="AT109" s="26">
        <f>(AN109-X109)*100</f>
        <v/>
      </c>
      <c r="AU109" s="26">
        <f>(AP109/Z109-1)*100</f>
        <v/>
      </c>
      <c r="AV109" s="26">
        <f>(AI109-S109)*100</f>
        <v/>
      </c>
    </row>
    <row r="110">
      <c r="A110" s="25" t="inlineStr">
        <is>
          <t>ETH</t>
        </is>
      </c>
      <c r="B110" s="25" t="n">
        <v>2024</v>
      </c>
      <c r="C110" s="25" t="n">
        <v>0</v>
      </c>
      <c r="D110" s="25" t="n">
        <v>6</v>
      </c>
      <c r="E110" s="25">
        <f>IF(AND(p_dis_year&gt;0,B110=p_dis_year),1,0)</f>
        <v/>
      </c>
      <c r="F110" s="26">
        <f>IF(AND(p_dis_year&gt;0,B110&gt;=p_dis_year),1-p_eps_a*p_rho_a^(B110-p_dis_year),1)</f>
        <v/>
      </c>
      <c r="G110" s="26">
        <f>INDEX(Calib!$N$1:$N$13,$D110)*(1-p_rent_decline*MIN(1,C110/26))</f>
        <v/>
      </c>
      <c r="H110" s="26">
        <f>IF(C110=0,0,SUMIFS(dl_val,dl_iso,$A110,dl_ind,"pub_cap",dl_year,$B110)/100)</f>
        <v/>
      </c>
      <c r="I110" s="26">
        <f>IF(C110=0,0,SUMIFS(dl_val,dl_iso,$A110,dl_ind,"pub_spend",dl_year,$B110)/100)</f>
        <v/>
      </c>
      <c r="J110" s="26">
        <f>IF(C110=0,0,SUMIFS(dl_val,dl_iso,$A110,dl_ind,"rev",dl_year,$B110)/100)</f>
        <v/>
      </c>
      <c r="K110" s="26">
        <f>INDEX(Calib!$P$1:$P$13,$D110)</f>
        <v/>
      </c>
      <c r="L110" s="26">
        <f>INDEX(Calib!$O$1:$O$13,$D110)</f>
        <v/>
      </c>
      <c r="M110" s="26">
        <f>1</f>
        <v/>
      </c>
      <c r="N110" s="26">
        <f>INDEX(Calib!$O$1:$O$13,$D110)</f>
        <v/>
      </c>
      <c r="O110" s="26">
        <f>INDEX(Calib!$S$1:$S$13,$D110)</f>
        <v/>
      </c>
      <c r="P110" s="26">
        <f>0</f>
        <v/>
      </c>
      <c r="Q110" s="26">
        <f>INDEX(Calib!$I$1:$I$13,$D110)</f>
        <v/>
      </c>
      <c r="R110" s="26">
        <f>INDEX(Calib!$W$1:$W$13,$D110)</f>
        <v/>
      </c>
      <c r="S110" s="26">
        <f>INDEX(Calib!$Y$1:$Y$13,$D110)</f>
        <v/>
      </c>
      <c r="T110" s="26">
        <f>-INDEX(Calib!$V$1:$V$13,$D110)</f>
        <v/>
      </c>
      <c r="U110" s="26">
        <f>INDEX(Calib!$V$1:$V$13,$D110)</f>
        <v/>
      </c>
      <c r="V110" s="26">
        <f>INDEX(Calib!$T$1:$T$13,$D110)</f>
        <v/>
      </c>
      <c r="W110" s="26">
        <f>INDEX(Calib!$U$1:$U$13,$D110)</f>
        <v/>
      </c>
      <c r="X110" s="26">
        <f>V110/O110</f>
        <v/>
      </c>
      <c r="Y110" s="26">
        <f>INDEX(Calib!$K$1:$K$13,$D110)</f>
        <v/>
      </c>
      <c r="Z110" s="26">
        <f>(1-INDEX(Calib!$H$1:$H$13,$D110))*(1-p_alpha)*M110+S110</f>
        <v/>
      </c>
      <c r="AA110" s="26">
        <f>INDEX(Calib!$P$1:$P$13,$D110)</f>
        <v/>
      </c>
      <c r="AB110" s="26">
        <f>INDEX(Calib!$O$1:$O$13,$D110)</f>
        <v/>
      </c>
      <c r="AC110" s="26">
        <f>1</f>
        <v/>
      </c>
      <c r="AD110" s="26">
        <f>INDEX(Calib!$O$1:$O$13,$D110)</f>
        <v/>
      </c>
      <c r="AE110" s="26">
        <f>INDEX(Calib!$S$1:$S$13,$D110)</f>
        <v/>
      </c>
      <c r="AF110" s="26">
        <f>0</f>
        <v/>
      </c>
      <c r="AG110" s="26">
        <f>INDEX(Calib!$I$1:$I$13,$D110)</f>
        <v/>
      </c>
      <c r="AH110" s="26">
        <f>INDEX(Calib!$W$1:$W$13,$D110)</f>
        <v/>
      </c>
      <c r="AI110" s="26">
        <f>INDEX(Calib!$Y$1:$Y$13,$D110)</f>
        <v/>
      </c>
      <c r="AJ110" s="26">
        <f>-INDEX(Calib!$V$1:$V$13,$D110)</f>
        <v/>
      </c>
      <c r="AK110" s="26">
        <f>INDEX(Calib!$V$1:$V$13,$D110)</f>
        <v/>
      </c>
      <c r="AL110" s="26">
        <f>INDEX(Calib!$T$1:$T$13,$D110)</f>
        <v/>
      </c>
      <c r="AM110" s="26">
        <f>INDEX(Calib!$U$1:$U$13,$D110)</f>
        <v/>
      </c>
      <c r="AN110" s="26">
        <f>AL110/AE110</f>
        <v/>
      </c>
      <c r="AO110" s="26">
        <f>INDEX(Calib!$K$1:$K$13,$D110)</f>
        <v/>
      </c>
      <c r="AP110" s="26">
        <f>(1-INDEX(Calib!$H$1:$H$13,$D110))*(1-p_alpha)*AC110+AI110</f>
        <v/>
      </c>
      <c r="AQ110" s="26">
        <f>(AE110/O110-1)*100</f>
        <v/>
      </c>
      <c r="AR110" s="26">
        <f>(AE110/AE110-1)*100</f>
        <v/>
      </c>
      <c r="AS110" s="26">
        <f>(O110/O110-1)*100</f>
        <v/>
      </c>
      <c r="AT110" s="26">
        <f>(AN110-X110)*100</f>
        <v/>
      </c>
      <c r="AU110" s="26">
        <f>(AP110/Z110-1)*100</f>
        <v/>
      </c>
      <c r="AV110" s="26">
        <f>(AI110-S110)*100</f>
        <v/>
      </c>
    </row>
    <row r="111">
      <c r="A111" s="25" t="inlineStr">
        <is>
          <t>ETH</t>
        </is>
      </c>
      <c r="B111" s="25" t="n">
        <v>2025</v>
      </c>
      <c r="C111" s="25" t="n">
        <v>1</v>
      </c>
      <c r="D111" s="25" t="n">
        <v>6</v>
      </c>
      <c r="E111" s="25">
        <f>IF(AND(p_dis_year&gt;0,B111=p_dis_year),1,0)</f>
        <v/>
      </c>
      <c r="F111" s="26">
        <f>IF(AND(p_dis_year&gt;0,B111&gt;=p_dis_year),1-p_eps_a*p_rho_a^(B111-p_dis_year),1)</f>
        <v/>
      </c>
      <c r="G111" s="26">
        <f>INDEX(Calib!$N$1:$N$13,$D111)*(1-p_rent_decline*MIN(1,C111/26))</f>
        <v/>
      </c>
      <c r="H111" s="26">
        <f>IF(C111=0,0,SUMIFS(dl_val,dl_iso,$A111,dl_ind,"pub_cap",dl_year,$B111)/100)</f>
        <v/>
      </c>
      <c r="I111" s="26">
        <f>IF(C111=0,0,SUMIFS(dl_val,dl_iso,$A111,dl_ind,"pub_spend",dl_year,$B111)/100)</f>
        <v/>
      </c>
      <c r="J111" s="26">
        <f>IF(C111=0,0,SUMIFS(dl_val,dl_iso,$A111,dl_ind,"rev",dl_year,$B111)/100)</f>
        <v/>
      </c>
      <c r="K111" s="26">
        <f>(1-p_delta_g)*K110*(1-p_eps_g*$E111)+INDEX(Calib!$E$1:$E$13,$D111)*(INDEX(Calib!$G$1:$G$13,$D111)+0*$H111)</f>
        <v/>
      </c>
      <c r="L111" s="26">
        <f>L110*(1-p_eps_k*$E111)+p_lambda_k*(N111-L110*(1-p_eps_k*$E111))</f>
        <v/>
      </c>
      <c r="M111" s="26">
        <f>INDEX(Calib!$R$1:$R$13,$D111)*$F111*(K110*(1-p_eps_g*$E111))^INDEX(Calib!$Q$1:$Q$13,$D111)*(L110*(1-p_eps_k*$E111))^p_alpha</f>
        <v/>
      </c>
      <c r="N111" s="26">
        <f>p_alpha*(1-INDEX(Calib!$H$1:$H$13,$D111))*M111/(INDEX(Calib!$K$1:$K$13,$D111)+p_delta)</f>
        <v/>
      </c>
      <c r="O111" s="26">
        <f>M111+$G111</f>
        <v/>
      </c>
      <c r="P111" s="26">
        <f>0*($H111+$I111)</f>
        <v/>
      </c>
      <c r="Q111" s="26">
        <f>INDEX(Calib!$I$1:$I$13,$D111)+p_sh_grant*P111</f>
        <v/>
      </c>
      <c r="R111" s="26">
        <f>INDEX(Calib!$H$1:$H$13,$D111)*M111+p_gov_take*$G111+Q111+0*p_pricing*$J111</f>
        <v/>
      </c>
      <c r="S111" s="26">
        <f>INDEX(Calib!$Y$1:$Y$13,$D111)-INDEX(Calib!$Z$1:$Z$13,$D111)*(V110/O110-INDEX(Calib!$AA$1:$AA$13,$D111))</f>
        <v/>
      </c>
      <c r="T111" s="26">
        <f>INDEX(Calib!$X$1:$X$13,$D111)+INDEX(Calib!$G$1:$G$13,$D111)+P111+S111-R111</f>
        <v/>
      </c>
      <c r="U111" s="26">
        <f>p_rk*W110+Y110*(V110-W110)</f>
        <v/>
      </c>
      <c r="V111" s="26">
        <f>V110+U111+T111</f>
        <v/>
      </c>
      <c r="W111" s="26">
        <f>INDEX(Calib!$U$1:$U$13,$D111)+(W110-INDEX(Calib!$U$1:$U$13,$D111))*(1-p_amort)+p_sh_conc*P111</f>
        <v/>
      </c>
      <c r="X111" s="26">
        <f>V111/O111</f>
        <v/>
      </c>
      <c r="Y111" s="26">
        <f>INDEX(Calib!$K$1:$K$13,$D111)+p_eta*MAX(0,X111-INDEX(Calib!$AA$1:$AA$13,$D111))</f>
        <v/>
      </c>
      <c r="Z111" s="26">
        <f>(1-INDEX(Calib!$H$1:$H$13,$D111))*(1-p_alpha)*M111+S111</f>
        <v/>
      </c>
      <c r="AA111" s="26">
        <f>(1-p_delta_g)*AA110*(1-p_eps_g*$E111)+INDEX(Calib!$E$1:$E$13,$D111)*(INDEX(Calib!$G$1:$G$13,$D111)+p_programme*$H111)</f>
        <v/>
      </c>
      <c r="AB111" s="26">
        <f>AB110*(1-p_eps_k*$E111)+p_lambda_k*(AD111-AB110*(1-p_eps_k*$E111))</f>
        <v/>
      </c>
      <c r="AC111" s="26">
        <f>INDEX(Calib!$R$1:$R$13,$D111)*$F111*(AA110*(1-p_eps_g*$E111))^INDEX(Calib!$Q$1:$Q$13,$D111)*(AB110*(1-p_eps_k*$E111))^p_alpha</f>
        <v/>
      </c>
      <c r="AD111" s="26">
        <f>p_alpha*(1-INDEX(Calib!$H$1:$H$13,$D111))*AC111/(INDEX(Calib!$K$1:$K$13,$D111)+p_delta)</f>
        <v/>
      </c>
      <c r="AE111" s="26">
        <f>AC111+$G111</f>
        <v/>
      </c>
      <c r="AF111" s="26">
        <f>p_programme*($H111+$I111)</f>
        <v/>
      </c>
      <c r="AG111" s="26">
        <f>INDEX(Calib!$I$1:$I$13,$D111)+p_sh_grant*AF111</f>
        <v/>
      </c>
      <c r="AH111" s="26">
        <f>INDEX(Calib!$H$1:$H$13,$D111)*AC111+p_gov_take*$G111+AG111+p_programme*p_pricing*$J111</f>
        <v/>
      </c>
      <c r="AI111" s="26">
        <f>INDEX(Calib!$Y$1:$Y$13,$D111)-INDEX(Calib!$Z$1:$Z$13,$D111)*(AL110/AE110-INDEX(Calib!$AA$1:$AA$13,$D111))</f>
        <v/>
      </c>
      <c r="AJ111" s="26">
        <f>INDEX(Calib!$X$1:$X$13,$D111)+INDEX(Calib!$G$1:$G$13,$D111)+AF111+AI111-AH111</f>
        <v/>
      </c>
      <c r="AK111" s="26">
        <f>p_rk*AM110+AO110*(AL110-AM110)</f>
        <v/>
      </c>
      <c r="AL111" s="26">
        <f>AL110+AK111+AJ111</f>
        <v/>
      </c>
      <c r="AM111" s="26">
        <f>INDEX(Calib!$U$1:$U$13,$D111)+(AM110-INDEX(Calib!$U$1:$U$13,$D111))*(1-p_amort)+p_sh_conc*AF111</f>
        <v/>
      </c>
      <c r="AN111" s="26">
        <f>AL111/AE111</f>
        <v/>
      </c>
      <c r="AO111" s="26">
        <f>INDEX(Calib!$K$1:$K$13,$D111)+p_eta*MAX(0,AN111-INDEX(Calib!$AA$1:$AA$13,$D111))</f>
        <v/>
      </c>
      <c r="AP111" s="26">
        <f>(1-INDEX(Calib!$H$1:$H$13,$D111))*(1-p_alpha)*AC111+AI111</f>
        <v/>
      </c>
      <c r="AQ111" s="26">
        <f>(AE111/O111-1)*100</f>
        <v/>
      </c>
      <c r="AR111" s="26">
        <f>(AE111/AE110-1)*100</f>
        <v/>
      </c>
      <c r="AS111" s="26">
        <f>(O111/O110-1)*100</f>
        <v/>
      </c>
      <c r="AT111" s="26">
        <f>(AN111-X111)*100</f>
        <v/>
      </c>
      <c r="AU111" s="26">
        <f>(AP111/Z111-1)*100</f>
        <v/>
      </c>
      <c r="AV111" s="26">
        <f>(AI111-S111)*100</f>
        <v/>
      </c>
    </row>
    <row r="112">
      <c r="A112" s="25" t="inlineStr">
        <is>
          <t>ETH</t>
        </is>
      </c>
      <c r="B112" s="25" t="n">
        <v>2026</v>
      </c>
      <c r="C112" s="25" t="n">
        <v>2</v>
      </c>
      <c r="D112" s="25" t="n">
        <v>6</v>
      </c>
      <c r="E112" s="25">
        <f>IF(AND(p_dis_year&gt;0,B112=p_dis_year),1,0)</f>
        <v/>
      </c>
      <c r="F112" s="26">
        <f>IF(AND(p_dis_year&gt;0,B112&gt;=p_dis_year),1-p_eps_a*p_rho_a^(B112-p_dis_year),1)</f>
        <v/>
      </c>
      <c r="G112" s="26">
        <f>INDEX(Calib!$N$1:$N$13,$D112)*(1-p_rent_decline*MIN(1,C112/26))</f>
        <v/>
      </c>
      <c r="H112" s="26">
        <f>IF(C112=0,0,SUMIFS(dl_val,dl_iso,$A112,dl_ind,"pub_cap",dl_year,$B112)/100)</f>
        <v/>
      </c>
      <c r="I112" s="26">
        <f>IF(C112=0,0,SUMIFS(dl_val,dl_iso,$A112,dl_ind,"pub_spend",dl_year,$B112)/100)</f>
        <v/>
      </c>
      <c r="J112" s="26">
        <f>IF(C112=0,0,SUMIFS(dl_val,dl_iso,$A112,dl_ind,"rev",dl_year,$B112)/100)</f>
        <v/>
      </c>
      <c r="K112" s="26">
        <f>(1-p_delta_g)*K111*(1-p_eps_g*$E112)+INDEX(Calib!$E$1:$E$13,$D112)*(INDEX(Calib!$G$1:$G$13,$D112)+0*$H112)</f>
        <v/>
      </c>
      <c r="L112" s="26">
        <f>L111*(1-p_eps_k*$E112)+p_lambda_k*(N112-L111*(1-p_eps_k*$E112))</f>
        <v/>
      </c>
      <c r="M112" s="26">
        <f>INDEX(Calib!$R$1:$R$13,$D112)*$F112*(K111*(1-p_eps_g*$E112))^INDEX(Calib!$Q$1:$Q$13,$D112)*(L111*(1-p_eps_k*$E112))^p_alpha</f>
        <v/>
      </c>
      <c r="N112" s="26">
        <f>p_alpha*(1-INDEX(Calib!$H$1:$H$13,$D112))*M112/(INDEX(Calib!$K$1:$K$13,$D112)+p_delta)</f>
        <v/>
      </c>
      <c r="O112" s="26">
        <f>M112+$G112</f>
        <v/>
      </c>
      <c r="P112" s="26">
        <f>0*($H112+$I112)</f>
        <v/>
      </c>
      <c r="Q112" s="26">
        <f>INDEX(Calib!$I$1:$I$13,$D112)+p_sh_grant*P112</f>
        <v/>
      </c>
      <c r="R112" s="26">
        <f>INDEX(Calib!$H$1:$H$13,$D112)*M112+p_gov_take*$G112+Q112+0*p_pricing*$J112</f>
        <v/>
      </c>
      <c r="S112" s="26">
        <f>INDEX(Calib!$Y$1:$Y$13,$D112)-INDEX(Calib!$Z$1:$Z$13,$D112)*(V111/O111-INDEX(Calib!$AA$1:$AA$13,$D112))</f>
        <v/>
      </c>
      <c r="T112" s="26">
        <f>INDEX(Calib!$X$1:$X$13,$D112)+INDEX(Calib!$G$1:$G$13,$D112)+P112+S112-R112</f>
        <v/>
      </c>
      <c r="U112" s="26">
        <f>p_rk*W111+Y111*(V111-W111)</f>
        <v/>
      </c>
      <c r="V112" s="26">
        <f>V111+U112+T112</f>
        <v/>
      </c>
      <c r="W112" s="26">
        <f>INDEX(Calib!$U$1:$U$13,$D112)+(W111-INDEX(Calib!$U$1:$U$13,$D112))*(1-p_amort)+p_sh_conc*P112</f>
        <v/>
      </c>
      <c r="X112" s="26">
        <f>V112/O112</f>
        <v/>
      </c>
      <c r="Y112" s="26">
        <f>INDEX(Calib!$K$1:$K$13,$D112)+p_eta*MAX(0,X112-INDEX(Calib!$AA$1:$AA$13,$D112))</f>
        <v/>
      </c>
      <c r="Z112" s="26">
        <f>(1-INDEX(Calib!$H$1:$H$13,$D112))*(1-p_alpha)*M112+S112</f>
        <v/>
      </c>
      <c r="AA112" s="26">
        <f>(1-p_delta_g)*AA111*(1-p_eps_g*$E112)+INDEX(Calib!$E$1:$E$13,$D112)*(INDEX(Calib!$G$1:$G$13,$D112)+p_programme*$H112)</f>
        <v/>
      </c>
      <c r="AB112" s="26">
        <f>AB111*(1-p_eps_k*$E112)+p_lambda_k*(AD112-AB111*(1-p_eps_k*$E112))</f>
        <v/>
      </c>
      <c r="AC112" s="26">
        <f>INDEX(Calib!$R$1:$R$13,$D112)*$F112*(AA111*(1-p_eps_g*$E112))^INDEX(Calib!$Q$1:$Q$13,$D112)*(AB111*(1-p_eps_k*$E112))^p_alpha</f>
        <v/>
      </c>
      <c r="AD112" s="26">
        <f>p_alpha*(1-INDEX(Calib!$H$1:$H$13,$D112))*AC112/(INDEX(Calib!$K$1:$K$13,$D112)+p_delta)</f>
        <v/>
      </c>
      <c r="AE112" s="26">
        <f>AC112+$G112</f>
        <v/>
      </c>
      <c r="AF112" s="26">
        <f>p_programme*($H112+$I112)</f>
        <v/>
      </c>
      <c r="AG112" s="26">
        <f>INDEX(Calib!$I$1:$I$13,$D112)+p_sh_grant*AF112</f>
        <v/>
      </c>
      <c r="AH112" s="26">
        <f>INDEX(Calib!$H$1:$H$13,$D112)*AC112+p_gov_take*$G112+AG112+p_programme*p_pricing*$J112</f>
        <v/>
      </c>
      <c r="AI112" s="26">
        <f>INDEX(Calib!$Y$1:$Y$13,$D112)-INDEX(Calib!$Z$1:$Z$13,$D112)*(AL111/AE111-INDEX(Calib!$AA$1:$AA$13,$D112))</f>
        <v/>
      </c>
      <c r="AJ112" s="26">
        <f>INDEX(Calib!$X$1:$X$13,$D112)+INDEX(Calib!$G$1:$G$13,$D112)+AF112+AI112-AH112</f>
        <v/>
      </c>
      <c r="AK112" s="26">
        <f>p_rk*AM111+AO111*(AL111-AM111)</f>
        <v/>
      </c>
      <c r="AL112" s="26">
        <f>AL111+AK112+AJ112</f>
        <v/>
      </c>
      <c r="AM112" s="26">
        <f>INDEX(Calib!$U$1:$U$13,$D112)+(AM111-INDEX(Calib!$U$1:$U$13,$D112))*(1-p_amort)+p_sh_conc*AF112</f>
        <v/>
      </c>
      <c r="AN112" s="26">
        <f>AL112/AE112</f>
        <v/>
      </c>
      <c r="AO112" s="26">
        <f>INDEX(Calib!$K$1:$K$13,$D112)+p_eta*MAX(0,AN112-INDEX(Calib!$AA$1:$AA$13,$D112))</f>
        <v/>
      </c>
      <c r="AP112" s="26">
        <f>(1-INDEX(Calib!$H$1:$H$13,$D112))*(1-p_alpha)*AC112+AI112</f>
        <v/>
      </c>
      <c r="AQ112" s="26">
        <f>(AE112/O112-1)*100</f>
        <v/>
      </c>
      <c r="AR112" s="26">
        <f>(AE112/AE110-1)*100</f>
        <v/>
      </c>
      <c r="AS112" s="26">
        <f>(O112/O110-1)*100</f>
        <v/>
      </c>
      <c r="AT112" s="26">
        <f>(AN112-X112)*100</f>
        <v/>
      </c>
      <c r="AU112" s="26">
        <f>(AP112/Z112-1)*100</f>
        <v/>
      </c>
      <c r="AV112" s="26">
        <f>(AI112-S112)*100</f>
        <v/>
      </c>
    </row>
    <row r="113">
      <c r="A113" s="25" t="inlineStr">
        <is>
          <t>ETH</t>
        </is>
      </c>
      <c r="B113" s="25" t="n">
        <v>2027</v>
      </c>
      <c r="C113" s="25" t="n">
        <v>3</v>
      </c>
      <c r="D113" s="25" t="n">
        <v>6</v>
      </c>
      <c r="E113" s="25">
        <f>IF(AND(p_dis_year&gt;0,B113=p_dis_year),1,0)</f>
        <v/>
      </c>
      <c r="F113" s="26">
        <f>IF(AND(p_dis_year&gt;0,B113&gt;=p_dis_year),1-p_eps_a*p_rho_a^(B113-p_dis_year),1)</f>
        <v/>
      </c>
      <c r="G113" s="26">
        <f>INDEX(Calib!$N$1:$N$13,$D113)*(1-p_rent_decline*MIN(1,C113/26))</f>
        <v/>
      </c>
      <c r="H113" s="26">
        <f>IF(C113=0,0,SUMIFS(dl_val,dl_iso,$A113,dl_ind,"pub_cap",dl_year,$B113)/100)</f>
        <v/>
      </c>
      <c r="I113" s="26">
        <f>IF(C113=0,0,SUMIFS(dl_val,dl_iso,$A113,dl_ind,"pub_spend",dl_year,$B113)/100)</f>
        <v/>
      </c>
      <c r="J113" s="26">
        <f>IF(C113=0,0,SUMIFS(dl_val,dl_iso,$A113,dl_ind,"rev",dl_year,$B113)/100)</f>
        <v/>
      </c>
      <c r="K113" s="26">
        <f>(1-p_delta_g)*K112*(1-p_eps_g*$E113)+INDEX(Calib!$E$1:$E$13,$D113)*(INDEX(Calib!$G$1:$G$13,$D113)+0*$H113)</f>
        <v/>
      </c>
      <c r="L113" s="26">
        <f>L112*(1-p_eps_k*$E113)+p_lambda_k*(N113-L112*(1-p_eps_k*$E113))</f>
        <v/>
      </c>
      <c r="M113" s="26">
        <f>INDEX(Calib!$R$1:$R$13,$D113)*$F113*(K112*(1-p_eps_g*$E113))^INDEX(Calib!$Q$1:$Q$13,$D113)*(L112*(1-p_eps_k*$E113))^p_alpha</f>
        <v/>
      </c>
      <c r="N113" s="26">
        <f>p_alpha*(1-INDEX(Calib!$H$1:$H$13,$D113))*M113/(INDEX(Calib!$K$1:$K$13,$D113)+p_delta)</f>
        <v/>
      </c>
      <c r="O113" s="26">
        <f>M113+$G113</f>
        <v/>
      </c>
      <c r="P113" s="26">
        <f>0*($H113+$I113)</f>
        <v/>
      </c>
      <c r="Q113" s="26">
        <f>INDEX(Calib!$I$1:$I$13,$D113)+p_sh_grant*P113</f>
        <v/>
      </c>
      <c r="R113" s="26">
        <f>INDEX(Calib!$H$1:$H$13,$D113)*M113+p_gov_take*$G113+Q113+0*p_pricing*$J113</f>
        <v/>
      </c>
      <c r="S113" s="26">
        <f>INDEX(Calib!$Y$1:$Y$13,$D113)-INDEX(Calib!$Z$1:$Z$13,$D113)*(V112/O112-INDEX(Calib!$AA$1:$AA$13,$D113))</f>
        <v/>
      </c>
      <c r="T113" s="26">
        <f>INDEX(Calib!$X$1:$X$13,$D113)+INDEX(Calib!$G$1:$G$13,$D113)+P113+S113-R113</f>
        <v/>
      </c>
      <c r="U113" s="26">
        <f>p_rk*W112+Y112*(V112-W112)</f>
        <v/>
      </c>
      <c r="V113" s="26">
        <f>V112+U113+T113</f>
        <v/>
      </c>
      <c r="W113" s="26">
        <f>INDEX(Calib!$U$1:$U$13,$D113)+(W112-INDEX(Calib!$U$1:$U$13,$D113))*(1-p_amort)+p_sh_conc*P113</f>
        <v/>
      </c>
      <c r="X113" s="26">
        <f>V113/O113</f>
        <v/>
      </c>
      <c r="Y113" s="26">
        <f>INDEX(Calib!$K$1:$K$13,$D113)+p_eta*MAX(0,X113-INDEX(Calib!$AA$1:$AA$13,$D113))</f>
        <v/>
      </c>
      <c r="Z113" s="26">
        <f>(1-INDEX(Calib!$H$1:$H$13,$D113))*(1-p_alpha)*M113+S113</f>
        <v/>
      </c>
      <c r="AA113" s="26">
        <f>(1-p_delta_g)*AA112*(1-p_eps_g*$E113)+INDEX(Calib!$E$1:$E$13,$D113)*(INDEX(Calib!$G$1:$G$13,$D113)+p_programme*$H113)</f>
        <v/>
      </c>
      <c r="AB113" s="26">
        <f>AB112*(1-p_eps_k*$E113)+p_lambda_k*(AD113-AB112*(1-p_eps_k*$E113))</f>
        <v/>
      </c>
      <c r="AC113" s="26">
        <f>INDEX(Calib!$R$1:$R$13,$D113)*$F113*(AA112*(1-p_eps_g*$E113))^INDEX(Calib!$Q$1:$Q$13,$D113)*(AB112*(1-p_eps_k*$E113))^p_alpha</f>
        <v/>
      </c>
      <c r="AD113" s="26">
        <f>p_alpha*(1-INDEX(Calib!$H$1:$H$13,$D113))*AC113/(INDEX(Calib!$K$1:$K$13,$D113)+p_delta)</f>
        <v/>
      </c>
      <c r="AE113" s="26">
        <f>AC113+$G113</f>
        <v/>
      </c>
      <c r="AF113" s="26">
        <f>p_programme*($H113+$I113)</f>
        <v/>
      </c>
      <c r="AG113" s="26">
        <f>INDEX(Calib!$I$1:$I$13,$D113)+p_sh_grant*AF113</f>
        <v/>
      </c>
      <c r="AH113" s="26">
        <f>INDEX(Calib!$H$1:$H$13,$D113)*AC113+p_gov_take*$G113+AG113+p_programme*p_pricing*$J113</f>
        <v/>
      </c>
      <c r="AI113" s="26">
        <f>INDEX(Calib!$Y$1:$Y$13,$D113)-INDEX(Calib!$Z$1:$Z$13,$D113)*(AL112/AE112-INDEX(Calib!$AA$1:$AA$13,$D113))</f>
        <v/>
      </c>
      <c r="AJ113" s="26">
        <f>INDEX(Calib!$X$1:$X$13,$D113)+INDEX(Calib!$G$1:$G$13,$D113)+AF113+AI113-AH113</f>
        <v/>
      </c>
      <c r="AK113" s="26">
        <f>p_rk*AM112+AO112*(AL112-AM112)</f>
        <v/>
      </c>
      <c r="AL113" s="26">
        <f>AL112+AK113+AJ113</f>
        <v/>
      </c>
      <c r="AM113" s="26">
        <f>INDEX(Calib!$U$1:$U$13,$D113)+(AM112-INDEX(Calib!$U$1:$U$13,$D113))*(1-p_amort)+p_sh_conc*AF113</f>
        <v/>
      </c>
      <c r="AN113" s="26">
        <f>AL113/AE113</f>
        <v/>
      </c>
      <c r="AO113" s="26">
        <f>INDEX(Calib!$K$1:$K$13,$D113)+p_eta*MAX(0,AN113-INDEX(Calib!$AA$1:$AA$13,$D113))</f>
        <v/>
      </c>
      <c r="AP113" s="26">
        <f>(1-INDEX(Calib!$H$1:$H$13,$D113))*(1-p_alpha)*AC113+AI113</f>
        <v/>
      </c>
      <c r="AQ113" s="26">
        <f>(AE113/O113-1)*100</f>
        <v/>
      </c>
      <c r="AR113" s="26">
        <f>(AE113/AE110-1)*100</f>
        <v/>
      </c>
      <c r="AS113" s="26">
        <f>(O113/O110-1)*100</f>
        <v/>
      </c>
      <c r="AT113" s="26">
        <f>(AN113-X113)*100</f>
        <v/>
      </c>
      <c r="AU113" s="26">
        <f>(AP113/Z113-1)*100</f>
        <v/>
      </c>
      <c r="AV113" s="26">
        <f>(AI113-S113)*100</f>
        <v/>
      </c>
    </row>
    <row r="114">
      <c r="A114" s="25" t="inlineStr">
        <is>
          <t>ETH</t>
        </is>
      </c>
      <c r="B114" s="25" t="n">
        <v>2028</v>
      </c>
      <c r="C114" s="25" t="n">
        <v>4</v>
      </c>
      <c r="D114" s="25" t="n">
        <v>6</v>
      </c>
      <c r="E114" s="25">
        <f>IF(AND(p_dis_year&gt;0,B114=p_dis_year),1,0)</f>
        <v/>
      </c>
      <c r="F114" s="26">
        <f>IF(AND(p_dis_year&gt;0,B114&gt;=p_dis_year),1-p_eps_a*p_rho_a^(B114-p_dis_year),1)</f>
        <v/>
      </c>
      <c r="G114" s="26">
        <f>INDEX(Calib!$N$1:$N$13,$D114)*(1-p_rent_decline*MIN(1,C114/26))</f>
        <v/>
      </c>
      <c r="H114" s="26">
        <f>IF(C114=0,0,SUMIFS(dl_val,dl_iso,$A114,dl_ind,"pub_cap",dl_year,$B114)/100)</f>
        <v/>
      </c>
      <c r="I114" s="26">
        <f>IF(C114=0,0,SUMIFS(dl_val,dl_iso,$A114,dl_ind,"pub_spend",dl_year,$B114)/100)</f>
        <v/>
      </c>
      <c r="J114" s="26">
        <f>IF(C114=0,0,SUMIFS(dl_val,dl_iso,$A114,dl_ind,"rev",dl_year,$B114)/100)</f>
        <v/>
      </c>
      <c r="K114" s="26">
        <f>(1-p_delta_g)*K113*(1-p_eps_g*$E114)+INDEX(Calib!$E$1:$E$13,$D114)*(INDEX(Calib!$G$1:$G$13,$D114)+0*$H114)</f>
        <v/>
      </c>
      <c r="L114" s="26">
        <f>L113*(1-p_eps_k*$E114)+p_lambda_k*(N114-L113*(1-p_eps_k*$E114))</f>
        <v/>
      </c>
      <c r="M114" s="26">
        <f>INDEX(Calib!$R$1:$R$13,$D114)*$F114*(K113*(1-p_eps_g*$E114))^INDEX(Calib!$Q$1:$Q$13,$D114)*(L113*(1-p_eps_k*$E114))^p_alpha</f>
        <v/>
      </c>
      <c r="N114" s="26">
        <f>p_alpha*(1-INDEX(Calib!$H$1:$H$13,$D114))*M114/(INDEX(Calib!$K$1:$K$13,$D114)+p_delta)</f>
        <v/>
      </c>
      <c r="O114" s="26">
        <f>M114+$G114</f>
        <v/>
      </c>
      <c r="P114" s="26">
        <f>0*($H114+$I114)</f>
        <v/>
      </c>
      <c r="Q114" s="26">
        <f>INDEX(Calib!$I$1:$I$13,$D114)+p_sh_grant*P114</f>
        <v/>
      </c>
      <c r="R114" s="26">
        <f>INDEX(Calib!$H$1:$H$13,$D114)*M114+p_gov_take*$G114+Q114+0*p_pricing*$J114</f>
        <v/>
      </c>
      <c r="S114" s="26">
        <f>INDEX(Calib!$Y$1:$Y$13,$D114)-INDEX(Calib!$Z$1:$Z$13,$D114)*(V113/O113-INDEX(Calib!$AA$1:$AA$13,$D114))</f>
        <v/>
      </c>
      <c r="T114" s="26">
        <f>INDEX(Calib!$X$1:$X$13,$D114)+INDEX(Calib!$G$1:$G$13,$D114)+P114+S114-R114</f>
        <v/>
      </c>
      <c r="U114" s="26">
        <f>p_rk*W113+Y113*(V113-W113)</f>
        <v/>
      </c>
      <c r="V114" s="26">
        <f>V113+U114+T114</f>
        <v/>
      </c>
      <c r="W114" s="26">
        <f>INDEX(Calib!$U$1:$U$13,$D114)+(W113-INDEX(Calib!$U$1:$U$13,$D114))*(1-p_amort)+p_sh_conc*P114</f>
        <v/>
      </c>
      <c r="X114" s="26">
        <f>V114/O114</f>
        <v/>
      </c>
      <c r="Y114" s="26">
        <f>INDEX(Calib!$K$1:$K$13,$D114)+p_eta*MAX(0,X114-INDEX(Calib!$AA$1:$AA$13,$D114))</f>
        <v/>
      </c>
      <c r="Z114" s="26">
        <f>(1-INDEX(Calib!$H$1:$H$13,$D114))*(1-p_alpha)*M114+S114</f>
        <v/>
      </c>
      <c r="AA114" s="26">
        <f>(1-p_delta_g)*AA113*(1-p_eps_g*$E114)+INDEX(Calib!$E$1:$E$13,$D114)*(INDEX(Calib!$G$1:$G$13,$D114)+p_programme*$H114)</f>
        <v/>
      </c>
      <c r="AB114" s="26">
        <f>AB113*(1-p_eps_k*$E114)+p_lambda_k*(AD114-AB113*(1-p_eps_k*$E114))</f>
        <v/>
      </c>
      <c r="AC114" s="26">
        <f>INDEX(Calib!$R$1:$R$13,$D114)*$F114*(AA113*(1-p_eps_g*$E114))^INDEX(Calib!$Q$1:$Q$13,$D114)*(AB113*(1-p_eps_k*$E114))^p_alpha</f>
        <v/>
      </c>
      <c r="AD114" s="26">
        <f>p_alpha*(1-INDEX(Calib!$H$1:$H$13,$D114))*AC114/(INDEX(Calib!$K$1:$K$13,$D114)+p_delta)</f>
        <v/>
      </c>
      <c r="AE114" s="26">
        <f>AC114+$G114</f>
        <v/>
      </c>
      <c r="AF114" s="26">
        <f>p_programme*($H114+$I114)</f>
        <v/>
      </c>
      <c r="AG114" s="26">
        <f>INDEX(Calib!$I$1:$I$13,$D114)+p_sh_grant*AF114</f>
        <v/>
      </c>
      <c r="AH114" s="26">
        <f>INDEX(Calib!$H$1:$H$13,$D114)*AC114+p_gov_take*$G114+AG114+p_programme*p_pricing*$J114</f>
        <v/>
      </c>
      <c r="AI114" s="26">
        <f>INDEX(Calib!$Y$1:$Y$13,$D114)-INDEX(Calib!$Z$1:$Z$13,$D114)*(AL113/AE113-INDEX(Calib!$AA$1:$AA$13,$D114))</f>
        <v/>
      </c>
      <c r="AJ114" s="26">
        <f>INDEX(Calib!$X$1:$X$13,$D114)+INDEX(Calib!$G$1:$G$13,$D114)+AF114+AI114-AH114</f>
        <v/>
      </c>
      <c r="AK114" s="26">
        <f>p_rk*AM113+AO113*(AL113-AM113)</f>
        <v/>
      </c>
      <c r="AL114" s="26">
        <f>AL113+AK114+AJ114</f>
        <v/>
      </c>
      <c r="AM114" s="26">
        <f>INDEX(Calib!$U$1:$U$13,$D114)+(AM113-INDEX(Calib!$U$1:$U$13,$D114))*(1-p_amort)+p_sh_conc*AF114</f>
        <v/>
      </c>
      <c r="AN114" s="26">
        <f>AL114/AE114</f>
        <v/>
      </c>
      <c r="AO114" s="26">
        <f>INDEX(Calib!$K$1:$K$13,$D114)+p_eta*MAX(0,AN114-INDEX(Calib!$AA$1:$AA$13,$D114))</f>
        <v/>
      </c>
      <c r="AP114" s="26">
        <f>(1-INDEX(Calib!$H$1:$H$13,$D114))*(1-p_alpha)*AC114+AI114</f>
        <v/>
      </c>
      <c r="AQ114" s="26">
        <f>(AE114/O114-1)*100</f>
        <v/>
      </c>
      <c r="AR114" s="26">
        <f>(AE114/AE110-1)*100</f>
        <v/>
      </c>
      <c r="AS114" s="26">
        <f>(O114/O110-1)*100</f>
        <v/>
      </c>
      <c r="AT114" s="26">
        <f>(AN114-X114)*100</f>
        <v/>
      </c>
      <c r="AU114" s="26">
        <f>(AP114/Z114-1)*100</f>
        <v/>
      </c>
      <c r="AV114" s="26">
        <f>(AI114-S114)*100</f>
        <v/>
      </c>
    </row>
    <row r="115">
      <c r="A115" s="25" t="inlineStr">
        <is>
          <t>ETH</t>
        </is>
      </c>
      <c r="B115" s="25" t="n">
        <v>2029</v>
      </c>
      <c r="C115" s="25" t="n">
        <v>5</v>
      </c>
      <c r="D115" s="25" t="n">
        <v>6</v>
      </c>
      <c r="E115" s="25">
        <f>IF(AND(p_dis_year&gt;0,B115=p_dis_year),1,0)</f>
        <v/>
      </c>
      <c r="F115" s="26">
        <f>IF(AND(p_dis_year&gt;0,B115&gt;=p_dis_year),1-p_eps_a*p_rho_a^(B115-p_dis_year),1)</f>
        <v/>
      </c>
      <c r="G115" s="26">
        <f>INDEX(Calib!$N$1:$N$13,$D115)*(1-p_rent_decline*MIN(1,C115/26))</f>
        <v/>
      </c>
      <c r="H115" s="26">
        <f>IF(C115=0,0,SUMIFS(dl_val,dl_iso,$A115,dl_ind,"pub_cap",dl_year,$B115)/100)</f>
        <v/>
      </c>
      <c r="I115" s="26">
        <f>IF(C115=0,0,SUMIFS(dl_val,dl_iso,$A115,dl_ind,"pub_spend",dl_year,$B115)/100)</f>
        <v/>
      </c>
      <c r="J115" s="26">
        <f>IF(C115=0,0,SUMIFS(dl_val,dl_iso,$A115,dl_ind,"rev",dl_year,$B115)/100)</f>
        <v/>
      </c>
      <c r="K115" s="26">
        <f>(1-p_delta_g)*K114*(1-p_eps_g*$E115)+INDEX(Calib!$E$1:$E$13,$D115)*(INDEX(Calib!$G$1:$G$13,$D115)+0*$H115)</f>
        <v/>
      </c>
      <c r="L115" s="26">
        <f>L114*(1-p_eps_k*$E115)+p_lambda_k*(N115-L114*(1-p_eps_k*$E115))</f>
        <v/>
      </c>
      <c r="M115" s="26">
        <f>INDEX(Calib!$R$1:$R$13,$D115)*$F115*(K114*(1-p_eps_g*$E115))^INDEX(Calib!$Q$1:$Q$13,$D115)*(L114*(1-p_eps_k*$E115))^p_alpha</f>
        <v/>
      </c>
      <c r="N115" s="26">
        <f>p_alpha*(1-INDEX(Calib!$H$1:$H$13,$D115))*M115/(INDEX(Calib!$K$1:$K$13,$D115)+p_delta)</f>
        <v/>
      </c>
      <c r="O115" s="26">
        <f>M115+$G115</f>
        <v/>
      </c>
      <c r="P115" s="26">
        <f>0*($H115+$I115)</f>
        <v/>
      </c>
      <c r="Q115" s="26">
        <f>INDEX(Calib!$I$1:$I$13,$D115)+p_sh_grant*P115</f>
        <v/>
      </c>
      <c r="R115" s="26">
        <f>INDEX(Calib!$H$1:$H$13,$D115)*M115+p_gov_take*$G115+Q115+0*p_pricing*$J115</f>
        <v/>
      </c>
      <c r="S115" s="26">
        <f>INDEX(Calib!$Y$1:$Y$13,$D115)-INDEX(Calib!$Z$1:$Z$13,$D115)*(V114/O114-INDEX(Calib!$AA$1:$AA$13,$D115))</f>
        <v/>
      </c>
      <c r="T115" s="26">
        <f>INDEX(Calib!$X$1:$X$13,$D115)+INDEX(Calib!$G$1:$G$13,$D115)+P115+S115-R115</f>
        <v/>
      </c>
      <c r="U115" s="26">
        <f>p_rk*W114+Y114*(V114-W114)</f>
        <v/>
      </c>
      <c r="V115" s="26">
        <f>V114+U115+T115</f>
        <v/>
      </c>
      <c r="W115" s="26">
        <f>INDEX(Calib!$U$1:$U$13,$D115)+(W114-INDEX(Calib!$U$1:$U$13,$D115))*(1-p_amort)+p_sh_conc*P115</f>
        <v/>
      </c>
      <c r="X115" s="26">
        <f>V115/O115</f>
        <v/>
      </c>
      <c r="Y115" s="26">
        <f>INDEX(Calib!$K$1:$K$13,$D115)+p_eta*MAX(0,X115-INDEX(Calib!$AA$1:$AA$13,$D115))</f>
        <v/>
      </c>
      <c r="Z115" s="26">
        <f>(1-INDEX(Calib!$H$1:$H$13,$D115))*(1-p_alpha)*M115+S115</f>
        <v/>
      </c>
      <c r="AA115" s="26">
        <f>(1-p_delta_g)*AA114*(1-p_eps_g*$E115)+INDEX(Calib!$E$1:$E$13,$D115)*(INDEX(Calib!$G$1:$G$13,$D115)+p_programme*$H115)</f>
        <v/>
      </c>
      <c r="AB115" s="26">
        <f>AB114*(1-p_eps_k*$E115)+p_lambda_k*(AD115-AB114*(1-p_eps_k*$E115))</f>
        <v/>
      </c>
      <c r="AC115" s="26">
        <f>INDEX(Calib!$R$1:$R$13,$D115)*$F115*(AA114*(1-p_eps_g*$E115))^INDEX(Calib!$Q$1:$Q$13,$D115)*(AB114*(1-p_eps_k*$E115))^p_alpha</f>
        <v/>
      </c>
      <c r="AD115" s="26">
        <f>p_alpha*(1-INDEX(Calib!$H$1:$H$13,$D115))*AC115/(INDEX(Calib!$K$1:$K$13,$D115)+p_delta)</f>
        <v/>
      </c>
      <c r="AE115" s="26">
        <f>AC115+$G115</f>
        <v/>
      </c>
      <c r="AF115" s="26">
        <f>p_programme*($H115+$I115)</f>
        <v/>
      </c>
      <c r="AG115" s="26">
        <f>INDEX(Calib!$I$1:$I$13,$D115)+p_sh_grant*AF115</f>
        <v/>
      </c>
      <c r="AH115" s="26">
        <f>INDEX(Calib!$H$1:$H$13,$D115)*AC115+p_gov_take*$G115+AG115+p_programme*p_pricing*$J115</f>
        <v/>
      </c>
      <c r="AI115" s="26">
        <f>INDEX(Calib!$Y$1:$Y$13,$D115)-INDEX(Calib!$Z$1:$Z$13,$D115)*(AL114/AE114-INDEX(Calib!$AA$1:$AA$13,$D115))</f>
        <v/>
      </c>
      <c r="AJ115" s="26">
        <f>INDEX(Calib!$X$1:$X$13,$D115)+INDEX(Calib!$G$1:$G$13,$D115)+AF115+AI115-AH115</f>
        <v/>
      </c>
      <c r="AK115" s="26">
        <f>p_rk*AM114+AO114*(AL114-AM114)</f>
        <v/>
      </c>
      <c r="AL115" s="26">
        <f>AL114+AK115+AJ115</f>
        <v/>
      </c>
      <c r="AM115" s="26">
        <f>INDEX(Calib!$U$1:$U$13,$D115)+(AM114-INDEX(Calib!$U$1:$U$13,$D115))*(1-p_amort)+p_sh_conc*AF115</f>
        <v/>
      </c>
      <c r="AN115" s="26">
        <f>AL115/AE115</f>
        <v/>
      </c>
      <c r="AO115" s="26">
        <f>INDEX(Calib!$K$1:$K$13,$D115)+p_eta*MAX(0,AN115-INDEX(Calib!$AA$1:$AA$13,$D115))</f>
        <v/>
      </c>
      <c r="AP115" s="26">
        <f>(1-INDEX(Calib!$H$1:$H$13,$D115))*(1-p_alpha)*AC115+AI115</f>
        <v/>
      </c>
      <c r="AQ115" s="26">
        <f>(AE115/O115-1)*100</f>
        <v/>
      </c>
      <c r="AR115" s="26">
        <f>(AE115/AE110-1)*100</f>
        <v/>
      </c>
      <c r="AS115" s="26">
        <f>(O115/O110-1)*100</f>
        <v/>
      </c>
      <c r="AT115" s="26">
        <f>(AN115-X115)*100</f>
        <v/>
      </c>
      <c r="AU115" s="26">
        <f>(AP115/Z115-1)*100</f>
        <v/>
      </c>
      <c r="AV115" s="26">
        <f>(AI115-S115)*100</f>
        <v/>
      </c>
    </row>
    <row r="116">
      <c r="A116" s="25" t="inlineStr">
        <is>
          <t>ETH</t>
        </is>
      </c>
      <c r="B116" s="25" t="n">
        <v>2030</v>
      </c>
      <c r="C116" s="25" t="n">
        <v>6</v>
      </c>
      <c r="D116" s="25" t="n">
        <v>6</v>
      </c>
      <c r="E116" s="25">
        <f>IF(AND(p_dis_year&gt;0,B116=p_dis_year),1,0)</f>
        <v/>
      </c>
      <c r="F116" s="26">
        <f>IF(AND(p_dis_year&gt;0,B116&gt;=p_dis_year),1-p_eps_a*p_rho_a^(B116-p_dis_year),1)</f>
        <v/>
      </c>
      <c r="G116" s="26">
        <f>INDEX(Calib!$N$1:$N$13,$D116)*(1-p_rent_decline*MIN(1,C116/26))</f>
        <v/>
      </c>
      <c r="H116" s="26">
        <f>IF(C116=0,0,SUMIFS(dl_val,dl_iso,$A116,dl_ind,"pub_cap",dl_year,$B116)/100)</f>
        <v/>
      </c>
      <c r="I116" s="26">
        <f>IF(C116=0,0,SUMIFS(dl_val,dl_iso,$A116,dl_ind,"pub_spend",dl_year,$B116)/100)</f>
        <v/>
      </c>
      <c r="J116" s="26">
        <f>IF(C116=0,0,SUMIFS(dl_val,dl_iso,$A116,dl_ind,"rev",dl_year,$B116)/100)</f>
        <v/>
      </c>
      <c r="K116" s="26">
        <f>(1-p_delta_g)*K115*(1-p_eps_g*$E116)+INDEX(Calib!$E$1:$E$13,$D116)*(INDEX(Calib!$G$1:$G$13,$D116)+0*$H116)</f>
        <v/>
      </c>
      <c r="L116" s="26">
        <f>L115*(1-p_eps_k*$E116)+p_lambda_k*(N116-L115*(1-p_eps_k*$E116))</f>
        <v/>
      </c>
      <c r="M116" s="26">
        <f>INDEX(Calib!$R$1:$R$13,$D116)*$F116*(K115*(1-p_eps_g*$E116))^INDEX(Calib!$Q$1:$Q$13,$D116)*(L115*(1-p_eps_k*$E116))^p_alpha</f>
        <v/>
      </c>
      <c r="N116" s="26">
        <f>p_alpha*(1-INDEX(Calib!$H$1:$H$13,$D116))*M116/(INDEX(Calib!$K$1:$K$13,$D116)+p_delta)</f>
        <v/>
      </c>
      <c r="O116" s="26">
        <f>M116+$G116</f>
        <v/>
      </c>
      <c r="P116" s="26">
        <f>0*($H116+$I116)</f>
        <v/>
      </c>
      <c r="Q116" s="26">
        <f>INDEX(Calib!$I$1:$I$13,$D116)+p_sh_grant*P116</f>
        <v/>
      </c>
      <c r="R116" s="26">
        <f>INDEX(Calib!$H$1:$H$13,$D116)*M116+p_gov_take*$G116+Q116+0*p_pricing*$J116</f>
        <v/>
      </c>
      <c r="S116" s="26">
        <f>INDEX(Calib!$Y$1:$Y$13,$D116)-INDEX(Calib!$Z$1:$Z$13,$D116)*(V115/O115-INDEX(Calib!$AA$1:$AA$13,$D116))</f>
        <v/>
      </c>
      <c r="T116" s="26">
        <f>INDEX(Calib!$X$1:$X$13,$D116)+INDEX(Calib!$G$1:$G$13,$D116)+P116+S116-R116</f>
        <v/>
      </c>
      <c r="U116" s="26">
        <f>p_rk*W115+Y115*(V115-W115)</f>
        <v/>
      </c>
      <c r="V116" s="26">
        <f>V115+U116+T116</f>
        <v/>
      </c>
      <c r="W116" s="26">
        <f>INDEX(Calib!$U$1:$U$13,$D116)+(W115-INDEX(Calib!$U$1:$U$13,$D116))*(1-p_amort)+p_sh_conc*P116</f>
        <v/>
      </c>
      <c r="X116" s="26">
        <f>V116/O116</f>
        <v/>
      </c>
      <c r="Y116" s="26">
        <f>INDEX(Calib!$K$1:$K$13,$D116)+p_eta*MAX(0,X116-INDEX(Calib!$AA$1:$AA$13,$D116))</f>
        <v/>
      </c>
      <c r="Z116" s="26">
        <f>(1-INDEX(Calib!$H$1:$H$13,$D116))*(1-p_alpha)*M116+S116</f>
        <v/>
      </c>
      <c r="AA116" s="26">
        <f>(1-p_delta_g)*AA115*(1-p_eps_g*$E116)+INDEX(Calib!$E$1:$E$13,$D116)*(INDEX(Calib!$G$1:$G$13,$D116)+p_programme*$H116)</f>
        <v/>
      </c>
      <c r="AB116" s="26">
        <f>AB115*(1-p_eps_k*$E116)+p_lambda_k*(AD116-AB115*(1-p_eps_k*$E116))</f>
        <v/>
      </c>
      <c r="AC116" s="26">
        <f>INDEX(Calib!$R$1:$R$13,$D116)*$F116*(AA115*(1-p_eps_g*$E116))^INDEX(Calib!$Q$1:$Q$13,$D116)*(AB115*(1-p_eps_k*$E116))^p_alpha</f>
        <v/>
      </c>
      <c r="AD116" s="26">
        <f>p_alpha*(1-INDEX(Calib!$H$1:$H$13,$D116))*AC116/(INDEX(Calib!$K$1:$K$13,$D116)+p_delta)</f>
        <v/>
      </c>
      <c r="AE116" s="26">
        <f>AC116+$G116</f>
        <v/>
      </c>
      <c r="AF116" s="26">
        <f>p_programme*($H116+$I116)</f>
        <v/>
      </c>
      <c r="AG116" s="26">
        <f>INDEX(Calib!$I$1:$I$13,$D116)+p_sh_grant*AF116</f>
        <v/>
      </c>
      <c r="AH116" s="26">
        <f>INDEX(Calib!$H$1:$H$13,$D116)*AC116+p_gov_take*$G116+AG116+p_programme*p_pricing*$J116</f>
        <v/>
      </c>
      <c r="AI116" s="26">
        <f>INDEX(Calib!$Y$1:$Y$13,$D116)-INDEX(Calib!$Z$1:$Z$13,$D116)*(AL115/AE115-INDEX(Calib!$AA$1:$AA$13,$D116))</f>
        <v/>
      </c>
      <c r="AJ116" s="26">
        <f>INDEX(Calib!$X$1:$X$13,$D116)+INDEX(Calib!$G$1:$G$13,$D116)+AF116+AI116-AH116</f>
        <v/>
      </c>
      <c r="AK116" s="26">
        <f>p_rk*AM115+AO115*(AL115-AM115)</f>
        <v/>
      </c>
      <c r="AL116" s="26">
        <f>AL115+AK116+AJ116</f>
        <v/>
      </c>
      <c r="AM116" s="26">
        <f>INDEX(Calib!$U$1:$U$13,$D116)+(AM115-INDEX(Calib!$U$1:$U$13,$D116))*(1-p_amort)+p_sh_conc*AF116</f>
        <v/>
      </c>
      <c r="AN116" s="26">
        <f>AL116/AE116</f>
        <v/>
      </c>
      <c r="AO116" s="26">
        <f>INDEX(Calib!$K$1:$K$13,$D116)+p_eta*MAX(0,AN116-INDEX(Calib!$AA$1:$AA$13,$D116))</f>
        <v/>
      </c>
      <c r="AP116" s="26">
        <f>(1-INDEX(Calib!$H$1:$H$13,$D116))*(1-p_alpha)*AC116+AI116</f>
        <v/>
      </c>
      <c r="AQ116" s="26">
        <f>(AE116/O116-1)*100</f>
        <v/>
      </c>
      <c r="AR116" s="26">
        <f>(AE116/AE110-1)*100</f>
        <v/>
      </c>
      <c r="AS116" s="26">
        <f>(O116/O110-1)*100</f>
        <v/>
      </c>
      <c r="AT116" s="26">
        <f>(AN116-X116)*100</f>
        <v/>
      </c>
      <c r="AU116" s="26">
        <f>(AP116/Z116-1)*100</f>
        <v/>
      </c>
      <c r="AV116" s="26">
        <f>(AI116-S116)*100</f>
        <v/>
      </c>
    </row>
    <row r="117">
      <c r="A117" s="25" t="inlineStr">
        <is>
          <t>ETH</t>
        </is>
      </c>
      <c r="B117" s="25" t="n">
        <v>2031</v>
      </c>
      <c r="C117" s="25" t="n">
        <v>7</v>
      </c>
      <c r="D117" s="25" t="n">
        <v>6</v>
      </c>
      <c r="E117" s="25">
        <f>IF(AND(p_dis_year&gt;0,B117=p_dis_year),1,0)</f>
        <v/>
      </c>
      <c r="F117" s="26">
        <f>IF(AND(p_dis_year&gt;0,B117&gt;=p_dis_year),1-p_eps_a*p_rho_a^(B117-p_dis_year),1)</f>
        <v/>
      </c>
      <c r="G117" s="26">
        <f>INDEX(Calib!$N$1:$N$13,$D117)*(1-p_rent_decline*MIN(1,C117/26))</f>
        <v/>
      </c>
      <c r="H117" s="26">
        <f>IF(C117=0,0,SUMIFS(dl_val,dl_iso,$A117,dl_ind,"pub_cap",dl_year,$B117)/100)</f>
        <v/>
      </c>
      <c r="I117" s="26">
        <f>IF(C117=0,0,SUMIFS(dl_val,dl_iso,$A117,dl_ind,"pub_spend",dl_year,$B117)/100)</f>
        <v/>
      </c>
      <c r="J117" s="26">
        <f>IF(C117=0,0,SUMIFS(dl_val,dl_iso,$A117,dl_ind,"rev",dl_year,$B117)/100)</f>
        <v/>
      </c>
      <c r="K117" s="26">
        <f>(1-p_delta_g)*K116*(1-p_eps_g*$E117)+INDEX(Calib!$E$1:$E$13,$D117)*(INDEX(Calib!$G$1:$G$13,$D117)+0*$H117)</f>
        <v/>
      </c>
      <c r="L117" s="26">
        <f>L116*(1-p_eps_k*$E117)+p_lambda_k*(N117-L116*(1-p_eps_k*$E117))</f>
        <v/>
      </c>
      <c r="M117" s="26">
        <f>INDEX(Calib!$R$1:$R$13,$D117)*$F117*(K116*(1-p_eps_g*$E117))^INDEX(Calib!$Q$1:$Q$13,$D117)*(L116*(1-p_eps_k*$E117))^p_alpha</f>
        <v/>
      </c>
      <c r="N117" s="26">
        <f>p_alpha*(1-INDEX(Calib!$H$1:$H$13,$D117))*M117/(INDEX(Calib!$K$1:$K$13,$D117)+p_delta)</f>
        <v/>
      </c>
      <c r="O117" s="26">
        <f>M117+$G117</f>
        <v/>
      </c>
      <c r="P117" s="26">
        <f>0*($H117+$I117)</f>
        <v/>
      </c>
      <c r="Q117" s="26">
        <f>INDEX(Calib!$I$1:$I$13,$D117)+p_sh_grant*P117</f>
        <v/>
      </c>
      <c r="R117" s="26">
        <f>INDEX(Calib!$H$1:$H$13,$D117)*M117+p_gov_take*$G117+Q117+0*p_pricing*$J117</f>
        <v/>
      </c>
      <c r="S117" s="26">
        <f>INDEX(Calib!$Y$1:$Y$13,$D117)-INDEX(Calib!$Z$1:$Z$13,$D117)*(V116/O116-INDEX(Calib!$AA$1:$AA$13,$D117))</f>
        <v/>
      </c>
      <c r="T117" s="26">
        <f>INDEX(Calib!$X$1:$X$13,$D117)+INDEX(Calib!$G$1:$G$13,$D117)+P117+S117-R117</f>
        <v/>
      </c>
      <c r="U117" s="26">
        <f>p_rk*W116+Y116*(V116-W116)</f>
        <v/>
      </c>
      <c r="V117" s="26">
        <f>V116+U117+T117</f>
        <v/>
      </c>
      <c r="W117" s="26">
        <f>INDEX(Calib!$U$1:$U$13,$D117)+(W116-INDEX(Calib!$U$1:$U$13,$D117))*(1-p_amort)+p_sh_conc*P117</f>
        <v/>
      </c>
      <c r="X117" s="26">
        <f>V117/O117</f>
        <v/>
      </c>
      <c r="Y117" s="26">
        <f>INDEX(Calib!$K$1:$K$13,$D117)+p_eta*MAX(0,X117-INDEX(Calib!$AA$1:$AA$13,$D117))</f>
        <v/>
      </c>
      <c r="Z117" s="26">
        <f>(1-INDEX(Calib!$H$1:$H$13,$D117))*(1-p_alpha)*M117+S117</f>
        <v/>
      </c>
      <c r="AA117" s="26">
        <f>(1-p_delta_g)*AA116*(1-p_eps_g*$E117)+INDEX(Calib!$E$1:$E$13,$D117)*(INDEX(Calib!$G$1:$G$13,$D117)+p_programme*$H117)</f>
        <v/>
      </c>
      <c r="AB117" s="26">
        <f>AB116*(1-p_eps_k*$E117)+p_lambda_k*(AD117-AB116*(1-p_eps_k*$E117))</f>
        <v/>
      </c>
      <c r="AC117" s="26">
        <f>INDEX(Calib!$R$1:$R$13,$D117)*$F117*(AA116*(1-p_eps_g*$E117))^INDEX(Calib!$Q$1:$Q$13,$D117)*(AB116*(1-p_eps_k*$E117))^p_alpha</f>
        <v/>
      </c>
      <c r="AD117" s="26">
        <f>p_alpha*(1-INDEX(Calib!$H$1:$H$13,$D117))*AC117/(INDEX(Calib!$K$1:$K$13,$D117)+p_delta)</f>
        <v/>
      </c>
      <c r="AE117" s="26">
        <f>AC117+$G117</f>
        <v/>
      </c>
      <c r="AF117" s="26">
        <f>p_programme*($H117+$I117)</f>
        <v/>
      </c>
      <c r="AG117" s="26">
        <f>INDEX(Calib!$I$1:$I$13,$D117)+p_sh_grant*AF117</f>
        <v/>
      </c>
      <c r="AH117" s="26">
        <f>INDEX(Calib!$H$1:$H$13,$D117)*AC117+p_gov_take*$G117+AG117+p_programme*p_pricing*$J117</f>
        <v/>
      </c>
      <c r="AI117" s="26">
        <f>INDEX(Calib!$Y$1:$Y$13,$D117)-INDEX(Calib!$Z$1:$Z$13,$D117)*(AL116/AE116-INDEX(Calib!$AA$1:$AA$13,$D117))</f>
        <v/>
      </c>
      <c r="AJ117" s="26">
        <f>INDEX(Calib!$X$1:$X$13,$D117)+INDEX(Calib!$G$1:$G$13,$D117)+AF117+AI117-AH117</f>
        <v/>
      </c>
      <c r="AK117" s="26">
        <f>p_rk*AM116+AO116*(AL116-AM116)</f>
        <v/>
      </c>
      <c r="AL117" s="26">
        <f>AL116+AK117+AJ117</f>
        <v/>
      </c>
      <c r="AM117" s="26">
        <f>INDEX(Calib!$U$1:$U$13,$D117)+(AM116-INDEX(Calib!$U$1:$U$13,$D117))*(1-p_amort)+p_sh_conc*AF117</f>
        <v/>
      </c>
      <c r="AN117" s="26">
        <f>AL117/AE117</f>
        <v/>
      </c>
      <c r="AO117" s="26">
        <f>INDEX(Calib!$K$1:$K$13,$D117)+p_eta*MAX(0,AN117-INDEX(Calib!$AA$1:$AA$13,$D117))</f>
        <v/>
      </c>
      <c r="AP117" s="26">
        <f>(1-INDEX(Calib!$H$1:$H$13,$D117))*(1-p_alpha)*AC117+AI117</f>
        <v/>
      </c>
      <c r="AQ117" s="26">
        <f>(AE117/O117-1)*100</f>
        <v/>
      </c>
      <c r="AR117" s="26">
        <f>(AE117/AE110-1)*100</f>
        <v/>
      </c>
      <c r="AS117" s="26">
        <f>(O117/O110-1)*100</f>
        <v/>
      </c>
      <c r="AT117" s="26">
        <f>(AN117-X117)*100</f>
        <v/>
      </c>
      <c r="AU117" s="26">
        <f>(AP117/Z117-1)*100</f>
        <v/>
      </c>
      <c r="AV117" s="26">
        <f>(AI117-S117)*100</f>
        <v/>
      </c>
    </row>
    <row r="118">
      <c r="A118" s="25" t="inlineStr">
        <is>
          <t>ETH</t>
        </is>
      </c>
      <c r="B118" s="25" t="n">
        <v>2032</v>
      </c>
      <c r="C118" s="25" t="n">
        <v>8</v>
      </c>
      <c r="D118" s="25" t="n">
        <v>6</v>
      </c>
      <c r="E118" s="25">
        <f>IF(AND(p_dis_year&gt;0,B118=p_dis_year),1,0)</f>
        <v/>
      </c>
      <c r="F118" s="26">
        <f>IF(AND(p_dis_year&gt;0,B118&gt;=p_dis_year),1-p_eps_a*p_rho_a^(B118-p_dis_year),1)</f>
        <v/>
      </c>
      <c r="G118" s="26">
        <f>INDEX(Calib!$N$1:$N$13,$D118)*(1-p_rent_decline*MIN(1,C118/26))</f>
        <v/>
      </c>
      <c r="H118" s="26">
        <f>IF(C118=0,0,SUMIFS(dl_val,dl_iso,$A118,dl_ind,"pub_cap",dl_year,$B118)/100)</f>
        <v/>
      </c>
      <c r="I118" s="26">
        <f>IF(C118=0,0,SUMIFS(dl_val,dl_iso,$A118,dl_ind,"pub_spend",dl_year,$B118)/100)</f>
        <v/>
      </c>
      <c r="J118" s="26">
        <f>IF(C118=0,0,SUMIFS(dl_val,dl_iso,$A118,dl_ind,"rev",dl_year,$B118)/100)</f>
        <v/>
      </c>
      <c r="K118" s="26">
        <f>(1-p_delta_g)*K117*(1-p_eps_g*$E118)+INDEX(Calib!$E$1:$E$13,$D118)*(INDEX(Calib!$G$1:$G$13,$D118)+0*$H118)</f>
        <v/>
      </c>
      <c r="L118" s="26">
        <f>L117*(1-p_eps_k*$E118)+p_lambda_k*(N118-L117*(1-p_eps_k*$E118))</f>
        <v/>
      </c>
      <c r="M118" s="26">
        <f>INDEX(Calib!$R$1:$R$13,$D118)*$F118*(K117*(1-p_eps_g*$E118))^INDEX(Calib!$Q$1:$Q$13,$D118)*(L117*(1-p_eps_k*$E118))^p_alpha</f>
        <v/>
      </c>
      <c r="N118" s="26">
        <f>p_alpha*(1-INDEX(Calib!$H$1:$H$13,$D118))*M118/(INDEX(Calib!$K$1:$K$13,$D118)+p_delta)</f>
        <v/>
      </c>
      <c r="O118" s="26">
        <f>M118+$G118</f>
        <v/>
      </c>
      <c r="P118" s="26">
        <f>0*($H118+$I118)</f>
        <v/>
      </c>
      <c r="Q118" s="26">
        <f>INDEX(Calib!$I$1:$I$13,$D118)+p_sh_grant*P118</f>
        <v/>
      </c>
      <c r="R118" s="26">
        <f>INDEX(Calib!$H$1:$H$13,$D118)*M118+p_gov_take*$G118+Q118+0*p_pricing*$J118</f>
        <v/>
      </c>
      <c r="S118" s="26">
        <f>INDEX(Calib!$Y$1:$Y$13,$D118)-INDEX(Calib!$Z$1:$Z$13,$D118)*(V117/O117-INDEX(Calib!$AA$1:$AA$13,$D118))</f>
        <v/>
      </c>
      <c r="T118" s="26">
        <f>INDEX(Calib!$X$1:$X$13,$D118)+INDEX(Calib!$G$1:$G$13,$D118)+P118+S118-R118</f>
        <v/>
      </c>
      <c r="U118" s="26">
        <f>p_rk*W117+Y117*(V117-W117)</f>
        <v/>
      </c>
      <c r="V118" s="26">
        <f>V117+U118+T118</f>
        <v/>
      </c>
      <c r="W118" s="26">
        <f>INDEX(Calib!$U$1:$U$13,$D118)+(W117-INDEX(Calib!$U$1:$U$13,$D118))*(1-p_amort)+p_sh_conc*P118</f>
        <v/>
      </c>
      <c r="X118" s="26">
        <f>V118/O118</f>
        <v/>
      </c>
      <c r="Y118" s="26">
        <f>INDEX(Calib!$K$1:$K$13,$D118)+p_eta*MAX(0,X118-INDEX(Calib!$AA$1:$AA$13,$D118))</f>
        <v/>
      </c>
      <c r="Z118" s="26">
        <f>(1-INDEX(Calib!$H$1:$H$13,$D118))*(1-p_alpha)*M118+S118</f>
        <v/>
      </c>
      <c r="AA118" s="26">
        <f>(1-p_delta_g)*AA117*(1-p_eps_g*$E118)+INDEX(Calib!$E$1:$E$13,$D118)*(INDEX(Calib!$G$1:$G$13,$D118)+p_programme*$H118)</f>
        <v/>
      </c>
      <c r="AB118" s="26">
        <f>AB117*(1-p_eps_k*$E118)+p_lambda_k*(AD118-AB117*(1-p_eps_k*$E118))</f>
        <v/>
      </c>
      <c r="AC118" s="26">
        <f>INDEX(Calib!$R$1:$R$13,$D118)*$F118*(AA117*(1-p_eps_g*$E118))^INDEX(Calib!$Q$1:$Q$13,$D118)*(AB117*(1-p_eps_k*$E118))^p_alpha</f>
        <v/>
      </c>
      <c r="AD118" s="26">
        <f>p_alpha*(1-INDEX(Calib!$H$1:$H$13,$D118))*AC118/(INDEX(Calib!$K$1:$K$13,$D118)+p_delta)</f>
        <v/>
      </c>
      <c r="AE118" s="26">
        <f>AC118+$G118</f>
        <v/>
      </c>
      <c r="AF118" s="26">
        <f>p_programme*($H118+$I118)</f>
        <v/>
      </c>
      <c r="AG118" s="26">
        <f>INDEX(Calib!$I$1:$I$13,$D118)+p_sh_grant*AF118</f>
        <v/>
      </c>
      <c r="AH118" s="26">
        <f>INDEX(Calib!$H$1:$H$13,$D118)*AC118+p_gov_take*$G118+AG118+p_programme*p_pricing*$J118</f>
        <v/>
      </c>
      <c r="AI118" s="26">
        <f>INDEX(Calib!$Y$1:$Y$13,$D118)-INDEX(Calib!$Z$1:$Z$13,$D118)*(AL117/AE117-INDEX(Calib!$AA$1:$AA$13,$D118))</f>
        <v/>
      </c>
      <c r="AJ118" s="26">
        <f>INDEX(Calib!$X$1:$X$13,$D118)+INDEX(Calib!$G$1:$G$13,$D118)+AF118+AI118-AH118</f>
        <v/>
      </c>
      <c r="AK118" s="26">
        <f>p_rk*AM117+AO117*(AL117-AM117)</f>
        <v/>
      </c>
      <c r="AL118" s="26">
        <f>AL117+AK118+AJ118</f>
        <v/>
      </c>
      <c r="AM118" s="26">
        <f>INDEX(Calib!$U$1:$U$13,$D118)+(AM117-INDEX(Calib!$U$1:$U$13,$D118))*(1-p_amort)+p_sh_conc*AF118</f>
        <v/>
      </c>
      <c r="AN118" s="26">
        <f>AL118/AE118</f>
        <v/>
      </c>
      <c r="AO118" s="26">
        <f>INDEX(Calib!$K$1:$K$13,$D118)+p_eta*MAX(0,AN118-INDEX(Calib!$AA$1:$AA$13,$D118))</f>
        <v/>
      </c>
      <c r="AP118" s="26">
        <f>(1-INDEX(Calib!$H$1:$H$13,$D118))*(1-p_alpha)*AC118+AI118</f>
        <v/>
      </c>
      <c r="AQ118" s="26">
        <f>(AE118/O118-1)*100</f>
        <v/>
      </c>
      <c r="AR118" s="26">
        <f>(AE118/AE110-1)*100</f>
        <v/>
      </c>
      <c r="AS118" s="26">
        <f>(O118/O110-1)*100</f>
        <v/>
      </c>
      <c r="AT118" s="26">
        <f>(AN118-X118)*100</f>
        <v/>
      </c>
      <c r="AU118" s="26">
        <f>(AP118/Z118-1)*100</f>
        <v/>
      </c>
      <c r="AV118" s="26">
        <f>(AI118-S118)*100</f>
        <v/>
      </c>
    </row>
    <row r="119">
      <c r="A119" s="25" t="inlineStr">
        <is>
          <t>ETH</t>
        </is>
      </c>
      <c r="B119" s="25" t="n">
        <v>2033</v>
      </c>
      <c r="C119" s="25" t="n">
        <v>9</v>
      </c>
      <c r="D119" s="25" t="n">
        <v>6</v>
      </c>
      <c r="E119" s="25">
        <f>IF(AND(p_dis_year&gt;0,B119=p_dis_year),1,0)</f>
        <v/>
      </c>
      <c r="F119" s="26">
        <f>IF(AND(p_dis_year&gt;0,B119&gt;=p_dis_year),1-p_eps_a*p_rho_a^(B119-p_dis_year),1)</f>
        <v/>
      </c>
      <c r="G119" s="26">
        <f>INDEX(Calib!$N$1:$N$13,$D119)*(1-p_rent_decline*MIN(1,C119/26))</f>
        <v/>
      </c>
      <c r="H119" s="26">
        <f>IF(C119=0,0,SUMIFS(dl_val,dl_iso,$A119,dl_ind,"pub_cap",dl_year,$B119)/100)</f>
        <v/>
      </c>
      <c r="I119" s="26">
        <f>IF(C119=0,0,SUMIFS(dl_val,dl_iso,$A119,dl_ind,"pub_spend",dl_year,$B119)/100)</f>
        <v/>
      </c>
      <c r="J119" s="26">
        <f>IF(C119=0,0,SUMIFS(dl_val,dl_iso,$A119,dl_ind,"rev",dl_year,$B119)/100)</f>
        <v/>
      </c>
      <c r="K119" s="26">
        <f>(1-p_delta_g)*K118*(1-p_eps_g*$E119)+INDEX(Calib!$E$1:$E$13,$D119)*(INDEX(Calib!$G$1:$G$13,$D119)+0*$H119)</f>
        <v/>
      </c>
      <c r="L119" s="26">
        <f>L118*(1-p_eps_k*$E119)+p_lambda_k*(N119-L118*(1-p_eps_k*$E119))</f>
        <v/>
      </c>
      <c r="M119" s="26">
        <f>INDEX(Calib!$R$1:$R$13,$D119)*$F119*(K118*(1-p_eps_g*$E119))^INDEX(Calib!$Q$1:$Q$13,$D119)*(L118*(1-p_eps_k*$E119))^p_alpha</f>
        <v/>
      </c>
      <c r="N119" s="26">
        <f>p_alpha*(1-INDEX(Calib!$H$1:$H$13,$D119))*M119/(INDEX(Calib!$K$1:$K$13,$D119)+p_delta)</f>
        <v/>
      </c>
      <c r="O119" s="26">
        <f>M119+$G119</f>
        <v/>
      </c>
      <c r="P119" s="26">
        <f>0*($H119+$I119)</f>
        <v/>
      </c>
      <c r="Q119" s="26">
        <f>INDEX(Calib!$I$1:$I$13,$D119)+p_sh_grant*P119</f>
        <v/>
      </c>
      <c r="R119" s="26">
        <f>INDEX(Calib!$H$1:$H$13,$D119)*M119+p_gov_take*$G119+Q119+0*p_pricing*$J119</f>
        <v/>
      </c>
      <c r="S119" s="26">
        <f>INDEX(Calib!$Y$1:$Y$13,$D119)-INDEX(Calib!$Z$1:$Z$13,$D119)*(V118/O118-INDEX(Calib!$AA$1:$AA$13,$D119))</f>
        <v/>
      </c>
      <c r="T119" s="26">
        <f>INDEX(Calib!$X$1:$X$13,$D119)+INDEX(Calib!$G$1:$G$13,$D119)+P119+S119-R119</f>
        <v/>
      </c>
      <c r="U119" s="26">
        <f>p_rk*W118+Y118*(V118-W118)</f>
        <v/>
      </c>
      <c r="V119" s="26">
        <f>V118+U119+T119</f>
        <v/>
      </c>
      <c r="W119" s="26">
        <f>INDEX(Calib!$U$1:$U$13,$D119)+(W118-INDEX(Calib!$U$1:$U$13,$D119))*(1-p_amort)+p_sh_conc*P119</f>
        <v/>
      </c>
      <c r="X119" s="26">
        <f>V119/O119</f>
        <v/>
      </c>
      <c r="Y119" s="26">
        <f>INDEX(Calib!$K$1:$K$13,$D119)+p_eta*MAX(0,X119-INDEX(Calib!$AA$1:$AA$13,$D119))</f>
        <v/>
      </c>
      <c r="Z119" s="26">
        <f>(1-INDEX(Calib!$H$1:$H$13,$D119))*(1-p_alpha)*M119+S119</f>
        <v/>
      </c>
      <c r="AA119" s="26">
        <f>(1-p_delta_g)*AA118*(1-p_eps_g*$E119)+INDEX(Calib!$E$1:$E$13,$D119)*(INDEX(Calib!$G$1:$G$13,$D119)+p_programme*$H119)</f>
        <v/>
      </c>
      <c r="AB119" s="26">
        <f>AB118*(1-p_eps_k*$E119)+p_lambda_k*(AD119-AB118*(1-p_eps_k*$E119))</f>
        <v/>
      </c>
      <c r="AC119" s="26">
        <f>INDEX(Calib!$R$1:$R$13,$D119)*$F119*(AA118*(1-p_eps_g*$E119))^INDEX(Calib!$Q$1:$Q$13,$D119)*(AB118*(1-p_eps_k*$E119))^p_alpha</f>
        <v/>
      </c>
      <c r="AD119" s="26">
        <f>p_alpha*(1-INDEX(Calib!$H$1:$H$13,$D119))*AC119/(INDEX(Calib!$K$1:$K$13,$D119)+p_delta)</f>
        <v/>
      </c>
      <c r="AE119" s="26">
        <f>AC119+$G119</f>
        <v/>
      </c>
      <c r="AF119" s="26">
        <f>p_programme*($H119+$I119)</f>
        <v/>
      </c>
      <c r="AG119" s="26">
        <f>INDEX(Calib!$I$1:$I$13,$D119)+p_sh_grant*AF119</f>
        <v/>
      </c>
      <c r="AH119" s="26">
        <f>INDEX(Calib!$H$1:$H$13,$D119)*AC119+p_gov_take*$G119+AG119+p_programme*p_pricing*$J119</f>
        <v/>
      </c>
      <c r="AI119" s="26">
        <f>INDEX(Calib!$Y$1:$Y$13,$D119)-INDEX(Calib!$Z$1:$Z$13,$D119)*(AL118/AE118-INDEX(Calib!$AA$1:$AA$13,$D119))</f>
        <v/>
      </c>
      <c r="AJ119" s="26">
        <f>INDEX(Calib!$X$1:$X$13,$D119)+INDEX(Calib!$G$1:$G$13,$D119)+AF119+AI119-AH119</f>
        <v/>
      </c>
      <c r="AK119" s="26">
        <f>p_rk*AM118+AO118*(AL118-AM118)</f>
        <v/>
      </c>
      <c r="AL119" s="26">
        <f>AL118+AK119+AJ119</f>
        <v/>
      </c>
      <c r="AM119" s="26">
        <f>INDEX(Calib!$U$1:$U$13,$D119)+(AM118-INDEX(Calib!$U$1:$U$13,$D119))*(1-p_amort)+p_sh_conc*AF119</f>
        <v/>
      </c>
      <c r="AN119" s="26">
        <f>AL119/AE119</f>
        <v/>
      </c>
      <c r="AO119" s="26">
        <f>INDEX(Calib!$K$1:$K$13,$D119)+p_eta*MAX(0,AN119-INDEX(Calib!$AA$1:$AA$13,$D119))</f>
        <v/>
      </c>
      <c r="AP119" s="26">
        <f>(1-INDEX(Calib!$H$1:$H$13,$D119))*(1-p_alpha)*AC119+AI119</f>
        <v/>
      </c>
      <c r="AQ119" s="26">
        <f>(AE119/O119-1)*100</f>
        <v/>
      </c>
      <c r="AR119" s="26">
        <f>(AE119/AE110-1)*100</f>
        <v/>
      </c>
      <c r="AS119" s="26">
        <f>(O119/O110-1)*100</f>
        <v/>
      </c>
      <c r="AT119" s="26">
        <f>(AN119-X119)*100</f>
        <v/>
      </c>
      <c r="AU119" s="26">
        <f>(AP119/Z119-1)*100</f>
        <v/>
      </c>
      <c r="AV119" s="26">
        <f>(AI119-S119)*100</f>
        <v/>
      </c>
    </row>
    <row r="120">
      <c r="A120" s="25" t="inlineStr">
        <is>
          <t>ETH</t>
        </is>
      </c>
      <c r="B120" s="25" t="n">
        <v>2034</v>
      </c>
      <c r="C120" s="25" t="n">
        <v>10</v>
      </c>
      <c r="D120" s="25" t="n">
        <v>6</v>
      </c>
      <c r="E120" s="25">
        <f>IF(AND(p_dis_year&gt;0,B120=p_dis_year),1,0)</f>
        <v/>
      </c>
      <c r="F120" s="26">
        <f>IF(AND(p_dis_year&gt;0,B120&gt;=p_dis_year),1-p_eps_a*p_rho_a^(B120-p_dis_year),1)</f>
        <v/>
      </c>
      <c r="G120" s="26">
        <f>INDEX(Calib!$N$1:$N$13,$D120)*(1-p_rent_decline*MIN(1,C120/26))</f>
        <v/>
      </c>
      <c r="H120" s="26">
        <f>IF(C120=0,0,SUMIFS(dl_val,dl_iso,$A120,dl_ind,"pub_cap",dl_year,$B120)/100)</f>
        <v/>
      </c>
      <c r="I120" s="26">
        <f>IF(C120=0,0,SUMIFS(dl_val,dl_iso,$A120,dl_ind,"pub_spend",dl_year,$B120)/100)</f>
        <v/>
      </c>
      <c r="J120" s="26">
        <f>IF(C120=0,0,SUMIFS(dl_val,dl_iso,$A120,dl_ind,"rev",dl_year,$B120)/100)</f>
        <v/>
      </c>
      <c r="K120" s="26">
        <f>(1-p_delta_g)*K119*(1-p_eps_g*$E120)+INDEX(Calib!$E$1:$E$13,$D120)*(INDEX(Calib!$G$1:$G$13,$D120)+0*$H120)</f>
        <v/>
      </c>
      <c r="L120" s="26">
        <f>L119*(1-p_eps_k*$E120)+p_lambda_k*(N120-L119*(1-p_eps_k*$E120))</f>
        <v/>
      </c>
      <c r="M120" s="26">
        <f>INDEX(Calib!$R$1:$R$13,$D120)*$F120*(K119*(1-p_eps_g*$E120))^INDEX(Calib!$Q$1:$Q$13,$D120)*(L119*(1-p_eps_k*$E120))^p_alpha</f>
        <v/>
      </c>
      <c r="N120" s="26">
        <f>p_alpha*(1-INDEX(Calib!$H$1:$H$13,$D120))*M120/(INDEX(Calib!$K$1:$K$13,$D120)+p_delta)</f>
        <v/>
      </c>
      <c r="O120" s="26">
        <f>M120+$G120</f>
        <v/>
      </c>
      <c r="P120" s="26">
        <f>0*($H120+$I120)</f>
        <v/>
      </c>
      <c r="Q120" s="26">
        <f>INDEX(Calib!$I$1:$I$13,$D120)+p_sh_grant*P120</f>
        <v/>
      </c>
      <c r="R120" s="26">
        <f>INDEX(Calib!$H$1:$H$13,$D120)*M120+p_gov_take*$G120+Q120+0*p_pricing*$J120</f>
        <v/>
      </c>
      <c r="S120" s="26">
        <f>INDEX(Calib!$Y$1:$Y$13,$D120)-INDEX(Calib!$Z$1:$Z$13,$D120)*(V119/O119-INDEX(Calib!$AA$1:$AA$13,$D120))</f>
        <v/>
      </c>
      <c r="T120" s="26">
        <f>INDEX(Calib!$X$1:$X$13,$D120)+INDEX(Calib!$G$1:$G$13,$D120)+P120+S120-R120</f>
        <v/>
      </c>
      <c r="U120" s="26">
        <f>p_rk*W119+Y119*(V119-W119)</f>
        <v/>
      </c>
      <c r="V120" s="26">
        <f>V119+U120+T120</f>
        <v/>
      </c>
      <c r="W120" s="26">
        <f>INDEX(Calib!$U$1:$U$13,$D120)+(W119-INDEX(Calib!$U$1:$U$13,$D120))*(1-p_amort)+p_sh_conc*P120</f>
        <v/>
      </c>
      <c r="X120" s="26">
        <f>V120/O120</f>
        <v/>
      </c>
      <c r="Y120" s="26">
        <f>INDEX(Calib!$K$1:$K$13,$D120)+p_eta*MAX(0,X120-INDEX(Calib!$AA$1:$AA$13,$D120))</f>
        <v/>
      </c>
      <c r="Z120" s="26">
        <f>(1-INDEX(Calib!$H$1:$H$13,$D120))*(1-p_alpha)*M120+S120</f>
        <v/>
      </c>
      <c r="AA120" s="26">
        <f>(1-p_delta_g)*AA119*(1-p_eps_g*$E120)+INDEX(Calib!$E$1:$E$13,$D120)*(INDEX(Calib!$G$1:$G$13,$D120)+p_programme*$H120)</f>
        <v/>
      </c>
      <c r="AB120" s="26">
        <f>AB119*(1-p_eps_k*$E120)+p_lambda_k*(AD120-AB119*(1-p_eps_k*$E120))</f>
        <v/>
      </c>
      <c r="AC120" s="26">
        <f>INDEX(Calib!$R$1:$R$13,$D120)*$F120*(AA119*(1-p_eps_g*$E120))^INDEX(Calib!$Q$1:$Q$13,$D120)*(AB119*(1-p_eps_k*$E120))^p_alpha</f>
        <v/>
      </c>
      <c r="AD120" s="26">
        <f>p_alpha*(1-INDEX(Calib!$H$1:$H$13,$D120))*AC120/(INDEX(Calib!$K$1:$K$13,$D120)+p_delta)</f>
        <v/>
      </c>
      <c r="AE120" s="26">
        <f>AC120+$G120</f>
        <v/>
      </c>
      <c r="AF120" s="26">
        <f>p_programme*($H120+$I120)</f>
        <v/>
      </c>
      <c r="AG120" s="26">
        <f>INDEX(Calib!$I$1:$I$13,$D120)+p_sh_grant*AF120</f>
        <v/>
      </c>
      <c r="AH120" s="26">
        <f>INDEX(Calib!$H$1:$H$13,$D120)*AC120+p_gov_take*$G120+AG120+p_programme*p_pricing*$J120</f>
        <v/>
      </c>
      <c r="AI120" s="26">
        <f>INDEX(Calib!$Y$1:$Y$13,$D120)-INDEX(Calib!$Z$1:$Z$13,$D120)*(AL119/AE119-INDEX(Calib!$AA$1:$AA$13,$D120))</f>
        <v/>
      </c>
      <c r="AJ120" s="26">
        <f>INDEX(Calib!$X$1:$X$13,$D120)+INDEX(Calib!$G$1:$G$13,$D120)+AF120+AI120-AH120</f>
        <v/>
      </c>
      <c r="AK120" s="26">
        <f>p_rk*AM119+AO119*(AL119-AM119)</f>
        <v/>
      </c>
      <c r="AL120" s="26">
        <f>AL119+AK120+AJ120</f>
        <v/>
      </c>
      <c r="AM120" s="26">
        <f>INDEX(Calib!$U$1:$U$13,$D120)+(AM119-INDEX(Calib!$U$1:$U$13,$D120))*(1-p_amort)+p_sh_conc*AF120</f>
        <v/>
      </c>
      <c r="AN120" s="26">
        <f>AL120/AE120</f>
        <v/>
      </c>
      <c r="AO120" s="26">
        <f>INDEX(Calib!$K$1:$K$13,$D120)+p_eta*MAX(0,AN120-INDEX(Calib!$AA$1:$AA$13,$D120))</f>
        <v/>
      </c>
      <c r="AP120" s="26">
        <f>(1-INDEX(Calib!$H$1:$H$13,$D120))*(1-p_alpha)*AC120+AI120</f>
        <v/>
      </c>
      <c r="AQ120" s="26">
        <f>(AE120/O120-1)*100</f>
        <v/>
      </c>
      <c r="AR120" s="26">
        <f>(AE120/AE110-1)*100</f>
        <v/>
      </c>
      <c r="AS120" s="26">
        <f>(O120/O110-1)*100</f>
        <v/>
      </c>
      <c r="AT120" s="26">
        <f>(AN120-X120)*100</f>
        <v/>
      </c>
      <c r="AU120" s="26">
        <f>(AP120/Z120-1)*100</f>
        <v/>
      </c>
      <c r="AV120" s="26">
        <f>(AI120-S120)*100</f>
        <v/>
      </c>
    </row>
    <row r="121">
      <c r="A121" s="25" t="inlineStr">
        <is>
          <t>ETH</t>
        </is>
      </c>
      <c r="B121" s="25" t="n">
        <v>2035</v>
      </c>
      <c r="C121" s="25" t="n">
        <v>11</v>
      </c>
      <c r="D121" s="25" t="n">
        <v>6</v>
      </c>
      <c r="E121" s="25">
        <f>IF(AND(p_dis_year&gt;0,B121=p_dis_year),1,0)</f>
        <v/>
      </c>
      <c r="F121" s="26">
        <f>IF(AND(p_dis_year&gt;0,B121&gt;=p_dis_year),1-p_eps_a*p_rho_a^(B121-p_dis_year),1)</f>
        <v/>
      </c>
      <c r="G121" s="26">
        <f>INDEX(Calib!$N$1:$N$13,$D121)*(1-p_rent_decline*MIN(1,C121/26))</f>
        <v/>
      </c>
      <c r="H121" s="26">
        <f>IF(C121=0,0,SUMIFS(dl_val,dl_iso,$A121,dl_ind,"pub_cap",dl_year,$B121)/100)</f>
        <v/>
      </c>
      <c r="I121" s="26">
        <f>IF(C121=0,0,SUMIFS(dl_val,dl_iso,$A121,dl_ind,"pub_spend",dl_year,$B121)/100)</f>
        <v/>
      </c>
      <c r="J121" s="26">
        <f>IF(C121=0,0,SUMIFS(dl_val,dl_iso,$A121,dl_ind,"rev",dl_year,$B121)/100)</f>
        <v/>
      </c>
      <c r="K121" s="26">
        <f>(1-p_delta_g)*K120*(1-p_eps_g*$E121)+INDEX(Calib!$E$1:$E$13,$D121)*(INDEX(Calib!$G$1:$G$13,$D121)+0*$H121)</f>
        <v/>
      </c>
      <c r="L121" s="26">
        <f>L120*(1-p_eps_k*$E121)+p_lambda_k*(N121-L120*(1-p_eps_k*$E121))</f>
        <v/>
      </c>
      <c r="M121" s="26">
        <f>INDEX(Calib!$R$1:$R$13,$D121)*$F121*(K120*(1-p_eps_g*$E121))^INDEX(Calib!$Q$1:$Q$13,$D121)*(L120*(1-p_eps_k*$E121))^p_alpha</f>
        <v/>
      </c>
      <c r="N121" s="26">
        <f>p_alpha*(1-INDEX(Calib!$H$1:$H$13,$D121))*M121/(INDEX(Calib!$K$1:$K$13,$D121)+p_delta)</f>
        <v/>
      </c>
      <c r="O121" s="26">
        <f>M121+$G121</f>
        <v/>
      </c>
      <c r="P121" s="26">
        <f>0*($H121+$I121)</f>
        <v/>
      </c>
      <c r="Q121" s="26">
        <f>INDEX(Calib!$I$1:$I$13,$D121)+p_sh_grant*P121</f>
        <v/>
      </c>
      <c r="R121" s="26">
        <f>INDEX(Calib!$H$1:$H$13,$D121)*M121+p_gov_take*$G121+Q121+0*p_pricing*$J121</f>
        <v/>
      </c>
      <c r="S121" s="26">
        <f>INDEX(Calib!$Y$1:$Y$13,$D121)-INDEX(Calib!$Z$1:$Z$13,$D121)*(V120/O120-INDEX(Calib!$AA$1:$AA$13,$D121))</f>
        <v/>
      </c>
      <c r="T121" s="26">
        <f>INDEX(Calib!$X$1:$X$13,$D121)+INDEX(Calib!$G$1:$G$13,$D121)+P121+S121-R121</f>
        <v/>
      </c>
      <c r="U121" s="26">
        <f>p_rk*W120+Y120*(V120-W120)</f>
        <v/>
      </c>
      <c r="V121" s="26">
        <f>V120+U121+T121</f>
        <v/>
      </c>
      <c r="W121" s="26">
        <f>INDEX(Calib!$U$1:$U$13,$D121)+(W120-INDEX(Calib!$U$1:$U$13,$D121))*(1-p_amort)+p_sh_conc*P121</f>
        <v/>
      </c>
      <c r="X121" s="26">
        <f>V121/O121</f>
        <v/>
      </c>
      <c r="Y121" s="26">
        <f>INDEX(Calib!$K$1:$K$13,$D121)+p_eta*MAX(0,X121-INDEX(Calib!$AA$1:$AA$13,$D121))</f>
        <v/>
      </c>
      <c r="Z121" s="26">
        <f>(1-INDEX(Calib!$H$1:$H$13,$D121))*(1-p_alpha)*M121+S121</f>
        <v/>
      </c>
      <c r="AA121" s="26">
        <f>(1-p_delta_g)*AA120*(1-p_eps_g*$E121)+INDEX(Calib!$E$1:$E$13,$D121)*(INDEX(Calib!$G$1:$G$13,$D121)+p_programme*$H121)</f>
        <v/>
      </c>
      <c r="AB121" s="26">
        <f>AB120*(1-p_eps_k*$E121)+p_lambda_k*(AD121-AB120*(1-p_eps_k*$E121))</f>
        <v/>
      </c>
      <c r="AC121" s="26">
        <f>INDEX(Calib!$R$1:$R$13,$D121)*$F121*(AA120*(1-p_eps_g*$E121))^INDEX(Calib!$Q$1:$Q$13,$D121)*(AB120*(1-p_eps_k*$E121))^p_alpha</f>
        <v/>
      </c>
      <c r="AD121" s="26">
        <f>p_alpha*(1-INDEX(Calib!$H$1:$H$13,$D121))*AC121/(INDEX(Calib!$K$1:$K$13,$D121)+p_delta)</f>
        <v/>
      </c>
      <c r="AE121" s="26">
        <f>AC121+$G121</f>
        <v/>
      </c>
      <c r="AF121" s="26">
        <f>p_programme*($H121+$I121)</f>
        <v/>
      </c>
      <c r="AG121" s="26">
        <f>INDEX(Calib!$I$1:$I$13,$D121)+p_sh_grant*AF121</f>
        <v/>
      </c>
      <c r="AH121" s="26">
        <f>INDEX(Calib!$H$1:$H$13,$D121)*AC121+p_gov_take*$G121+AG121+p_programme*p_pricing*$J121</f>
        <v/>
      </c>
      <c r="AI121" s="26">
        <f>INDEX(Calib!$Y$1:$Y$13,$D121)-INDEX(Calib!$Z$1:$Z$13,$D121)*(AL120/AE120-INDEX(Calib!$AA$1:$AA$13,$D121))</f>
        <v/>
      </c>
      <c r="AJ121" s="26">
        <f>INDEX(Calib!$X$1:$X$13,$D121)+INDEX(Calib!$G$1:$G$13,$D121)+AF121+AI121-AH121</f>
        <v/>
      </c>
      <c r="AK121" s="26">
        <f>p_rk*AM120+AO120*(AL120-AM120)</f>
        <v/>
      </c>
      <c r="AL121" s="26">
        <f>AL120+AK121+AJ121</f>
        <v/>
      </c>
      <c r="AM121" s="26">
        <f>INDEX(Calib!$U$1:$U$13,$D121)+(AM120-INDEX(Calib!$U$1:$U$13,$D121))*(1-p_amort)+p_sh_conc*AF121</f>
        <v/>
      </c>
      <c r="AN121" s="26">
        <f>AL121/AE121</f>
        <v/>
      </c>
      <c r="AO121" s="26">
        <f>INDEX(Calib!$K$1:$K$13,$D121)+p_eta*MAX(0,AN121-INDEX(Calib!$AA$1:$AA$13,$D121))</f>
        <v/>
      </c>
      <c r="AP121" s="26">
        <f>(1-INDEX(Calib!$H$1:$H$13,$D121))*(1-p_alpha)*AC121+AI121</f>
        <v/>
      </c>
      <c r="AQ121" s="26">
        <f>(AE121/O121-1)*100</f>
        <v/>
      </c>
      <c r="AR121" s="26">
        <f>(AE121/AE110-1)*100</f>
        <v/>
      </c>
      <c r="AS121" s="26">
        <f>(O121/O110-1)*100</f>
        <v/>
      </c>
      <c r="AT121" s="26">
        <f>(AN121-X121)*100</f>
        <v/>
      </c>
      <c r="AU121" s="26">
        <f>(AP121/Z121-1)*100</f>
        <v/>
      </c>
      <c r="AV121" s="26">
        <f>(AI121-S121)*100</f>
        <v/>
      </c>
    </row>
    <row r="122">
      <c r="A122" s="25" t="inlineStr">
        <is>
          <t>ETH</t>
        </is>
      </c>
      <c r="B122" s="25" t="n">
        <v>2036</v>
      </c>
      <c r="C122" s="25" t="n">
        <v>12</v>
      </c>
      <c r="D122" s="25" t="n">
        <v>6</v>
      </c>
      <c r="E122" s="25">
        <f>IF(AND(p_dis_year&gt;0,B122=p_dis_year),1,0)</f>
        <v/>
      </c>
      <c r="F122" s="26">
        <f>IF(AND(p_dis_year&gt;0,B122&gt;=p_dis_year),1-p_eps_a*p_rho_a^(B122-p_dis_year),1)</f>
        <v/>
      </c>
      <c r="G122" s="26">
        <f>INDEX(Calib!$N$1:$N$13,$D122)*(1-p_rent_decline*MIN(1,C122/26))</f>
        <v/>
      </c>
      <c r="H122" s="26">
        <f>IF(C122=0,0,SUMIFS(dl_val,dl_iso,$A122,dl_ind,"pub_cap",dl_year,$B122)/100)</f>
        <v/>
      </c>
      <c r="I122" s="26">
        <f>IF(C122=0,0,SUMIFS(dl_val,dl_iso,$A122,dl_ind,"pub_spend",dl_year,$B122)/100)</f>
        <v/>
      </c>
      <c r="J122" s="26">
        <f>IF(C122=0,0,SUMIFS(dl_val,dl_iso,$A122,dl_ind,"rev",dl_year,$B122)/100)</f>
        <v/>
      </c>
      <c r="K122" s="26">
        <f>(1-p_delta_g)*K121*(1-p_eps_g*$E122)+INDEX(Calib!$E$1:$E$13,$D122)*(INDEX(Calib!$G$1:$G$13,$D122)+0*$H122)</f>
        <v/>
      </c>
      <c r="L122" s="26">
        <f>L121*(1-p_eps_k*$E122)+p_lambda_k*(N122-L121*(1-p_eps_k*$E122))</f>
        <v/>
      </c>
      <c r="M122" s="26">
        <f>INDEX(Calib!$R$1:$R$13,$D122)*$F122*(K121*(1-p_eps_g*$E122))^INDEX(Calib!$Q$1:$Q$13,$D122)*(L121*(1-p_eps_k*$E122))^p_alpha</f>
        <v/>
      </c>
      <c r="N122" s="26">
        <f>p_alpha*(1-INDEX(Calib!$H$1:$H$13,$D122))*M122/(INDEX(Calib!$K$1:$K$13,$D122)+p_delta)</f>
        <v/>
      </c>
      <c r="O122" s="26">
        <f>M122+$G122</f>
        <v/>
      </c>
      <c r="P122" s="26">
        <f>0*($H122+$I122)</f>
        <v/>
      </c>
      <c r="Q122" s="26">
        <f>INDEX(Calib!$I$1:$I$13,$D122)+p_sh_grant*P122</f>
        <v/>
      </c>
      <c r="R122" s="26">
        <f>INDEX(Calib!$H$1:$H$13,$D122)*M122+p_gov_take*$G122+Q122+0*p_pricing*$J122</f>
        <v/>
      </c>
      <c r="S122" s="26">
        <f>INDEX(Calib!$Y$1:$Y$13,$D122)-INDEX(Calib!$Z$1:$Z$13,$D122)*(V121/O121-INDEX(Calib!$AA$1:$AA$13,$D122))</f>
        <v/>
      </c>
      <c r="T122" s="26">
        <f>INDEX(Calib!$X$1:$X$13,$D122)+INDEX(Calib!$G$1:$G$13,$D122)+P122+S122-R122</f>
        <v/>
      </c>
      <c r="U122" s="26">
        <f>p_rk*W121+Y121*(V121-W121)</f>
        <v/>
      </c>
      <c r="V122" s="26">
        <f>V121+U122+T122</f>
        <v/>
      </c>
      <c r="W122" s="26">
        <f>INDEX(Calib!$U$1:$U$13,$D122)+(W121-INDEX(Calib!$U$1:$U$13,$D122))*(1-p_amort)+p_sh_conc*P122</f>
        <v/>
      </c>
      <c r="X122" s="26">
        <f>V122/O122</f>
        <v/>
      </c>
      <c r="Y122" s="26">
        <f>INDEX(Calib!$K$1:$K$13,$D122)+p_eta*MAX(0,X122-INDEX(Calib!$AA$1:$AA$13,$D122))</f>
        <v/>
      </c>
      <c r="Z122" s="26">
        <f>(1-INDEX(Calib!$H$1:$H$13,$D122))*(1-p_alpha)*M122+S122</f>
        <v/>
      </c>
      <c r="AA122" s="26">
        <f>(1-p_delta_g)*AA121*(1-p_eps_g*$E122)+INDEX(Calib!$E$1:$E$13,$D122)*(INDEX(Calib!$G$1:$G$13,$D122)+p_programme*$H122)</f>
        <v/>
      </c>
      <c r="AB122" s="26">
        <f>AB121*(1-p_eps_k*$E122)+p_lambda_k*(AD122-AB121*(1-p_eps_k*$E122))</f>
        <v/>
      </c>
      <c r="AC122" s="26">
        <f>INDEX(Calib!$R$1:$R$13,$D122)*$F122*(AA121*(1-p_eps_g*$E122))^INDEX(Calib!$Q$1:$Q$13,$D122)*(AB121*(1-p_eps_k*$E122))^p_alpha</f>
        <v/>
      </c>
      <c r="AD122" s="26">
        <f>p_alpha*(1-INDEX(Calib!$H$1:$H$13,$D122))*AC122/(INDEX(Calib!$K$1:$K$13,$D122)+p_delta)</f>
        <v/>
      </c>
      <c r="AE122" s="26">
        <f>AC122+$G122</f>
        <v/>
      </c>
      <c r="AF122" s="26">
        <f>p_programme*($H122+$I122)</f>
        <v/>
      </c>
      <c r="AG122" s="26">
        <f>INDEX(Calib!$I$1:$I$13,$D122)+p_sh_grant*AF122</f>
        <v/>
      </c>
      <c r="AH122" s="26">
        <f>INDEX(Calib!$H$1:$H$13,$D122)*AC122+p_gov_take*$G122+AG122+p_programme*p_pricing*$J122</f>
        <v/>
      </c>
      <c r="AI122" s="26">
        <f>INDEX(Calib!$Y$1:$Y$13,$D122)-INDEX(Calib!$Z$1:$Z$13,$D122)*(AL121/AE121-INDEX(Calib!$AA$1:$AA$13,$D122))</f>
        <v/>
      </c>
      <c r="AJ122" s="26">
        <f>INDEX(Calib!$X$1:$X$13,$D122)+INDEX(Calib!$G$1:$G$13,$D122)+AF122+AI122-AH122</f>
        <v/>
      </c>
      <c r="AK122" s="26">
        <f>p_rk*AM121+AO121*(AL121-AM121)</f>
        <v/>
      </c>
      <c r="AL122" s="26">
        <f>AL121+AK122+AJ122</f>
        <v/>
      </c>
      <c r="AM122" s="26">
        <f>INDEX(Calib!$U$1:$U$13,$D122)+(AM121-INDEX(Calib!$U$1:$U$13,$D122))*(1-p_amort)+p_sh_conc*AF122</f>
        <v/>
      </c>
      <c r="AN122" s="26">
        <f>AL122/AE122</f>
        <v/>
      </c>
      <c r="AO122" s="26">
        <f>INDEX(Calib!$K$1:$K$13,$D122)+p_eta*MAX(0,AN122-INDEX(Calib!$AA$1:$AA$13,$D122))</f>
        <v/>
      </c>
      <c r="AP122" s="26">
        <f>(1-INDEX(Calib!$H$1:$H$13,$D122))*(1-p_alpha)*AC122+AI122</f>
        <v/>
      </c>
      <c r="AQ122" s="26">
        <f>(AE122/O122-1)*100</f>
        <v/>
      </c>
      <c r="AR122" s="26">
        <f>(AE122/AE110-1)*100</f>
        <v/>
      </c>
      <c r="AS122" s="26">
        <f>(O122/O110-1)*100</f>
        <v/>
      </c>
      <c r="AT122" s="26">
        <f>(AN122-X122)*100</f>
        <v/>
      </c>
      <c r="AU122" s="26">
        <f>(AP122/Z122-1)*100</f>
        <v/>
      </c>
      <c r="AV122" s="26">
        <f>(AI122-S122)*100</f>
        <v/>
      </c>
    </row>
    <row r="123">
      <c r="A123" s="25" t="inlineStr">
        <is>
          <t>ETH</t>
        </is>
      </c>
      <c r="B123" s="25" t="n">
        <v>2037</v>
      </c>
      <c r="C123" s="25" t="n">
        <v>13</v>
      </c>
      <c r="D123" s="25" t="n">
        <v>6</v>
      </c>
      <c r="E123" s="25">
        <f>IF(AND(p_dis_year&gt;0,B123=p_dis_year),1,0)</f>
        <v/>
      </c>
      <c r="F123" s="26">
        <f>IF(AND(p_dis_year&gt;0,B123&gt;=p_dis_year),1-p_eps_a*p_rho_a^(B123-p_dis_year),1)</f>
        <v/>
      </c>
      <c r="G123" s="26">
        <f>INDEX(Calib!$N$1:$N$13,$D123)*(1-p_rent_decline*MIN(1,C123/26))</f>
        <v/>
      </c>
      <c r="H123" s="26">
        <f>IF(C123=0,0,SUMIFS(dl_val,dl_iso,$A123,dl_ind,"pub_cap",dl_year,$B123)/100)</f>
        <v/>
      </c>
      <c r="I123" s="26">
        <f>IF(C123=0,0,SUMIFS(dl_val,dl_iso,$A123,dl_ind,"pub_spend",dl_year,$B123)/100)</f>
        <v/>
      </c>
      <c r="J123" s="26">
        <f>IF(C123=0,0,SUMIFS(dl_val,dl_iso,$A123,dl_ind,"rev",dl_year,$B123)/100)</f>
        <v/>
      </c>
      <c r="K123" s="26">
        <f>(1-p_delta_g)*K122*(1-p_eps_g*$E123)+INDEX(Calib!$E$1:$E$13,$D123)*(INDEX(Calib!$G$1:$G$13,$D123)+0*$H123)</f>
        <v/>
      </c>
      <c r="L123" s="26">
        <f>L122*(1-p_eps_k*$E123)+p_lambda_k*(N123-L122*(1-p_eps_k*$E123))</f>
        <v/>
      </c>
      <c r="M123" s="26">
        <f>INDEX(Calib!$R$1:$R$13,$D123)*$F123*(K122*(1-p_eps_g*$E123))^INDEX(Calib!$Q$1:$Q$13,$D123)*(L122*(1-p_eps_k*$E123))^p_alpha</f>
        <v/>
      </c>
      <c r="N123" s="26">
        <f>p_alpha*(1-INDEX(Calib!$H$1:$H$13,$D123))*M123/(INDEX(Calib!$K$1:$K$13,$D123)+p_delta)</f>
        <v/>
      </c>
      <c r="O123" s="26">
        <f>M123+$G123</f>
        <v/>
      </c>
      <c r="P123" s="26">
        <f>0*($H123+$I123)</f>
        <v/>
      </c>
      <c r="Q123" s="26">
        <f>INDEX(Calib!$I$1:$I$13,$D123)+p_sh_grant*P123</f>
        <v/>
      </c>
      <c r="R123" s="26">
        <f>INDEX(Calib!$H$1:$H$13,$D123)*M123+p_gov_take*$G123+Q123+0*p_pricing*$J123</f>
        <v/>
      </c>
      <c r="S123" s="26">
        <f>INDEX(Calib!$Y$1:$Y$13,$D123)-INDEX(Calib!$Z$1:$Z$13,$D123)*(V122/O122-INDEX(Calib!$AA$1:$AA$13,$D123))</f>
        <v/>
      </c>
      <c r="T123" s="26">
        <f>INDEX(Calib!$X$1:$X$13,$D123)+INDEX(Calib!$G$1:$G$13,$D123)+P123+S123-R123</f>
        <v/>
      </c>
      <c r="U123" s="26">
        <f>p_rk*W122+Y122*(V122-W122)</f>
        <v/>
      </c>
      <c r="V123" s="26">
        <f>V122+U123+T123</f>
        <v/>
      </c>
      <c r="W123" s="26">
        <f>INDEX(Calib!$U$1:$U$13,$D123)+(W122-INDEX(Calib!$U$1:$U$13,$D123))*(1-p_amort)+p_sh_conc*P123</f>
        <v/>
      </c>
      <c r="X123" s="26">
        <f>V123/O123</f>
        <v/>
      </c>
      <c r="Y123" s="26">
        <f>INDEX(Calib!$K$1:$K$13,$D123)+p_eta*MAX(0,X123-INDEX(Calib!$AA$1:$AA$13,$D123))</f>
        <v/>
      </c>
      <c r="Z123" s="26">
        <f>(1-INDEX(Calib!$H$1:$H$13,$D123))*(1-p_alpha)*M123+S123</f>
        <v/>
      </c>
      <c r="AA123" s="26">
        <f>(1-p_delta_g)*AA122*(1-p_eps_g*$E123)+INDEX(Calib!$E$1:$E$13,$D123)*(INDEX(Calib!$G$1:$G$13,$D123)+p_programme*$H123)</f>
        <v/>
      </c>
      <c r="AB123" s="26">
        <f>AB122*(1-p_eps_k*$E123)+p_lambda_k*(AD123-AB122*(1-p_eps_k*$E123))</f>
        <v/>
      </c>
      <c r="AC123" s="26">
        <f>INDEX(Calib!$R$1:$R$13,$D123)*$F123*(AA122*(1-p_eps_g*$E123))^INDEX(Calib!$Q$1:$Q$13,$D123)*(AB122*(1-p_eps_k*$E123))^p_alpha</f>
        <v/>
      </c>
      <c r="AD123" s="26">
        <f>p_alpha*(1-INDEX(Calib!$H$1:$H$13,$D123))*AC123/(INDEX(Calib!$K$1:$K$13,$D123)+p_delta)</f>
        <v/>
      </c>
      <c r="AE123" s="26">
        <f>AC123+$G123</f>
        <v/>
      </c>
      <c r="AF123" s="26">
        <f>p_programme*($H123+$I123)</f>
        <v/>
      </c>
      <c r="AG123" s="26">
        <f>INDEX(Calib!$I$1:$I$13,$D123)+p_sh_grant*AF123</f>
        <v/>
      </c>
      <c r="AH123" s="26">
        <f>INDEX(Calib!$H$1:$H$13,$D123)*AC123+p_gov_take*$G123+AG123+p_programme*p_pricing*$J123</f>
        <v/>
      </c>
      <c r="AI123" s="26">
        <f>INDEX(Calib!$Y$1:$Y$13,$D123)-INDEX(Calib!$Z$1:$Z$13,$D123)*(AL122/AE122-INDEX(Calib!$AA$1:$AA$13,$D123))</f>
        <v/>
      </c>
      <c r="AJ123" s="26">
        <f>INDEX(Calib!$X$1:$X$13,$D123)+INDEX(Calib!$G$1:$G$13,$D123)+AF123+AI123-AH123</f>
        <v/>
      </c>
      <c r="AK123" s="26">
        <f>p_rk*AM122+AO122*(AL122-AM122)</f>
        <v/>
      </c>
      <c r="AL123" s="26">
        <f>AL122+AK123+AJ123</f>
        <v/>
      </c>
      <c r="AM123" s="26">
        <f>INDEX(Calib!$U$1:$U$13,$D123)+(AM122-INDEX(Calib!$U$1:$U$13,$D123))*(1-p_amort)+p_sh_conc*AF123</f>
        <v/>
      </c>
      <c r="AN123" s="26">
        <f>AL123/AE123</f>
        <v/>
      </c>
      <c r="AO123" s="26">
        <f>INDEX(Calib!$K$1:$K$13,$D123)+p_eta*MAX(0,AN123-INDEX(Calib!$AA$1:$AA$13,$D123))</f>
        <v/>
      </c>
      <c r="AP123" s="26">
        <f>(1-INDEX(Calib!$H$1:$H$13,$D123))*(1-p_alpha)*AC123+AI123</f>
        <v/>
      </c>
      <c r="AQ123" s="26">
        <f>(AE123/O123-1)*100</f>
        <v/>
      </c>
      <c r="AR123" s="26">
        <f>(AE123/AE110-1)*100</f>
        <v/>
      </c>
      <c r="AS123" s="26">
        <f>(O123/O110-1)*100</f>
        <v/>
      </c>
      <c r="AT123" s="26">
        <f>(AN123-X123)*100</f>
        <v/>
      </c>
      <c r="AU123" s="26">
        <f>(AP123/Z123-1)*100</f>
        <v/>
      </c>
      <c r="AV123" s="26">
        <f>(AI123-S123)*100</f>
        <v/>
      </c>
    </row>
    <row r="124">
      <c r="A124" s="25" t="inlineStr">
        <is>
          <t>ETH</t>
        </is>
      </c>
      <c r="B124" s="25" t="n">
        <v>2038</v>
      </c>
      <c r="C124" s="25" t="n">
        <v>14</v>
      </c>
      <c r="D124" s="25" t="n">
        <v>6</v>
      </c>
      <c r="E124" s="25">
        <f>IF(AND(p_dis_year&gt;0,B124=p_dis_year),1,0)</f>
        <v/>
      </c>
      <c r="F124" s="26">
        <f>IF(AND(p_dis_year&gt;0,B124&gt;=p_dis_year),1-p_eps_a*p_rho_a^(B124-p_dis_year),1)</f>
        <v/>
      </c>
      <c r="G124" s="26">
        <f>INDEX(Calib!$N$1:$N$13,$D124)*(1-p_rent_decline*MIN(1,C124/26))</f>
        <v/>
      </c>
      <c r="H124" s="26">
        <f>IF(C124=0,0,SUMIFS(dl_val,dl_iso,$A124,dl_ind,"pub_cap",dl_year,$B124)/100)</f>
        <v/>
      </c>
      <c r="I124" s="26">
        <f>IF(C124=0,0,SUMIFS(dl_val,dl_iso,$A124,dl_ind,"pub_spend",dl_year,$B124)/100)</f>
        <v/>
      </c>
      <c r="J124" s="26">
        <f>IF(C124=0,0,SUMIFS(dl_val,dl_iso,$A124,dl_ind,"rev",dl_year,$B124)/100)</f>
        <v/>
      </c>
      <c r="K124" s="26">
        <f>(1-p_delta_g)*K123*(1-p_eps_g*$E124)+INDEX(Calib!$E$1:$E$13,$D124)*(INDEX(Calib!$G$1:$G$13,$D124)+0*$H124)</f>
        <v/>
      </c>
      <c r="L124" s="26">
        <f>L123*(1-p_eps_k*$E124)+p_lambda_k*(N124-L123*(1-p_eps_k*$E124))</f>
        <v/>
      </c>
      <c r="M124" s="26">
        <f>INDEX(Calib!$R$1:$R$13,$D124)*$F124*(K123*(1-p_eps_g*$E124))^INDEX(Calib!$Q$1:$Q$13,$D124)*(L123*(1-p_eps_k*$E124))^p_alpha</f>
        <v/>
      </c>
      <c r="N124" s="26">
        <f>p_alpha*(1-INDEX(Calib!$H$1:$H$13,$D124))*M124/(INDEX(Calib!$K$1:$K$13,$D124)+p_delta)</f>
        <v/>
      </c>
      <c r="O124" s="26">
        <f>M124+$G124</f>
        <v/>
      </c>
      <c r="P124" s="26">
        <f>0*($H124+$I124)</f>
        <v/>
      </c>
      <c r="Q124" s="26">
        <f>INDEX(Calib!$I$1:$I$13,$D124)+p_sh_grant*P124</f>
        <v/>
      </c>
      <c r="R124" s="26">
        <f>INDEX(Calib!$H$1:$H$13,$D124)*M124+p_gov_take*$G124+Q124+0*p_pricing*$J124</f>
        <v/>
      </c>
      <c r="S124" s="26">
        <f>INDEX(Calib!$Y$1:$Y$13,$D124)-INDEX(Calib!$Z$1:$Z$13,$D124)*(V123/O123-INDEX(Calib!$AA$1:$AA$13,$D124))</f>
        <v/>
      </c>
      <c r="T124" s="26">
        <f>INDEX(Calib!$X$1:$X$13,$D124)+INDEX(Calib!$G$1:$G$13,$D124)+P124+S124-R124</f>
        <v/>
      </c>
      <c r="U124" s="26">
        <f>p_rk*W123+Y123*(V123-W123)</f>
        <v/>
      </c>
      <c r="V124" s="26">
        <f>V123+U124+T124</f>
        <v/>
      </c>
      <c r="W124" s="26">
        <f>INDEX(Calib!$U$1:$U$13,$D124)+(W123-INDEX(Calib!$U$1:$U$13,$D124))*(1-p_amort)+p_sh_conc*P124</f>
        <v/>
      </c>
      <c r="X124" s="26">
        <f>V124/O124</f>
        <v/>
      </c>
      <c r="Y124" s="26">
        <f>INDEX(Calib!$K$1:$K$13,$D124)+p_eta*MAX(0,X124-INDEX(Calib!$AA$1:$AA$13,$D124))</f>
        <v/>
      </c>
      <c r="Z124" s="26">
        <f>(1-INDEX(Calib!$H$1:$H$13,$D124))*(1-p_alpha)*M124+S124</f>
        <v/>
      </c>
      <c r="AA124" s="26">
        <f>(1-p_delta_g)*AA123*(1-p_eps_g*$E124)+INDEX(Calib!$E$1:$E$13,$D124)*(INDEX(Calib!$G$1:$G$13,$D124)+p_programme*$H124)</f>
        <v/>
      </c>
      <c r="AB124" s="26">
        <f>AB123*(1-p_eps_k*$E124)+p_lambda_k*(AD124-AB123*(1-p_eps_k*$E124))</f>
        <v/>
      </c>
      <c r="AC124" s="26">
        <f>INDEX(Calib!$R$1:$R$13,$D124)*$F124*(AA123*(1-p_eps_g*$E124))^INDEX(Calib!$Q$1:$Q$13,$D124)*(AB123*(1-p_eps_k*$E124))^p_alpha</f>
        <v/>
      </c>
      <c r="AD124" s="26">
        <f>p_alpha*(1-INDEX(Calib!$H$1:$H$13,$D124))*AC124/(INDEX(Calib!$K$1:$K$13,$D124)+p_delta)</f>
        <v/>
      </c>
      <c r="AE124" s="26">
        <f>AC124+$G124</f>
        <v/>
      </c>
      <c r="AF124" s="26">
        <f>p_programme*($H124+$I124)</f>
        <v/>
      </c>
      <c r="AG124" s="26">
        <f>INDEX(Calib!$I$1:$I$13,$D124)+p_sh_grant*AF124</f>
        <v/>
      </c>
      <c r="AH124" s="26">
        <f>INDEX(Calib!$H$1:$H$13,$D124)*AC124+p_gov_take*$G124+AG124+p_programme*p_pricing*$J124</f>
        <v/>
      </c>
      <c r="AI124" s="26">
        <f>INDEX(Calib!$Y$1:$Y$13,$D124)-INDEX(Calib!$Z$1:$Z$13,$D124)*(AL123/AE123-INDEX(Calib!$AA$1:$AA$13,$D124))</f>
        <v/>
      </c>
      <c r="AJ124" s="26">
        <f>INDEX(Calib!$X$1:$X$13,$D124)+INDEX(Calib!$G$1:$G$13,$D124)+AF124+AI124-AH124</f>
        <v/>
      </c>
      <c r="AK124" s="26">
        <f>p_rk*AM123+AO123*(AL123-AM123)</f>
        <v/>
      </c>
      <c r="AL124" s="26">
        <f>AL123+AK124+AJ124</f>
        <v/>
      </c>
      <c r="AM124" s="26">
        <f>INDEX(Calib!$U$1:$U$13,$D124)+(AM123-INDEX(Calib!$U$1:$U$13,$D124))*(1-p_amort)+p_sh_conc*AF124</f>
        <v/>
      </c>
      <c r="AN124" s="26">
        <f>AL124/AE124</f>
        <v/>
      </c>
      <c r="AO124" s="26">
        <f>INDEX(Calib!$K$1:$K$13,$D124)+p_eta*MAX(0,AN124-INDEX(Calib!$AA$1:$AA$13,$D124))</f>
        <v/>
      </c>
      <c r="AP124" s="26">
        <f>(1-INDEX(Calib!$H$1:$H$13,$D124))*(1-p_alpha)*AC124+AI124</f>
        <v/>
      </c>
      <c r="AQ124" s="26">
        <f>(AE124/O124-1)*100</f>
        <v/>
      </c>
      <c r="AR124" s="26">
        <f>(AE124/AE110-1)*100</f>
        <v/>
      </c>
      <c r="AS124" s="26">
        <f>(O124/O110-1)*100</f>
        <v/>
      </c>
      <c r="AT124" s="26">
        <f>(AN124-X124)*100</f>
        <v/>
      </c>
      <c r="AU124" s="26">
        <f>(AP124/Z124-1)*100</f>
        <v/>
      </c>
      <c r="AV124" s="26">
        <f>(AI124-S124)*100</f>
        <v/>
      </c>
    </row>
    <row r="125">
      <c r="A125" s="25" t="inlineStr">
        <is>
          <t>ETH</t>
        </is>
      </c>
      <c r="B125" s="25" t="n">
        <v>2039</v>
      </c>
      <c r="C125" s="25" t="n">
        <v>15</v>
      </c>
      <c r="D125" s="25" t="n">
        <v>6</v>
      </c>
      <c r="E125" s="25">
        <f>IF(AND(p_dis_year&gt;0,B125=p_dis_year),1,0)</f>
        <v/>
      </c>
      <c r="F125" s="26">
        <f>IF(AND(p_dis_year&gt;0,B125&gt;=p_dis_year),1-p_eps_a*p_rho_a^(B125-p_dis_year),1)</f>
        <v/>
      </c>
      <c r="G125" s="26">
        <f>INDEX(Calib!$N$1:$N$13,$D125)*(1-p_rent_decline*MIN(1,C125/26))</f>
        <v/>
      </c>
      <c r="H125" s="26">
        <f>IF(C125=0,0,SUMIFS(dl_val,dl_iso,$A125,dl_ind,"pub_cap",dl_year,$B125)/100)</f>
        <v/>
      </c>
      <c r="I125" s="26">
        <f>IF(C125=0,0,SUMIFS(dl_val,dl_iso,$A125,dl_ind,"pub_spend",dl_year,$B125)/100)</f>
        <v/>
      </c>
      <c r="J125" s="26">
        <f>IF(C125=0,0,SUMIFS(dl_val,dl_iso,$A125,dl_ind,"rev",dl_year,$B125)/100)</f>
        <v/>
      </c>
      <c r="K125" s="26">
        <f>(1-p_delta_g)*K124*(1-p_eps_g*$E125)+INDEX(Calib!$E$1:$E$13,$D125)*(INDEX(Calib!$G$1:$G$13,$D125)+0*$H125)</f>
        <v/>
      </c>
      <c r="L125" s="26">
        <f>L124*(1-p_eps_k*$E125)+p_lambda_k*(N125-L124*(1-p_eps_k*$E125))</f>
        <v/>
      </c>
      <c r="M125" s="26">
        <f>INDEX(Calib!$R$1:$R$13,$D125)*$F125*(K124*(1-p_eps_g*$E125))^INDEX(Calib!$Q$1:$Q$13,$D125)*(L124*(1-p_eps_k*$E125))^p_alpha</f>
        <v/>
      </c>
      <c r="N125" s="26">
        <f>p_alpha*(1-INDEX(Calib!$H$1:$H$13,$D125))*M125/(INDEX(Calib!$K$1:$K$13,$D125)+p_delta)</f>
        <v/>
      </c>
      <c r="O125" s="26">
        <f>M125+$G125</f>
        <v/>
      </c>
      <c r="P125" s="26">
        <f>0*($H125+$I125)</f>
        <v/>
      </c>
      <c r="Q125" s="26">
        <f>INDEX(Calib!$I$1:$I$13,$D125)+p_sh_grant*P125</f>
        <v/>
      </c>
      <c r="R125" s="26">
        <f>INDEX(Calib!$H$1:$H$13,$D125)*M125+p_gov_take*$G125+Q125+0*p_pricing*$J125</f>
        <v/>
      </c>
      <c r="S125" s="26">
        <f>INDEX(Calib!$Y$1:$Y$13,$D125)-INDEX(Calib!$Z$1:$Z$13,$D125)*(V124/O124-INDEX(Calib!$AA$1:$AA$13,$D125))</f>
        <v/>
      </c>
      <c r="T125" s="26">
        <f>INDEX(Calib!$X$1:$X$13,$D125)+INDEX(Calib!$G$1:$G$13,$D125)+P125+S125-R125</f>
        <v/>
      </c>
      <c r="U125" s="26">
        <f>p_rk*W124+Y124*(V124-W124)</f>
        <v/>
      </c>
      <c r="V125" s="26">
        <f>V124+U125+T125</f>
        <v/>
      </c>
      <c r="W125" s="26">
        <f>INDEX(Calib!$U$1:$U$13,$D125)+(W124-INDEX(Calib!$U$1:$U$13,$D125))*(1-p_amort)+p_sh_conc*P125</f>
        <v/>
      </c>
      <c r="X125" s="26">
        <f>V125/O125</f>
        <v/>
      </c>
      <c r="Y125" s="26">
        <f>INDEX(Calib!$K$1:$K$13,$D125)+p_eta*MAX(0,X125-INDEX(Calib!$AA$1:$AA$13,$D125))</f>
        <v/>
      </c>
      <c r="Z125" s="26">
        <f>(1-INDEX(Calib!$H$1:$H$13,$D125))*(1-p_alpha)*M125+S125</f>
        <v/>
      </c>
      <c r="AA125" s="26">
        <f>(1-p_delta_g)*AA124*(1-p_eps_g*$E125)+INDEX(Calib!$E$1:$E$13,$D125)*(INDEX(Calib!$G$1:$G$13,$D125)+p_programme*$H125)</f>
        <v/>
      </c>
      <c r="AB125" s="26">
        <f>AB124*(1-p_eps_k*$E125)+p_lambda_k*(AD125-AB124*(1-p_eps_k*$E125))</f>
        <v/>
      </c>
      <c r="AC125" s="26">
        <f>INDEX(Calib!$R$1:$R$13,$D125)*$F125*(AA124*(1-p_eps_g*$E125))^INDEX(Calib!$Q$1:$Q$13,$D125)*(AB124*(1-p_eps_k*$E125))^p_alpha</f>
        <v/>
      </c>
      <c r="AD125" s="26">
        <f>p_alpha*(1-INDEX(Calib!$H$1:$H$13,$D125))*AC125/(INDEX(Calib!$K$1:$K$13,$D125)+p_delta)</f>
        <v/>
      </c>
      <c r="AE125" s="26">
        <f>AC125+$G125</f>
        <v/>
      </c>
      <c r="AF125" s="26">
        <f>p_programme*($H125+$I125)</f>
        <v/>
      </c>
      <c r="AG125" s="26">
        <f>INDEX(Calib!$I$1:$I$13,$D125)+p_sh_grant*AF125</f>
        <v/>
      </c>
      <c r="AH125" s="26">
        <f>INDEX(Calib!$H$1:$H$13,$D125)*AC125+p_gov_take*$G125+AG125+p_programme*p_pricing*$J125</f>
        <v/>
      </c>
      <c r="AI125" s="26">
        <f>INDEX(Calib!$Y$1:$Y$13,$D125)-INDEX(Calib!$Z$1:$Z$13,$D125)*(AL124/AE124-INDEX(Calib!$AA$1:$AA$13,$D125))</f>
        <v/>
      </c>
      <c r="AJ125" s="26">
        <f>INDEX(Calib!$X$1:$X$13,$D125)+INDEX(Calib!$G$1:$G$13,$D125)+AF125+AI125-AH125</f>
        <v/>
      </c>
      <c r="AK125" s="26">
        <f>p_rk*AM124+AO124*(AL124-AM124)</f>
        <v/>
      </c>
      <c r="AL125" s="26">
        <f>AL124+AK125+AJ125</f>
        <v/>
      </c>
      <c r="AM125" s="26">
        <f>INDEX(Calib!$U$1:$U$13,$D125)+(AM124-INDEX(Calib!$U$1:$U$13,$D125))*(1-p_amort)+p_sh_conc*AF125</f>
        <v/>
      </c>
      <c r="AN125" s="26">
        <f>AL125/AE125</f>
        <v/>
      </c>
      <c r="AO125" s="26">
        <f>INDEX(Calib!$K$1:$K$13,$D125)+p_eta*MAX(0,AN125-INDEX(Calib!$AA$1:$AA$13,$D125))</f>
        <v/>
      </c>
      <c r="AP125" s="26">
        <f>(1-INDEX(Calib!$H$1:$H$13,$D125))*(1-p_alpha)*AC125+AI125</f>
        <v/>
      </c>
      <c r="AQ125" s="26">
        <f>(AE125/O125-1)*100</f>
        <v/>
      </c>
      <c r="AR125" s="26">
        <f>(AE125/AE110-1)*100</f>
        <v/>
      </c>
      <c r="AS125" s="26">
        <f>(O125/O110-1)*100</f>
        <v/>
      </c>
      <c r="AT125" s="26">
        <f>(AN125-X125)*100</f>
        <v/>
      </c>
      <c r="AU125" s="26">
        <f>(AP125/Z125-1)*100</f>
        <v/>
      </c>
      <c r="AV125" s="26">
        <f>(AI125-S125)*100</f>
        <v/>
      </c>
    </row>
    <row r="126">
      <c r="A126" s="25" t="inlineStr">
        <is>
          <t>ETH</t>
        </is>
      </c>
      <c r="B126" s="25" t="n">
        <v>2040</v>
      </c>
      <c r="C126" s="25" t="n">
        <v>16</v>
      </c>
      <c r="D126" s="25" t="n">
        <v>6</v>
      </c>
      <c r="E126" s="25">
        <f>IF(AND(p_dis_year&gt;0,B126=p_dis_year),1,0)</f>
        <v/>
      </c>
      <c r="F126" s="26">
        <f>IF(AND(p_dis_year&gt;0,B126&gt;=p_dis_year),1-p_eps_a*p_rho_a^(B126-p_dis_year),1)</f>
        <v/>
      </c>
      <c r="G126" s="26">
        <f>INDEX(Calib!$N$1:$N$13,$D126)*(1-p_rent_decline*MIN(1,C126/26))</f>
        <v/>
      </c>
      <c r="H126" s="26">
        <f>IF(C126=0,0,SUMIFS(dl_val,dl_iso,$A126,dl_ind,"pub_cap",dl_year,$B126)/100)</f>
        <v/>
      </c>
      <c r="I126" s="26">
        <f>IF(C126=0,0,SUMIFS(dl_val,dl_iso,$A126,dl_ind,"pub_spend",dl_year,$B126)/100)</f>
        <v/>
      </c>
      <c r="J126" s="26">
        <f>IF(C126=0,0,SUMIFS(dl_val,dl_iso,$A126,dl_ind,"rev",dl_year,$B126)/100)</f>
        <v/>
      </c>
      <c r="K126" s="26">
        <f>(1-p_delta_g)*K125*(1-p_eps_g*$E126)+INDEX(Calib!$E$1:$E$13,$D126)*(INDEX(Calib!$G$1:$G$13,$D126)+0*$H126)</f>
        <v/>
      </c>
      <c r="L126" s="26">
        <f>L125*(1-p_eps_k*$E126)+p_lambda_k*(N126-L125*(1-p_eps_k*$E126))</f>
        <v/>
      </c>
      <c r="M126" s="26">
        <f>INDEX(Calib!$R$1:$R$13,$D126)*$F126*(K125*(1-p_eps_g*$E126))^INDEX(Calib!$Q$1:$Q$13,$D126)*(L125*(1-p_eps_k*$E126))^p_alpha</f>
        <v/>
      </c>
      <c r="N126" s="26">
        <f>p_alpha*(1-INDEX(Calib!$H$1:$H$13,$D126))*M126/(INDEX(Calib!$K$1:$K$13,$D126)+p_delta)</f>
        <v/>
      </c>
      <c r="O126" s="26">
        <f>M126+$G126</f>
        <v/>
      </c>
      <c r="P126" s="26">
        <f>0*($H126+$I126)</f>
        <v/>
      </c>
      <c r="Q126" s="26">
        <f>INDEX(Calib!$I$1:$I$13,$D126)+p_sh_grant*P126</f>
        <v/>
      </c>
      <c r="R126" s="26">
        <f>INDEX(Calib!$H$1:$H$13,$D126)*M126+p_gov_take*$G126+Q126+0*p_pricing*$J126</f>
        <v/>
      </c>
      <c r="S126" s="26">
        <f>INDEX(Calib!$Y$1:$Y$13,$D126)-INDEX(Calib!$Z$1:$Z$13,$D126)*(V125/O125-INDEX(Calib!$AA$1:$AA$13,$D126))</f>
        <v/>
      </c>
      <c r="T126" s="26">
        <f>INDEX(Calib!$X$1:$X$13,$D126)+INDEX(Calib!$G$1:$G$13,$D126)+P126+S126-R126</f>
        <v/>
      </c>
      <c r="U126" s="26">
        <f>p_rk*W125+Y125*(V125-W125)</f>
        <v/>
      </c>
      <c r="V126" s="26">
        <f>V125+U126+T126</f>
        <v/>
      </c>
      <c r="W126" s="26">
        <f>INDEX(Calib!$U$1:$U$13,$D126)+(W125-INDEX(Calib!$U$1:$U$13,$D126))*(1-p_amort)+p_sh_conc*P126</f>
        <v/>
      </c>
      <c r="X126" s="26">
        <f>V126/O126</f>
        <v/>
      </c>
      <c r="Y126" s="26">
        <f>INDEX(Calib!$K$1:$K$13,$D126)+p_eta*MAX(0,X126-INDEX(Calib!$AA$1:$AA$13,$D126))</f>
        <v/>
      </c>
      <c r="Z126" s="26">
        <f>(1-INDEX(Calib!$H$1:$H$13,$D126))*(1-p_alpha)*M126+S126</f>
        <v/>
      </c>
      <c r="AA126" s="26">
        <f>(1-p_delta_g)*AA125*(1-p_eps_g*$E126)+INDEX(Calib!$E$1:$E$13,$D126)*(INDEX(Calib!$G$1:$G$13,$D126)+p_programme*$H126)</f>
        <v/>
      </c>
      <c r="AB126" s="26">
        <f>AB125*(1-p_eps_k*$E126)+p_lambda_k*(AD126-AB125*(1-p_eps_k*$E126))</f>
        <v/>
      </c>
      <c r="AC126" s="26">
        <f>INDEX(Calib!$R$1:$R$13,$D126)*$F126*(AA125*(1-p_eps_g*$E126))^INDEX(Calib!$Q$1:$Q$13,$D126)*(AB125*(1-p_eps_k*$E126))^p_alpha</f>
        <v/>
      </c>
      <c r="AD126" s="26">
        <f>p_alpha*(1-INDEX(Calib!$H$1:$H$13,$D126))*AC126/(INDEX(Calib!$K$1:$K$13,$D126)+p_delta)</f>
        <v/>
      </c>
      <c r="AE126" s="26">
        <f>AC126+$G126</f>
        <v/>
      </c>
      <c r="AF126" s="26">
        <f>p_programme*($H126+$I126)</f>
        <v/>
      </c>
      <c r="AG126" s="26">
        <f>INDEX(Calib!$I$1:$I$13,$D126)+p_sh_grant*AF126</f>
        <v/>
      </c>
      <c r="AH126" s="26">
        <f>INDEX(Calib!$H$1:$H$13,$D126)*AC126+p_gov_take*$G126+AG126+p_programme*p_pricing*$J126</f>
        <v/>
      </c>
      <c r="AI126" s="26">
        <f>INDEX(Calib!$Y$1:$Y$13,$D126)-INDEX(Calib!$Z$1:$Z$13,$D126)*(AL125/AE125-INDEX(Calib!$AA$1:$AA$13,$D126))</f>
        <v/>
      </c>
      <c r="AJ126" s="26">
        <f>INDEX(Calib!$X$1:$X$13,$D126)+INDEX(Calib!$G$1:$G$13,$D126)+AF126+AI126-AH126</f>
        <v/>
      </c>
      <c r="AK126" s="26">
        <f>p_rk*AM125+AO125*(AL125-AM125)</f>
        <v/>
      </c>
      <c r="AL126" s="26">
        <f>AL125+AK126+AJ126</f>
        <v/>
      </c>
      <c r="AM126" s="26">
        <f>INDEX(Calib!$U$1:$U$13,$D126)+(AM125-INDEX(Calib!$U$1:$U$13,$D126))*(1-p_amort)+p_sh_conc*AF126</f>
        <v/>
      </c>
      <c r="AN126" s="26">
        <f>AL126/AE126</f>
        <v/>
      </c>
      <c r="AO126" s="26">
        <f>INDEX(Calib!$K$1:$K$13,$D126)+p_eta*MAX(0,AN126-INDEX(Calib!$AA$1:$AA$13,$D126))</f>
        <v/>
      </c>
      <c r="AP126" s="26">
        <f>(1-INDEX(Calib!$H$1:$H$13,$D126))*(1-p_alpha)*AC126+AI126</f>
        <v/>
      </c>
      <c r="AQ126" s="26">
        <f>(AE126/O126-1)*100</f>
        <v/>
      </c>
      <c r="AR126" s="26">
        <f>(AE126/AE110-1)*100</f>
        <v/>
      </c>
      <c r="AS126" s="26">
        <f>(O126/O110-1)*100</f>
        <v/>
      </c>
      <c r="AT126" s="26">
        <f>(AN126-X126)*100</f>
        <v/>
      </c>
      <c r="AU126" s="26">
        <f>(AP126/Z126-1)*100</f>
        <v/>
      </c>
      <c r="AV126" s="26">
        <f>(AI126-S126)*100</f>
        <v/>
      </c>
    </row>
    <row r="127">
      <c r="A127" s="25" t="inlineStr">
        <is>
          <t>ETH</t>
        </is>
      </c>
      <c r="B127" s="25" t="n">
        <v>2041</v>
      </c>
      <c r="C127" s="25" t="n">
        <v>17</v>
      </c>
      <c r="D127" s="25" t="n">
        <v>6</v>
      </c>
      <c r="E127" s="25">
        <f>IF(AND(p_dis_year&gt;0,B127=p_dis_year),1,0)</f>
        <v/>
      </c>
      <c r="F127" s="26">
        <f>IF(AND(p_dis_year&gt;0,B127&gt;=p_dis_year),1-p_eps_a*p_rho_a^(B127-p_dis_year),1)</f>
        <v/>
      </c>
      <c r="G127" s="26">
        <f>INDEX(Calib!$N$1:$N$13,$D127)*(1-p_rent_decline*MIN(1,C127/26))</f>
        <v/>
      </c>
      <c r="H127" s="26">
        <f>IF(C127=0,0,SUMIFS(dl_val,dl_iso,$A127,dl_ind,"pub_cap",dl_year,$B127)/100)</f>
        <v/>
      </c>
      <c r="I127" s="26">
        <f>IF(C127=0,0,SUMIFS(dl_val,dl_iso,$A127,dl_ind,"pub_spend",dl_year,$B127)/100)</f>
        <v/>
      </c>
      <c r="J127" s="26">
        <f>IF(C127=0,0,SUMIFS(dl_val,dl_iso,$A127,dl_ind,"rev",dl_year,$B127)/100)</f>
        <v/>
      </c>
      <c r="K127" s="26">
        <f>(1-p_delta_g)*K126*(1-p_eps_g*$E127)+INDEX(Calib!$E$1:$E$13,$D127)*(INDEX(Calib!$G$1:$G$13,$D127)+0*$H127)</f>
        <v/>
      </c>
      <c r="L127" s="26">
        <f>L126*(1-p_eps_k*$E127)+p_lambda_k*(N127-L126*(1-p_eps_k*$E127))</f>
        <v/>
      </c>
      <c r="M127" s="26">
        <f>INDEX(Calib!$R$1:$R$13,$D127)*$F127*(K126*(1-p_eps_g*$E127))^INDEX(Calib!$Q$1:$Q$13,$D127)*(L126*(1-p_eps_k*$E127))^p_alpha</f>
        <v/>
      </c>
      <c r="N127" s="26">
        <f>p_alpha*(1-INDEX(Calib!$H$1:$H$13,$D127))*M127/(INDEX(Calib!$K$1:$K$13,$D127)+p_delta)</f>
        <v/>
      </c>
      <c r="O127" s="26">
        <f>M127+$G127</f>
        <v/>
      </c>
      <c r="P127" s="26">
        <f>0*($H127+$I127)</f>
        <v/>
      </c>
      <c r="Q127" s="26">
        <f>INDEX(Calib!$I$1:$I$13,$D127)+p_sh_grant*P127</f>
        <v/>
      </c>
      <c r="R127" s="26">
        <f>INDEX(Calib!$H$1:$H$13,$D127)*M127+p_gov_take*$G127+Q127+0*p_pricing*$J127</f>
        <v/>
      </c>
      <c r="S127" s="26">
        <f>INDEX(Calib!$Y$1:$Y$13,$D127)-INDEX(Calib!$Z$1:$Z$13,$D127)*(V126/O126-INDEX(Calib!$AA$1:$AA$13,$D127))</f>
        <v/>
      </c>
      <c r="T127" s="26">
        <f>INDEX(Calib!$X$1:$X$13,$D127)+INDEX(Calib!$G$1:$G$13,$D127)+P127+S127-R127</f>
        <v/>
      </c>
      <c r="U127" s="26">
        <f>p_rk*W126+Y126*(V126-W126)</f>
        <v/>
      </c>
      <c r="V127" s="26">
        <f>V126+U127+T127</f>
        <v/>
      </c>
      <c r="W127" s="26">
        <f>INDEX(Calib!$U$1:$U$13,$D127)+(W126-INDEX(Calib!$U$1:$U$13,$D127))*(1-p_amort)+p_sh_conc*P127</f>
        <v/>
      </c>
      <c r="X127" s="26">
        <f>V127/O127</f>
        <v/>
      </c>
      <c r="Y127" s="26">
        <f>INDEX(Calib!$K$1:$K$13,$D127)+p_eta*MAX(0,X127-INDEX(Calib!$AA$1:$AA$13,$D127))</f>
        <v/>
      </c>
      <c r="Z127" s="26">
        <f>(1-INDEX(Calib!$H$1:$H$13,$D127))*(1-p_alpha)*M127+S127</f>
        <v/>
      </c>
      <c r="AA127" s="26">
        <f>(1-p_delta_g)*AA126*(1-p_eps_g*$E127)+INDEX(Calib!$E$1:$E$13,$D127)*(INDEX(Calib!$G$1:$G$13,$D127)+p_programme*$H127)</f>
        <v/>
      </c>
      <c r="AB127" s="26">
        <f>AB126*(1-p_eps_k*$E127)+p_lambda_k*(AD127-AB126*(1-p_eps_k*$E127))</f>
        <v/>
      </c>
      <c r="AC127" s="26">
        <f>INDEX(Calib!$R$1:$R$13,$D127)*$F127*(AA126*(1-p_eps_g*$E127))^INDEX(Calib!$Q$1:$Q$13,$D127)*(AB126*(1-p_eps_k*$E127))^p_alpha</f>
        <v/>
      </c>
      <c r="AD127" s="26">
        <f>p_alpha*(1-INDEX(Calib!$H$1:$H$13,$D127))*AC127/(INDEX(Calib!$K$1:$K$13,$D127)+p_delta)</f>
        <v/>
      </c>
      <c r="AE127" s="26">
        <f>AC127+$G127</f>
        <v/>
      </c>
      <c r="AF127" s="26">
        <f>p_programme*($H127+$I127)</f>
        <v/>
      </c>
      <c r="AG127" s="26">
        <f>INDEX(Calib!$I$1:$I$13,$D127)+p_sh_grant*AF127</f>
        <v/>
      </c>
      <c r="AH127" s="26">
        <f>INDEX(Calib!$H$1:$H$13,$D127)*AC127+p_gov_take*$G127+AG127+p_programme*p_pricing*$J127</f>
        <v/>
      </c>
      <c r="AI127" s="26">
        <f>INDEX(Calib!$Y$1:$Y$13,$D127)-INDEX(Calib!$Z$1:$Z$13,$D127)*(AL126/AE126-INDEX(Calib!$AA$1:$AA$13,$D127))</f>
        <v/>
      </c>
      <c r="AJ127" s="26">
        <f>INDEX(Calib!$X$1:$X$13,$D127)+INDEX(Calib!$G$1:$G$13,$D127)+AF127+AI127-AH127</f>
        <v/>
      </c>
      <c r="AK127" s="26">
        <f>p_rk*AM126+AO126*(AL126-AM126)</f>
        <v/>
      </c>
      <c r="AL127" s="26">
        <f>AL126+AK127+AJ127</f>
        <v/>
      </c>
      <c r="AM127" s="26">
        <f>INDEX(Calib!$U$1:$U$13,$D127)+(AM126-INDEX(Calib!$U$1:$U$13,$D127))*(1-p_amort)+p_sh_conc*AF127</f>
        <v/>
      </c>
      <c r="AN127" s="26">
        <f>AL127/AE127</f>
        <v/>
      </c>
      <c r="AO127" s="26">
        <f>INDEX(Calib!$K$1:$K$13,$D127)+p_eta*MAX(0,AN127-INDEX(Calib!$AA$1:$AA$13,$D127))</f>
        <v/>
      </c>
      <c r="AP127" s="26">
        <f>(1-INDEX(Calib!$H$1:$H$13,$D127))*(1-p_alpha)*AC127+AI127</f>
        <v/>
      </c>
      <c r="AQ127" s="26">
        <f>(AE127/O127-1)*100</f>
        <v/>
      </c>
      <c r="AR127" s="26">
        <f>(AE127/AE110-1)*100</f>
        <v/>
      </c>
      <c r="AS127" s="26">
        <f>(O127/O110-1)*100</f>
        <v/>
      </c>
      <c r="AT127" s="26">
        <f>(AN127-X127)*100</f>
        <v/>
      </c>
      <c r="AU127" s="26">
        <f>(AP127/Z127-1)*100</f>
        <v/>
      </c>
      <c r="AV127" s="26">
        <f>(AI127-S127)*100</f>
        <v/>
      </c>
    </row>
    <row r="128">
      <c r="A128" s="25" t="inlineStr">
        <is>
          <t>ETH</t>
        </is>
      </c>
      <c r="B128" s="25" t="n">
        <v>2042</v>
      </c>
      <c r="C128" s="25" t="n">
        <v>18</v>
      </c>
      <c r="D128" s="25" t="n">
        <v>6</v>
      </c>
      <c r="E128" s="25">
        <f>IF(AND(p_dis_year&gt;0,B128=p_dis_year),1,0)</f>
        <v/>
      </c>
      <c r="F128" s="26">
        <f>IF(AND(p_dis_year&gt;0,B128&gt;=p_dis_year),1-p_eps_a*p_rho_a^(B128-p_dis_year),1)</f>
        <v/>
      </c>
      <c r="G128" s="26">
        <f>INDEX(Calib!$N$1:$N$13,$D128)*(1-p_rent_decline*MIN(1,C128/26))</f>
        <v/>
      </c>
      <c r="H128" s="26">
        <f>IF(C128=0,0,SUMIFS(dl_val,dl_iso,$A128,dl_ind,"pub_cap",dl_year,$B128)/100)</f>
        <v/>
      </c>
      <c r="I128" s="26">
        <f>IF(C128=0,0,SUMIFS(dl_val,dl_iso,$A128,dl_ind,"pub_spend",dl_year,$B128)/100)</f>
        <v/>
      </c>
      <c r="J128" s="26">
        <f>IF(C128=0,0,SUMIFS(dl_val,dl_iso,$A128,dl_ind,"rev",dl_year,$B128)/100)</f>
        <v/>
      </c>
      <c r="K128" s="26">
        <f>(1-p_delta_g)*K127*(1-p_eps_g*$E128)+INDEX(Calib!$E$1:$E$13,$D128)*(INDEX(Calib!$G$1:$G$13,$D128)+0*$H128)</f>
        <v/>
      </c>
      <c r="L128" s="26">
        <f>L127*(1-p_eps_k*$E128)+p_lambda_k*(N128-L127*(1-p_eps_k*$E128))</f>
        <v/>
      </c>
      <c r="M128" s="26">
        <f>INDEX(Calib!$R$1:$R$13,$D128)*$F128*(K127*(1-p_eps_g*$E128))^INDEX(Calib!$Q$1:$Q$13,$D128)*(L127*(1-p_eps_k*$E128))^p_alpha</f>
        <v/>
      </c>
      <c r="N128" s="26">
        <f>p_alpha*(1-INDEX(Calib!$H$1:$H$13,$D128))*M128/(INDEX(Calib!$K$1:$K$13,$D128)+p_delta)</f>
        <v/>
      </c>
      <c r="O128" s="26">
        <f>M128+$G128</f>
        <v/>
      </c>
      <c r="P128" s="26">
        <f>0*($H128+$I128)</f>
        <v/>
      </c>
      <c r="Q128" s="26">
        <f>INDEX(Calib!$I$1:$I$13,$D128)+p_sh_grant*P128</f>
        <v/>
      </c>
      <c r="R128" s="26">
        <f>INDEX(Calib!$H$1:$H$13,$D128)*M128+p_gov_take*$G128+Q128+0*p_pricing*$J128</f>
        <v/>
      </c>
      <c r="S128" s="26">
        <f>INDEX(Calib!$Y$1:$Y$13,$D128)-INDEX(Calib!$Z$1:$Z$13,$D128)*(V127/O127-INDEX(Calib!$AA$1:$AA$13,$D128))</f>
        <v/>
      </c>
      <c r="T128" s="26">
        <f>INDEX(Calib!$X$1:$X$13,$D128)+INDEX(Calib!$G$1:$G$13,$D128)+P128+S128-R128</f>
        <v/>
      </c>
      <c r="U128" s="26">
        <f>p_rk*W127+Y127*(V127-W127)</f>
        <v/>
      </c>
      <c r="V128" s="26">
        <f>V127+U128+T128</f>
        <v/>
      </c>
      <c r="W128" s="26">
        <f>INDEX(Calib!$U$1:$U$13,$D128)+(W127-INDEX(Calib!$U$1:$U$13,$D128))*(1-p_amort)+p_sh_conc*P128</f>
        <v/>
      </c>
      <c r="X128" s="26">
        <f>V128/O128</f>
        <v/>
      </c>
      <c r="Y128" s="26">
        <f>INDEX(Calib!$K$1:$K$13,$D128)+p_eta*MAX(0,X128-INDEX(Calib!$AA$1:$AA$13,$D128))</f>
        <v/>
      </c>
      <c r="Z128" s="26">
        <f>(1-INDEX(Calib!$H$1:$H$13,$D128))*(1-p_alpha)*M128+S128</f>
        <v/>
      </c>
      <c r="AA128" s="26">
        <f>(1-p_delta_g)*AA127*(1-p_eps_g*$E128)+INDEX(Calib!$E$1:$E$13,$D128)*(INDEX(Calib!$G$1:$G$13,$D128)+p_programme*$H128)</f>
        <v/>
      </c>
      <c r="AB128" s="26">
        <f>AB127*(1-p_eps_k*$E128)+p_lambda_k*(AD128-AB127*(1-p_eps_k*$E128))</f>
        <v/>
      </c>
      <c r="AC128" s="26">
        <f>INDEX(Calib!$R$1:$R$13,$D128)*$F128*(AA127*(1-p_eps_g*$E128))^INDEX(Calib!$Q$1:$Q$13,$D128)*(AB127*(1-p_eps_k*$E128))^p_alpha</f>
        <v/>
      </c>
      <c r="AD128" s="26">
        <f>p_alpha*(1-INDEX(Calib!$H$1:$H$13,$D128))*AC128/(INDEX(Calib!$K$1:$K$13,$D128)+p_delta)</f>
        <v/>
      </c>
      <c r="AE128" s="26">
        <f>AC128+$G128</f>
        <v/>
      </c>
      <c r="AF128" s="26">
        <f>p_programme*($H128+$I128)</f>
        <v/>
      </c>
      <c r="AG128" s="26">
        <f>INDEX(Calib!$I$1:$I$13,$D128)+p_sh_grant*AF128</f>
        <v/>
      </c>
      <c r="AH128" s="26">
        <f>INDEX(Calib!$H$1:$H$13,$D128)*AC128+p_gov_take*$G128+AG128+p_programme*p_pricing*$J128</f>
        <v/>
      </c>
      <c r="AI128" s="26">
        <f>INDEX(Calib!$Y$1:$Y$13,$D128)-INDEX(Calib!$Z$1:$Z$13,$D128)*(AL127/AE127-INDEX(Calib!$AA$1:$AA$13,$D128))</f>
        <v/>
      </c>
      <c r="AJ128" s="26">
        <f>INDEX(Calib!$X$1:$X$13,$D128)+INDEX(Calib!$G$1:$G$13,$D128)+AF128+AI128-AH128</f>
        <v/>
      </c>
      <c r="AK128" s="26">
        <f>p_rk*AM127+AO127*(AL127-AM127)</f>
        <v/>
      </c>
      <c r="AL128" s="26">
        <f>AL127+AK128+AJ128</f>
        <v/>
      </c>
      <c r="AM128" s="26">
        <f>INDEX(Calib!$U$1:$U$13,$D128)+(AM127-INDEX(Calib!$U$1:$U$13,$D128))*(1-p_amort)+p_sh_conc*AF128</f>
        <v/>
      </c>
      <c r="AN128" s="26">
        <f>AL128/AE128</f>
        <v/>
      </c>
      <c r="AO128" s="26">
        <f>INDEX(Calib!$K$1:$K$13,$D128)+p_eta*MAX(0,AN128-INDEX(Calib!$AA$1:$AA$13,$D128))</f>
        <v/>
      </c>
      <c r="AP128" s="26">
        <f>(1-INDEX(Calib!$H$1:$H$13,$D128))*(1-p_alpha)*AC128+AI128</f>
        <v/>
      </c>
      <c r="AQ128" s="26">
        <f>(AE128/O128-1)*100</f>
        <v/>
      </c>
      <c r="AR128" s="26">
        <f>(AE128/AE110-1)*100</f>
        <v/>
      </c>
      <c r="AS128" s="26">
        <f>(O128/O110-1)*100</f>
        <v/>
      </c>
      <c r="AT128" s="26">
        <f>(AN128-X128)*100</f>
        <v/>
      </c>
      <c r="AU128" s="26">
        <f>(AP128/Z128-1)*100</f>
        <v/>
      </c>
      <c r="AV128" s="26">
        <f>(AI128-S128)*100</f>
        <v/>
      </c>
    </row>
    <row r="129">
      <c r="A129" s="25" t="inlineStr">
        <is>
          <t>ETH</t>
        </is>
      </c>
      <c r="B129" s="25" t="n">
        <v>2043</v>
      </c>
      <c r="C129" s="25" t="n">
        <v>19</v>
      </c>
      <c r="D129" s="25" t="n">
        <v>6</v>
      </c>
      <c r="E129" s="25">
        <f>IF(AND(p_dis_year&gt;0,B129=p_dis_year),1,0)</f>
        <v/>
      </c>
      <c r="F129" s="26">
        <f>IF(AND(p_dis_year&gt;0,B129&gt;=p_dis_year),1-p_eps_a*p_rho_a^(B129-p_dis_year),1)</f>
        <v/>
      </c>
      <c r="G129" s="26">
        <f>INDEX(Calib!$N$1:$N$13,$D129)*(1-p_rent_decline*MIN(1,C129/26))</f>
        <v/>
      </c>
      <c r="H129" s="26">
        <f>IF(C129=0,0,SUMIFS(dl_val,dl_iso,$A129,dl_ind,"pub_cap",dl_year,$B129)/100)</f>
        <v/>
      </c>
      <c r="I129" s="26">
        <f>IF(C129=0,0,SUMIFS(dl_val,dl_iso,$A129,dl_ind,"pub_spend",dl_year,$B129)/100)</f>
        <v/>
      </c>
      <c r="J129" s="26">
        <f>IF(C129=0,0,SUMIFS(dl_val,dl_iso,$A129,dl_ind,"rev",dl_year,$B129)/100)</f>
        <v/>
      </c>
      <c r="K129" s="26">
        <f>(1-p_delta_g)*K128*(1-p_eps_g*$E129)+INDEX(Calib!$E$1:$E$13,$D129)*(INDEX(Calib!$G$1:$G$13,$D129)+0*$H129)</f>
        <v/>
      </c>
      <c r="L129" s="26">
        <f>L128*(1-p_eps_k*$E129)+p_lambda_k*(N129-L128*(1-p_eps_k*$E129))</f>
        <v/>
      </c>
      <c r="M129" s="26">
        <f>INDEX(Calib!$R$1:$R$13,$D129)*$F129*(K128*(1-p_eps_g*$E129))^INDEX(Calib!$Q$1:$Q$13,$D129)*(L128*(1-p_eps_k*$E129))^p_alpha</f>
        <v/>
      </c>
      <c r="N129" s="26">
        <f>p_alpha*(1-INDEX(Calib!$H$1:$H$13,$D129))*M129/(INDEX(Calib!$K$1:$K$13,$D129)+p_delta)</f>
        <v/>
      </c>
      <c r="O129" s="26">
        <f>M129+$G129</f>
        <v/>
      </c>
      <c r="P129" s="26">
        <f>0*($H129+$I129)</f>
        <v/>
      </c>
      <c r="Q129" s="26">
        <f>INDEX(Calib!$I$1:$I$13,$D129)+p_sh_grant*P129</f>
        <v/>
      </c>
      <c r="R129" s="26">
        <f>INDEX(Calib!$H$1:$H$13,$D129)*M129+p_gov_take*$G129+Q129+0*p_pricing*$J129</f>
        <v/>
      </c>
      <c r="S129" s="26">
        <f>INDEX(Calib!$Y$1:$Y$13,$D129)-INDEX(Calib!$Z$1:$Z$13,$D129)*(V128/O128-INDEX(Calib!$AA$1:$AA$13,$D129))</f>
        <v/>
      </c>
      <c r="T129" s="26">
        <f>INDEX(Calib!$X$1:$X$13,$D129)+INDEX(Calib!$G$1:$G$13,$D129)+P129+S129-R129</f>
        <v/>
      </c>
      <c r="U129" s="26">
        <f>p_rk*W128+Y128*(V128-W128)</f>
        <v/>
      </c>
      <c r="V129" s="26">
        <f>V128+U129+T129</f>
        <v/>
      </c>
      <c r="W129" s="26">
        <f>INDEX(Calib!$U$1:$U$13,$D129)+(W128-INDEX(Calib!$U$1:$U$13,$D129))*(1-p_amort)+p_sh_conc*P129</f>
        <v/>
      </c>
      <c r="X129" s="26">
        <f>V129/O129</f>
        <v/>
      </c>
      <c r="Y129" s="26">
        <f>INDEX(Calib!$K$1:$K$13,$D129)+p_eta*MAX(0,X129-INDEX(Calib!$AA$1:$AA$13,$D129))</f>
        <v/>
      </c>
      <c r="Z129" s="26">
        <f>(1-INDEX(Calib!$H$1:$H$13,$D129))*(1-p_alpha)*M129+S129</f>
        <v/>
      </c>
      <c r="AA129" s="26">
        <f>(1-p_delta_g)*AA128*(1-p_eps_g*$E129)+INDEX(Calib!$E$1:$E$13,$D129)*(INDEX(Calib!$G$1:$G$13,$D129)+p_programme*$H129)</f>
        <v/>
      </c>
      <c r="AB129" s="26">
        <f>AB128*(1-p_eps_k*$E129)+p_lambda_k*(AD129-AB128*(1-p_eps_k*$E129))</f>
        <v/>
      </c>
      <c r="AC129" s="26">
        <f>INDEX(Calib!$R$1:$R$13,$D129)*$F129*(AA128*(1-p_eps_g*$E129))^INDEX(Calib!$Q$1:$Q$13,$D129)*(AB128*(1-p_eps_k*$E129))^p_alpha</f>
        <v/>
      </c>
      <c r="AD129" s="26">
        <f>p_alpha*(1-INDEX(Calib!$H$1:$H$13,$D129))*AC129/(INDEX(Calib!$K$1:$K$13,$D129)+p_delta)</f>
        <v/>
      </c>
      <c r="AE129" s="26">
        <f>AC129+$G129</f>
        <v/>
      </c>
      <c r="AF129" s="26">
        <f>p_programme*($H129+$I129)</f>
        <v/>
      </c>
      <c r="AG129" s="26">
        <f>INDEX(Calib!$I$1:$I$13,$D129)+p_sh_grant*AF129</f>
        <v/>
      </c>
      <c r="AH129" s="26">
        <f>INDEX(Calib!$H$1:$H$13,$D129)*AC129+p_gov_take*$G129+AG129+p_programme*p_pricing*$J129</f>
        <v/>
      </c>
      <c r="AI129" s="26">
        <f>INDEX(Calib!$Y$1:$Y$13,$D129)-INDEX(Calib!$Z$1:$Z$13,$D129)*(AL128/AE128-INDEX(Calib!$AA$1:$AA$13,$D129))</f>
        <v/>
      </c>
      <c r="AJ129" s="26">
        <f>INDEX(Calib!$X$1:$X$13,$D129)+INDEX(Calib!$G$1:$G$13,$D129)+AF129+AI129-AH129</f>
        <v/>
      </c>
      <c r="AK129" s="26">
        <f>p_rk*AM128+AO128*(AL128-AM128)</f>
        <v/>
      </c>
      <c r="AL129" s="26">
        <f>AL128+AK129+AJ129</f>
        <v/>
      </c>
      <c r="AM129" s="26">
        <f>INDEX(Calib!$U$1:$U$13,$D129)+(AM128-INDEX(Calib!$U$1:$U$13,$D129))*(1-p_amort)+p_sh_conc*AF129</f>
        <v/>
      </c>
      <c r="AN129" s="26">
        <f>AL129/AE129</f>
        <v/>
      </c>
      <c r="AO129" s="26">
        <f>INDEX(Calib!$K$1:$K$13,$D129)+p_eta*MAX(0,AN129-INDEX(Calib!$AA$1:$AA$13,$D129))</f>
        <v/>
      </c>
      <c r="AP129" s="26">
        <f>(1-INDEX(Calib!$H$1:$H$13,$D129))*(1-p_alpha)*AC129+AI129</f>
        <v/>
      </c>
      <c r="AQ129" s="26">
        <f>(AE129/O129-1)*100</f>
        <v/>
      </c>
      <c r="AR129" s="26">
        <f>(AE129/AE110-1)*100</f>
        <v/>
      </c>
      <c r="AS129" s="26">
        <f>(O129/O110-1)*100</f>
        <v/>
      </c>
      <c r="AT129" s="26">
        <f>(AN129-X129)*100</f>
        <v/>
      </c>
      <c r="AU129" s="26">
        <f>(AP129/Z129-1)*100</f>
        <v/>
      </c>
      <c r="AV129" s="26">
        <f>(AI129-S129)*100</f>
        <v/>
      </c>
    </row>
    <row r="130">
      <c r="A130" s="25" t="inlineStr">
        <is>
          <t>ETH</t>
        </is>
      </c>
      <c r="B130" s="25" t="n">
        <v>2044</v>
      </c>
      <c r="C130" s="25" t="n">
        <v>20</v>
      </c>
      <c r="D130" s="25" t="n">
        <v>6</v>
      </c>
      <c r="E130" s="25">
        <f>IF(AND(p_dis_year&gt;0,B130=p_dis_year),1,0)</f>
        <v/>
      </c>
      <c r="F130" s="26">
        <f>IF(AND(p_dis_year&gt;0,B130&gt;=p_dis_year),1-p_eps_a*p_rho_a^(B130-p_dis_year),1)</f>
        <v/>
      </c>
      <c r="G130" s="26">
        <f>INDEX(Calib!$N$1:$N$13,$D130)*(1-p_rent_decline*MIN(1,C130/26))</f>
        <v/>
      </c>
      <c r="H130" s="26">
        <f>IF(C130=0,0,SUMIFS(dl_val,dl_iso,$A130,dl_ind,"pub_cap",dl_year,$B130)/100)</f>
        <v/>
      </c>
      <c r="I130" s="26">
        <f>IF(C130=0,0,SUMIFS(dl_val,dl_iso,$A130,dl_ind,"pub_spend",dl_year,$B130)/100)</f>
        <v/>
      </c>
      <c r="J130" s="26">
        <f>IF(C130=0,0,SUMIFS(dl_val,dl_iso,$A130,dl_ind,"rev",dl_year,$B130)/100)</f>
        <v/>
      </c>
      <c r="K130" s="26">
        <f>(1-p_delta_g)*K129*(1-p_eps_g*$E130)+INDEX(Calib!$E$1:$E$13,$D130)*(INDEX(Calib!$G$1:$G$13,$D130)+0*$H130)</f>
        <v/>
      </c>
      <c r="L130" s="26">
        <f>L129*(1-p_eps_k*$E130)+p_lambda_k*(N130-L129*(1-p_eps_k*$E130))</f>
        <v/>
      </c>
      <c r="M130" s="26">
        <f>INDEX(Calib!$R$1:$R$13,$D130)*$F130*(K129*(1-p_eps_g*$E130))^INDEX(Calib!$Q$1:$Q$13,$D130)*(L129*(1-p_eps_k*$E130))^p_alpha</f>
        <v/>
      </c>
      <c r="N130" s="26">
        <f>p_alpha*(1-INDEX(Calib!$H$1:$H$13,$D130))*M130/(INDEX(Calib!$K$1:$K$13,$D130)+p_delta)</f>
        <v/>
      </c>
      <c r="O130" s="26">
        <f>M130+$G130</f>
        <v/>
      </c>
      <c r="P130" s="26">
        <f>0*($H130+$I130)</f>
        <v/>
      </c>
      <c r="Q130" s="26">
        <f>INDEX(Calib!$I$1:$I$13,$D130)+p_sh_grant*P130</f>
        <v/>
      </c>
      <c r="R130" s="26">
        <f>INDEX(Calib!$H$1:$H$13,$D130)*M130+p_gov_take*$G130+Q130+0*p_pricing*$J130</f>
        <v/>
      </c>
      <c r="S130" s="26">
        <f>INDEX(Calib!$Y$1:$Y$13,$D130)-INDEX(Calib!$Z$1:$Z$13,$D130)*(V129/O129-INDEX(Calib!$AA$1:$AA$13,$D130))</f>
        <v/>
      </c>
      <c r="T130" s="26">
        <f>INDEX(Calib!$X$1:$X$13,$D130)+INDEX(Calib!$G$1:$G$13,$D130)+P130+S130-R130</f>
        <v/>
      </c>
      <c r="U130" s="26">
        <f>p_rk*W129+Y129*(V129-W129)</f>
        <v/>
      </c>
      <c r="V130" s="26">
        <f>V129+U130+T130</f>
        <v/>
      </c>
      <c r="W130" s="26">
        <f>INDEX(Calib!$U$1:$U$13,$D130)+(W129-INDEX(Calib!$U$1:$U$13,$D130))*(1-p_amort)+p_sh_conc*P130</f>
        <v/>
      </c>
      <c r="X130" s="26">
        <f>V130/O130</f>
        <v/>
      </c>
      <c r="Y130" s="26">
        <f>INDEX(Calib!$K$1:$K$13,$D130)+p_eta*MAX(0,X130-INDEX(Calib!$AA$1:$AA$13,$D130))</f>
        <v/>
      </c>
      <c r="Z130" s="26">
        <f>(1-INDEX(Calib!$H$1:$H$13,$D130))*(1-p_alpha)*M130+S130</f>
        <v/>
      </c>
      <c r="AA130" s="26">
        <f>(1-p_delta_g)*AA129*(1-p_eps_g*$E130)+INDEX(Calib!$E$1:$E$13,$D130)*(INDEX(Calib!$G$1:$G$13,$D130)+p_programme*$H130)</f>
        <v/>
      </c>
      <c r="AB130" s="26">
        <f>AB129*(1-p_eps_k*$E130)+p_lambda_k*(AD130-AB129*(1-p_eps_k*$E130))</f>
        <v/>
      </c>
      <c r="AC130" s="26">
        <f>INDEX(Calib!$R$1:$R$13,$D130)*$F130*(AA129*(1-p_eps_g*$E130))^INDEX(Calib!$Q$1:$Q$13,$D130)*(AB129*(1-p_eps_k*$E130))^p_alpha</f>
        <v/>
      </c>
      <c r="AD130" s="26">
        <f>p_alpha*(1-INDEX(Calib!$H$1:$H$13,$D130))*AC130/(INDEX(Calib!$K$1:$K$13,$D130)+p_delta)</f>
        <v/>
      </c>
      <c r="AE130" s="26">
        <f>AC130+$G130</f>
        <v/>
      </c>
      <c r="AF130" s="26">
        <f>p_programme*($H130+$I130)</f>
        <v/>
      </c>
      <c r="AG130" s="26">
        <f>INDEX(Calib!$I$1:$I$13,$D130)+p_sh_grant*AF130</f>
        <v/>
      </c>
      <c r="AH130" s="26">
        <f>INDEX(Calib!$H$1:$H$13,$D130)*AC130+p_gov_take*$G130+AG130+p_programme*p_pricing*$J130</f>
        <v/>
      </c>
      <c r="AI130" s="26">
        <f>INDEX(Calib!$Y$1:$Y$13,$D130)-INDEX(Calib!$Z$1:$Z$13,$D130)*(AL129/AE129-INDEX(Calib!$AA$1:$AA$13,$D130))</f>
        <v/>
      </c>
      <c r="AJ130" s="26">
        <f>INDEX(Calib!$X$1:$X$13,$D130)+INDEX(Calib!$G$1:$G$13,$D130)+AF130+AI130-AH130</f>
        <v/>
      </c>
      <c r="AK130" s="26">
        <f>p_rk*AM129+AO129*(AL129-AM129)</f>
        <v/>
      </c>
      <c r="AL130" s="26">
        <f>AL129+AK130+AJ130</f>
        <v/>
      </c>
      <c r="AM130" s="26">
        <f>INDEX(Calib!$U$1:$U$13,$D130)+(AM129-INDEX(Calib!$U$1:$U$13,$D130))*(1-p_amort)+p_sh_conc*AF130</f>
        <v/>
      </c>
      <c r="AN130" s="26">
        <f>AL130/AE130</f>
        <v/>
      </c>
      <c r="AO130" s="26">
        <f>INDEX(Calib!$K$1:$K$13,$D130)+p_eta*MAX(0,AN130-INDEX(Calib!$AA$1:$AA$13,$D130))</f>
        <v/>
      </c>
      <c r="AP130" s="26">
        <f>(1-INDEX(Calib!$H$1:$H$13,$D130))*(1-p_alpha)*AC130+AI130</f>
        <v/>
      </c>
      <c r="AQ130" s="26">
        <f>(AE130/O130-1)*100</f>
        <v/>
      </c>
      <c r="AR130" s="26">
        <f>(AE130/AE110-1)*100</f>
        <v/>
      </c>
      <c r="AS130" s="26">
        <f>(O130/O110-1)*100</f>
        <v/>
      </c>
      <c r="AT130" s="26">
        <f>(AN130-X130)*100</f>
        <v/>
      </c>
      <c r="AU130" s="26">
        <f>(AP130/Z130-1)*100</f>
        <v/>
      </c>
      <c r="AV130" s="26">
        <f>(AI130-S130)*100</f>
        <v/>
      </c>
    </row>
    <row r="131">
      <c r="A131" s="25" t="inlineStr">
        <is>
          <t>ETH</t>
        </is>
      </c>
      <c r="B131" s="25" t="n">
        <v>2045</v>
      </c>
      <c r="C131" s="25" t="n">
        <v>21</v>
      </c>
      <c r="D131" s="25" t="n">
        <v>6</v>
      </c>
      <c r="E131" s="25">
        <f>IF(AND(p_dis_year&gt;0,B131=p_dis_year),1,0)</f>
        <v/>
      </c>
      <c r="F131" s="26">
        <f>IF(AND(p_dis_year&gt;0,B131&gt;=p_dis_year),1-p_eps_a*p_rho_a^(B131-p_dis_year),1)</f>
        <v/>
      </c>
      <c r="G131" s="26">
        <f>INDEX(Calib!$N$1:$N$13,$D131)*(1-p_rent_decline*MIN(1,C131/26))</f>
        <v/>
      </c>
      <c r="H131" s="26">
        <f>IF(C131=0,0,SUMIFS(dl_val,dl_iso,$A131,dl_ind,"pub_cap",dl_year,$B131)/100)</f>
        <v/>
      </c>
      <c r="I131" s="26">
        <f>IF(C131=0,0,SUMIFS(dl_val,dl_iso,$A131,dl_ind,"pub_spend",dl_year,$B131)/100)</f>
        <v/>
      </c>
      <c r="J131" s="26">
        <f>IF(C131=0,0,SUMIFS(dl_val,dl_iso,$A131,dl_ind,"rev",dl_year,$B131)/100)</f>
        <v/>
      </c>
      <c r="K131" s="26">
        <f>(1-p_delta_g)*K130*(1-p_eps_g*$E131)+INDEX(Calib!$E$1:$E$13,$D131)*(INDEX(Calib!$G$1:$G$13,$D131)+0*$H131)</f>
        <v/>
      </c>
      <c r="L131" s="26">
        <f>L130*(1-p_eps_k*$E131)+p_lambda_k*(N131-L130*(1-p_eps_k*$E131))</f>
        <v/>
      </c>
      <c r="M131" s="26">
        <f>INDEX(Calib!$R$1:$R$13,$D131)*$F131*(K130*(1-p_eps_g*$E131))^INDEX(Calib!$Q$1:$Q$13,$D131)*(L130*(1-p_eps_k*$E131))^p_alpha</f>
        <v/>
      </c>
      <c r="N131" s="26">
        <f>p_alpha*(1-INDEX(Calib!$H$1:$H$13,$D131))*M131/(INDEX(Calib!$K$1:$K$13,$D131)+p_delta)</f>
        <v/>
      </c>
      <c r="O131" s="26">
        <f>M131+$G131</f>
        <v/>
      </c>
      <c r="P131" s="26">
        <f>0*($H131+$I131)</f>
        <v/>
      </c>
      <c r="Q131" s="26">
        <f>INDEX(Calib!$I$1:$I$13,$D131)+p_sh_grant*P131</f>
        <v/>
      </c>
      <c r="R131" s="26">
        <f>INDEX(Calib!$H$1:$H$13,$D131)*M131+p_gov_take*$G131+Q131+0*p_pricing*$J131</f>
        <v/>
      </c>
      <c r="S131" s="26">
        <f>INDEX(Calib!$Y$1:$Y$13,$D131)-INDEX(Calib!$Z$1:$Z$13,$D131)*(V130/O130-INDEX(Calib!$AA$1:$AA$13,$D131))</f>
        <v/>
      </c>
      <c r="T131" s="26">
        <f>INDEX(Calib!$X$1:$X$13,$D131)+INDEX(Calib!$G$1:$G$13,$D131)+P131+S131-R131</f>
        <v/>
      </c>
      <c r="U131" s="26">
        <f>p_rk*W130+Y130*(V130-W130)</f>
        <v/>
      </c>
      <c r="V131" s="26">
        <f>V130+U131+T131</f>
        <v/>
      </c>
      <c r="W131" s="26">
        <f>INDEX(Calib!$U$1:$U$13,$D131)+(W130-INDEX(Calib!$U$1:$U$13,$D131))*(1-p_amort)+p_sh_conc*P131</f>
        <v/>
      </c>
      <c r="X131" s="26">
        <f>V131/O131</f>
        <v/>
      </c>
      <c r="Y131" s="26">
        <f>INDEX(Calib!$K$1:$K$13,$D131)+p_eta*MAX(0,X131-INDEX(Calib!$AA$1:$AA$13,$D131))</f>
        <v/>
      </c>
      <c r="Z131" s="26">
        <f>(1-INDEX(Calib!$H$1:$H$13,$D131))*(1-p_alpha)*M131+S131</f>
        <v/>
      </c>
      <c r="AA131" s="26">
        <f>(1-p_delta_g)*AA130*(1-p_eps_g*$E131)+INDEX(Calib!$E$1:$E$13,$D131)*(INDEX(Calib!$G$1:$G$13,$D131)+p_programme*$H131)</f>
        <v/>
      </c>
      <c r="AB131" s="26">
        <f>AB130*(1-p_eps_k*$E131)+p_lambda_k*(AD131-AB130*(1-p_eps_k*$E131))</f>
        <v/>
      </c>
      <c r="AC131" s="26">
        <f>INDEX(Calib!$R$1:$R$13,$D131)*$F131*(AA130*(1-p_eps_g*$E131))^INDEX(Calib!$Q$1:$Q$13,$D131)*(AB130*(1-p_eps_k*$E131))^p_alpha</f>
        <v/>
      </c>
      <c r="AD131" s="26">
        <f>p_alpha*(1-INDEX(Calib!$H$1:$H$13,$D131))*AC131/(INDEX(Calib!$K$1:$K$13,$D131)+p_delta)</f>
        <v/>
      </c>
      <c r="AE131" s="26">
        <f>AC131+$G131</f>
        <v/>
      </c>
      <c r="AF131" s="26">
        <f>p_programme*($H131+$I131)</f>
        <v/>
      </c>
      <c r="AG131" s="26">
        <f>INDEX(Calib!$I$1:$I$13,$D131)+p_sh_grant*AF131</f>
        <v/>
      </c>
      <c r="AH131" s="26">
        <f>INDEX(Calib!$H$1:$H$13,$D131)*AC131+p_gov_take*$G131+AG131+p_programme*p_pricing*$J131</f>
        <v/>
      </c>
      <c r="AI131" s="26">
        <f>INDEX(Calib!$Y$1:$Y$13,$D131)-INDEX(Calib!$Z$1:$Z$13,$D131)*(AL130/AE130-INDEX(Calib!$AA$1:$AA$13,$D131))</f>
        <v/>
      </c>
      <c r="AJ131" s="26">
        <f>INDEX(Calib!$X$1:$X$13,$D131)+INDEX(Calib!$G$1:$G$13,$D131)+AF131+AI131-AH131</f>
        <v/>
      </c>
      <c r="AK131" s="26">
        <f>p_rk*AM130+AO130*(AL130-AM130)</f>
        <v/>
      </c>
      <c r="AL131" s="26">
        <f>AL130+AK131+AJ131</f>
        <v/>
      </c>
      <c r="AM131" s="26">
        <f>INDEX(Calib!$U$1:$U$13,$D131)+(AM130-INDEX(Calib!$U$1:$U$13,$D131))*(1-p_amort)+p_sh_conc*AF131</f>
        <v/>
      </c>
      <c r="AN131" s="26">
        <f>AL131/AE131</f>
        <v/>
      </c>
      <c r="AO131" s="26">
        <f>INDEX(Calib!$K$1:$K$13,$D131)+p_eta*MAX(0,AN131-INDEX(Calib!$AA$1:$AA$13,$D131))</f>
        <v/>
      </c>
      <c r="AP131" s="26">
        <f>(1-INDEX(Calib!$H$1:$H$13,$D131))*(1-p_alpha)*AC131+AI131</f>
        <v/>
      </c>
      <c r="AQ131" s="26">
        <f>(AE131/O131-1)*100</f>
        <v/>
      </c>
      <c r="AR131" s="26">
        <f>(AE131/AE110-1)*100</f>
        <v/>
      </c>
      <c r="AS131" s="26">
        <f>(O131/O110-1)*100</f>
        <v/>
      </c>
      <c r="AT131" s="26">
        <f>(AN131-X131)*100</f>
        <v/>
      </c>
      <c r="AU131" s="26">
        <f>(AP131/Z131-1)*100</f>
        <v/>
      </c>
      <c r="AV131" s="26">
        <f>(AI131-S131)*100</f>
        <v/>
      </c>
    </row>
    <row r="132">
      <c r="A132" s="25" t="inlineStr">
        <is>
          <t>ETH</t>
        </is>
      </c>
      <c r="B132" s="25" t="n">
        <v>2046</v>
      </c>
      <c r="C132" s="25" t="n">
        <v>22</v>
      </c>
      <c r="D132" s="25" t="n">
        <v>6</v>
      </c>
      <c r="E132" s="25">
        <f>IF(AND(p_dis_year&gt;0,B132=p_dis_year),1,0)</f>
        <v/>
      </c>
      <c r="F132" s="26">
        <f>IF(AND(p_dis_year&gt;0,B132&gt;=p_dis_year),1-p_eps_a*p_rho_a^(B132-p_dis_year),1)</f>
        <v/>
      </c>
      <c r="G132" s="26">
        <f>INDEX(Calib!$N$1:$N$13,$D132)*(1-p_rent_decline*MIN(1,C132/26))</f>
        <v/>
      </c>
      <c r="H132" s="26">
        <f>IF(C132=0,0,SUMIFS(dl_val,dl_iso,$A132,dl_ind,"pub_cap",dl_year,$B132)/100)</f>
        <v/>
      </c>
      <c r="I132" s="26">
        <f>IF(C132=0,0,SUMIFS(dl_val,dl_iso,$A132,dl_ind,"pub_spend",dl_year,$B132)/100)</f>
        <v/>
      </c>
      <c r="J132" s="26">
        <f>IF(C132=0,0,SUMIFS(dl_val,dl_iso,$A132,dl_ind,"rev",dl_year,$B132)/100)</f>
        <v/>
      </c>
      <c r="K132" s="26">
        <f>(1-p_delta_g)*K131*(1-p_eps_g*$E132)+INDEX(Calib!$E$1:$E$13,$D132)*(INDEX(Calib!$G$1:$G$13,$D132)+0*$H132)</f>
        <v/>
      </c>
      <c r="L132" s="26">
        <f>L131*(1-p_eps_k*$E132)+p_lambda_k*(N132-L131*(1-p_eps_k*$E132))</f>
        <v/>
      </c>
      <c r="M132" s="26">
        <f>INDEX(Calib!$R$1:$R$13,$D132)*$F132*(K131*(1-p_eps_g*$E132))^INDEX(Calib!$Q$1:$Q$13,$D132)*(L131*(1-p_eps_k*$E132))^p_alpha</f>
        <v/>
      </c>
      <c r="N132" s="26">
        <f>p_alpha*(1-INDEX(Calib!$H$1:$H$13,$D132))*M132/(INDEX(Calib!$K$1:$K$13,$D132)+p_delta)</f>
        <v/>
      </c>
      <c r="O132" s="26">
        <f>M132+$G132</f>
        <v/>
      </c>
      <c r="P132" s="26">
        <f>0*($H132+$I132)</f>
        <v/>
      </c>
      <c r="Q132" s="26">
        <f>INDEX(Calib!$I$1:$I$13,$D132)+p_sh_grant*P132</f>
        <v/>
      </c>
      <c r="R132" s="26">
        <f>INDEX(Calib!$H$1:$H$13,$D132)*M132+p_gov_take*$G132+Q132+0*p_pricing*$J132</f>
        <v/>
      </c>
      <c r="S132" s="26">
        <f>INDEX(Calib!$Y$1:$Y$13,$D132)-INDEX(Calib!$Z$1:$Z$13,$D132)*(V131/O131-INDEX(Calib!$AA$1:$AA$13,$D132))</f>
        <v/>
      </c>
      <c r="T132" s="26">
        <f>INDEX(Calib!$X$1:$X$13,$D132)+INDEX(Calib!$G$1:$G$13,$D132)+P132+S132-R132</f>
        <v/>
      </c>
      <c r="U132" s="26">
        <f>p_rk*W131+Y131*(V131-W131)</f>
        <v/>
      </c>
      <c r="V132" s="26">
        <f>V131+U132+T132</f>
        <v/>
      </c>
      <c r="W132" s="26">
        <f>INDEX(Calib!$U$1:$U$13,$D132)+(W131-INDEX(Calib!$U$1:$U$13,$D132))*(1-p_amort)+p_sh_conc*P132</f>
        <v/>
      </c>
      <c r="X132" s="26">
        <f>V132/O132</f>
        <v/>
      </c>
      <c r="Y132" s="26">
        <f>INDEX(Calib!$K$1:$K$13,$D132)+p_eta*MAX(0,X132-INDEX(Calib!$AA$1:$AA$13,$D132))</f>
        <v/>
      </c>
      <c r="Z132" s="26">
        <f>(1-INDEX(Calib!$H$1:$H$13,$D132))*(1-p_alpha)*M132+S132</f>
        <v/>
      </c>
      <c r="AA132" s="26">
        <f>(1-p_delta_g)*AA131*(1-p_eps_g*$E132)+INDEX(Calib!$E$1:$E$13,$D132)*(INDEX(Calib!$G$1:$G$13,$D132)+p_programme*$H132)</f>
        <v/>
      </c>
      <c r="AB132" s="26">
        <f>AB131*(1-p_eps_k*$E132)+p_lambda_k*(AD132-AB131*(1-p_eps_k*$E132))</f>
        <v/>
      </c>
      <c r="AC132" s="26">
        <f>INDEX(Calib!$R$1:$R$13,$D132)*$F132*(AA131*(1-p_eps_g*$E132))^INDEX(Calib!$Q$1:$Q$13,$D132)*(AB131*(1-p_eps_k*$E132))^p_alpha</f>
        <v/>
      </c>
      <c r="AD132" s="26">
        <f>p_alpha*(1-INDEX(Calib!$H$1:$H$13,$D132))*AC132/(INDEX(Calib!$K$1:$K$13,$D132)+p_delta)</f>
        <v/>
      </c>
      <c r="AE132" s="26">
        <f>AC132+$G132</f>
        <v/>
      </c>
      <c r="AF132" s="26">
        <f>p_programme*($H132+$I132)</f>
        <v/>
      </c>
      <c r="AG132" s="26">
        <f>INDEX(Calib!$I$1:$I$13,$D132)+p_sh_grant*AF132</f>
        <v/>
      </c>
      <c r="AH132" s="26">
        <f>INDEX(Calib!$H$1:$H$13,$D132)*AC132+p_gov_take*$G132+AG132+p_programme*p_pricing*$J132</f>
        <v/>
      </c>
      <c r="AI132" s="26">
        <f>INDEX(Calib!$Y$1:$Y$13,$D132)-INDEX(Calib!$Z$1:$Z$13,$D132)*(AL131/AE131-INDEX(Calib!$AA$1:$AA$13,$D132))</f>
        <v/>
      </c>
      <c r="AJ132" s="26">
        <f>INDEX(Calib!$X$1:$X$13,$D132)+INDEX(Calib!$G$1:$G$13,$D132)+AF132+AI132-AH132</f>
        <v/>
      </c>
      <c r="AK132" s="26">
        <f>p_rk*AM131+AO131*(AL131-AM131)</f>
        <v/>
      </c>
      <c r="AL132" s="26">
        <f>AL131+AK132+AJ132</f>
        <v/>
      </c>
      <c r="AM132" s="26">
        <f>INDEX(Calib!$U$1:$U$13,$D132)+(AM131-INDEX(Calib!$U$1:$U$13,$D132))*(1-p_amort)+p_sh_conc*AF132</f>
        <v/>
      </c>
      <c r="AN132" s="26">
        <f>AL132/AE132</f>
        <v/>
      </c>
      <c r="AO132" s="26">
        <f>INDEX(Calib!$K$1:$K$13,$D132)+p_eta*MAX(0,AN132-INDEX(Calib!$AA$1:$AA$13,$D132))</f>
        <v/>
      </c>
      <c r="AP132" s="26">
        <f>(1-INDEX(Calib!$H$1:$H$13,$D132))*(1-p_alpha)*AC132+AI132</f>
        <v/>
      </c>
      <c r="AQ132" s="26">
        <f>(AE132/O132-1)*100</f>
        <v/>
      </c>
      <c r="AR132" s="26">
        <f>(AE132/AE110-1)*100</f>
        <v/>
      </c>
      <c r="AS132" s="26">
        <f>(O132/O110-1)*100</f>
        <v/>
      </c>
      <c r="AT132" s="26">
        <f>(AN132-X132)*100</f>
        <v/>
      </c>
      <c r="AU132" s="26">
        <f>(AP132/Z132-1)*100</f>
        <v/>
      </c>
      <c r="AV132" s="26">
        <f>(AI132-S132)*100</f>
        <v/>
      </c>
    </row>
    <row r="133">
      <c r="A133" s="25" t="inlineStr">
        <is>
          <t>ETH</t>
        </is>
      </c>
      <c r="B133" s="25" t="n">
        <v>2047</v>
      </c>
      <c r="C133" s="25" t="n">
        <v>23</v>
      </c>
      <c r="D133" s="25" t="n">
        <v>6</v>
      </c>
      <c r="E133" s="25">
        <f>IF(AND(p_dis_year&gt;0,B133=p_dis_year),1,0)</f>
        <v/>
      </c>
      <c r="F133" s="26">
        <f>IF(AND(p_dis_year&gt;0,B133&gt;=p_dis_year),1-p_eps_a*p_rho_a^(B133-p_dis_year),1)</f>
        <v/>
      </c>
      <c r="G133" s="26">
        <f>INDEX(Calib!$N$1:$N$13,$D133)*(1-p_rent_decline*MIN(1,C133/26))</f>
        <v/>
      </c>
      <c r="H133" s="26">
        <f>IF(C133=0,0,SUMIFS(dl_val,dl_iso,$A133,dl_ind,"pub_cap",dl_year,$B133)/100)</f>
        <v/>
      </c>
      <c r="I133" s="26">
        <f>IF(C133=0,0,SUMIFS(dl_val,dl_iso,$A133,dl_ind,"pub_spend",dl_year,$B133)/100)</f>
        <v/>
      </c>
      <c r="J133" s="26">
        <f>IF(C133=0,0,SUMIFS(dl_val,dl_iso,$A133,dl_ind,"rev",dl_year,$B133)/100)</f>
        <v/>
      </c>
      <c r="K133" s="26">
        <f>(1-p_delta_g)*K132*(1-p_eps_g*$E133)+INDEX(Calib!$E$1:$E$13,$D133)*(INDEX(Calib!$G$1:$G$13,$D133)+0*$H133)</f>
        <v/>
      </c>
      <c r="L133" s="26">
        <f>L132*(1-p_eps_k*$E133)+p_lambda_k*(N133-L132*(1-p_eps_k*$E133))</f>
        <v/>
      </c>
      <c r="M133" s="26">
        <f>INDEX(Calib!$R$1:$R$13,$D133)*$F133*(K132*(1-p_eps_g*$E133))^INDEX(Calib!$Q$1:$Q$13,$D133)*(L132*(1-p_eps_k*$E133))^p_alpha</f>
        <v/>
      </c>
      <c r="N133" s="26">
        <f>p_alpha*(1-INDEX(Calib!$H$1:$H$13,$D133))*M133/(INDEX(Calib!$K$1:$K$13,$D133)+p_delta)</f>
        <v/>
      </c>
      <c r="O133" s="26">
        <f>M133+$G133</f>
        <v/>
      </c>
      <c r="P133" s="26">
        <f>0*($H133+$I133)</f>
        <v/>
      </c>
      <c r="Q133" s="26">
        <f>INDEX(Calib!$I$1:$I$13,$D133)+p_sh_grant*P133</f>
        <v/>
      </c>
      <c r="R133" s="26">
        <f>INDEX(Calib!$H$1:$H$13,$D133)*M133+p_gov_take*$G133+Q133+0*p_pricing*$J133</f>
        <v/>
      </c>
      <c r="S133" s="26">
        <f>INDEX(Calib!$Y$1:$Y$13,$D133)-INDEX(Calib!$Z$1:$Z$13,$D133)*(V132/O132-INDEX(Calib!$AA$1:$AA$13,$D133))</f>
        <v/>
      </c>
      <c r="T133" s="26">
        <f>INDEX(Calib!$X$1:$X$13,$D133)+INDEX(Calib!$G$1:$G$13,$D133)+P133+S133-R133</f>
        <v/>
      </c>
      <c r="U133" s="26">
        <f>p_rk*W132+Y132*(V132-W132)</f>
        <v/>
      </c>
      <c r="V133" s="26">
        <f>V132+U133+T133</f>
        <v/>
      </c>
      <c r="W133" s="26">
        <f>INDEX(Calib!$U$1:$U$13,$D133)+(W132-INDEX(Calib!$U$1:$U$13,$D133))*(1-p_amort)+p_sh_conc*P133</f>
        <v/>
      </c>
      <c r="X133" s="26">
        <f>V133/O133</f>
        <v/>
      </c>
      <c r="Y133" s="26">
        <f>INDEX(Calib!$K$1:$K$13,$D133)+p_eta*MAX(0,X133-INDEX(Calib!$AA$1:$AA$13,$D133))</f>
        <v/>
      </c>
      <c r="Z133" s="26">
        <f>(1-INDEX(Calib!$H$1:$H$13,$D133))*(1-p_alpha)*M133+S133</f>
        <v/>
      </c>
      <c r="AA133" s="26">
        <f>(1-p_delta_g)*AA132*(1-p_eps_g*$E133)+INDEX(Calib!$E$1:$E$13,$D133)*(INDEX(Calib!$G$1:$G$13,$D133)+p_programme*$H133)</f>
        <v/>
      </c>
      <c r="AB133" s="26">
        <f>AB132*(1-p_eps_k*$E133)+p_lambda_k*(AD133-AB132*(1-p_eps_k*$E133))</f>
        <v/>
      </c>
      <c r="AC133" s="26">
        <f>INDEX(Calib!$R$1:$R$13,$D133)*$F133*(AA132*(1-p_eps_g*$E133))^INDEX(Calib!$Q$1:$Q$13,$D133)*(AB132*(1-p_eps_k*$E133))^p_alpha</f>
        <v/>
      </c>
      <c r="AD133" s="26">
        <f>p_alpha*(1-INDEX(Calib!$H$1:$H$13,$D133))*AC133/(INDEX(Calib!$K$1:$K$13,$D133)+p_delta)</f>
        <v/>
      </c>
      <c r="AE133" s="26">
        <f>AC133+$G133</f>
        <v/>
      </c>
      <c r="AF133" s="26">
        <f>p_programme*($H133+$I133)</f>
        <v/>
      </c>
      <c r="AG133" s="26">
        <f>INDEX(Calib!$I$1:$I$13,$D133)+p_sh_grant*AF133</f>
        <v/>
      </c>
      <c r="AH133" s="26">
        <f>INDEX(Calib!$H$1:$H$13,$D133)*AC133+p_gov_take*$G133+AG133+p_programme*p_pricing*$J133</f>
        <v/>
      </c>
      <c r="AI133" s="26">
        <f>INDEX(Calib!$Y$1:$Y$13,$D133)-INDEX(Calib!$Z$1:$Z$13,$D133)*(AL132/AE132-INDEX(Calib!$AA$1:$AA$13,$D133))</f>
        <v/>
      </c>
      <c r="AJ133" s="26">
        <f>INDEX(Calib!$X$1:$X$13,$D133)+INDEX(Calib!$G$1:$G$13,$D133)+AF133+AI133-AH133</f>
        <v/>
      </c>
      <c r="AK133" s="26">
        <f>p_rk*AM132+AO132*(AL132-AM132)</f>
        <v/>
      </c>
      <c r="AL133" s="26">
        <f>AL132+AK133+AJ133</f>
        <v/>
      </c>
      <c r="AM133" s="26">
        <f>INDEX(Calib!$U$1:$U$13,$D133)+(AM132-INDEX(Calib!$U$1:$U$13,$D133))*(1-p_amort)+p_sh_conc*AF133</f>
        <v/>
      </c>
      <c r="AN133" s="26">
        <f>AL133/AE133</f>
        <v/>
      </c>
      <c r="AO133" s="26">
        <f>INDEX(Calib!$K$1:$K$13,$D133)+p_eta*MAX(0,AN133-INDEX(Calib!$AA$1:$AA$13,$D133))</f>
        <v/>
      </c>
      <c r="AP133" s="26">
        <f>(1-INDEX(Calib!$H$1:$H$13,$D133))*(1-p_alpha)*AC133+AI133</f>
        <v/>
      </c>
      <c r="AQ133" s="26">
        <f>(AE133/O133-1)*100</f>
        <v/>
      </c>
      <c r="AR133" s="26">
        <f>(AE133/AE110-1)*100</f>
        <v/>
      </c>
      <c r="AS133" s="26">
        <f>(O133/O110-1)*100</f>
        <v/>
      </c>
      <c r="AT133" s="26">
        <f>(AN133-X133)*100</f>
        <v/>
      </c>
      <c r="AU133" s="26">
        <f>(AP133/Z133-1)*100</f>
        <v/>
      </c>
      <c r="AV133" s="26">
        <f>(AI133-S133)*100</f>
        <v/>
      </c>
    </row>
    <row r="134">
      <c r="A134" s="25" t="inlineStr">
        <is>
          <t>ETH</t>
        </is>
      </c>
      <c r="B134" s="25" t="n">
        <v>2048</v>
      </c>
      <c r="C134" s="25" t="n">
        <v>24</v>
      </c>
      <c r="D134" s="25" t="n">
        <v>6</v>
      </c>
      <c r="E134" s="25">
        <f>IF(AND(p_dis_year&gt;0,B134=p_dis_year),1,0)</f>
        <v/>
      </c>
      <c r="F134" s="26">
        <f>IF(AND(p_dis_year&gt;0,B134&gt;=p_dis_year),1-p_eps_a*p_rho_a^(B134-p_dis_year),1)</f>
        <v/>
      </c>
      <c r="G134" s="26">
        <f>INDEX(Calib!$N$1:$N$13,$D134)*(1-p_rent_decline*MIN(1,C134/26))</f>
        <v/>
      </c>
      <c r="H134" s="26">
        <f>IF(C134=0,0,SUMIFS(dl_val,dl_iso,$A134,dl_ind,"pub_cap",dl_year,$B134)/100)</f>
        <v/>
      </c>
      <c r="I134" s="26">
        <f>IF(C134=0,0,SUMIFS(dl_val,dl_iso,$A134,dl_ind,"pub_spend",dl_year,$B134)/100)</f>
        <v/>
      </c>
      <c r="J134" s="26">
        <f>IF(C134=0,0,SUMIFS(dl_val,dl_iso,$A134,dl_ind,"rev",dl_year,$B134)/100)</f>
        <v/>
      </c>
      <c r="K134" s="26">
        <f>(1-p_delta_g)*K133*(1-p_eps_g*$E134)+INDEX(Calib!$E$1:$E$13,$D134)*(INDEX(Calib!$G$1:$G$13,$D134)+0*$H134)</f>
        <v/>
      </c>
      <c r="L134" s="26">
        <f>L133*(1-p_eps_k*$E134)+p_lambda_k*(N134-L133*(1-p_eps_k*$E134))</f>
        <v/>
      </c>
      <c r="M134" s="26">
        <f>INDEX(Calib!$R$1:$R$13,$D134)*$F134*(K133*(1-p_eps_g*$E134))^INDEX(Calib!$Q$1:$Q$13,$D134)*(L133*(1-p_eps_k*$E134))^p_alpha</f>
        <v/>
      </c>
      <c r="N134" s="26">
        <f>p_alpha*(1-INDEX(Calib!$H$1:$H$13,$D134))*M134/(INDEX(Calib!$K$1:$K$13,$D134)+p_delta)</f>
        <v/>
      </c>
      <c r="O134" s="26">
        <f>M134+$G134</f>
        <v/>
      </c>
      <c r="P134" s="26">
        <f>0*($H134+$I134)</f>
        <v/>
      </c>
      <c r="Q134" s="26">
        <f>INDEX(Calib!$I$1:$I$13,$D134)+p_sh_grant*P134</f>
        <v/>
      </c>
      <c r="R134" s="26">
        <f>INDEX(Calib!$H$1:$H$13,$D134)*M134+p_gov_take*$G134+Q134+0*p_pricing*$J134</f>
        <v/>
      </c>
      <c r="S134" s="26">
        <f>INDEX(Calib!$Y$1:$Y$13,$D134)-INDEX(Calib!$Z$1:$Z$13,$D134)*(V133/O133-INDEX(Calib!$AA$1:$AA$13,$D134))</f>
        <v/>
      </c>
      <c r="T134" s="26">
        <f>INDEX(Calib!$X$1:$X$13,$D134)+INDEX(Calib!$G$1:$G$13,$D134)+P134+S134-R134</f>
        <v/>
      </c>
      <c r="U134" s="26">
        <f>p_rk*W133+Y133*(V133-W133)</f>
        <v/>
      </c>
      <c r="V134" s="26">
        <f>V133+U134+T134</f>
        <v/>
      </c>
      <c r="W134" s="26">
        <f>INDEX(Calib!$U$1:$U$13,$D134)+(W133-INDEX(Calib!$U$1:$U$13,$D134))*(1-p_amort)+p_sh_conc*P134</f>
        <v/>
      </c>
      <c r="X134" s="26">
        <f>V134/O134</f>
        <v/>
      </c>
      <c r="Y134" s="26">
        <f>INDEX(Calib!$K$1:$K$13,$D134)+p_eta*MAX(0,X134-INDEX(Calib!$AA$1:$AA$13,$D134))</f>
        <v/>
      </c>
      <c r="Z134" s="26">
        <f>(1-INDEX(Calib!$H$1:$H$13,$D134))*(1-p_alpha)*M134+S134</f>
        <v/>
      </c>
      <c r="AA134" s="26">
        <f>(1-p_delta_g)*AA133*(1-p_eps_g*$E134)+INDEX(Calib!$E$1:$E$13,$D134)*(INDEX(Calib!$G$1:$G$13,$D134)+p_programme*$H134)</f>
        <v/>
      </c>
      <c r="AB134" s="26">
        <f>AB133*(1-p_eps_k*$E134)+p_lambda_k*(AD134-AB133*(1-p_eps_k*$E134))</f>
        <v/>
      </c>
      <c r="AC134" s="26">
        <f>INDEX(Calib!$R$1:$R$13,$D134)*$F134*(AA133*(1-p_eps_g*$E134))^INDEX(Calib!$Q$1:$Q$13,$D134)*(AB133*(1-p_eps_k*$E134))^p_alpha</f>
        <v/>
      </c>
      <c r="AD134" s="26">
        <f>p_alpha*(1-INDEX(Calib!$H$1:$H$13,$D134))*AC134/(INDEX(Calib!$K$1:$K$13,$D134)+p_delta)</f>
        <v/>
      </c>
      <c r="AE134" s="26">
        <f>AC134+$G134</f>
        <v/>
      </c>
      <c r="AF134" s="26">
        <f>p_programme*($H134+$I134)</f>
        <v/>
      </c>
      <c r="AG134" s="26">
        <f>INDEX(Calib!$I$1:$I$13,$D134)+p_sh_grant*AF134</f>
        <v/>
      </c>
      <c r="AH134" s="26">
        <f>INDEX(Calib!$H$1:$H$13,$D134)*AC134+p_gov_take*$G134+AG134+p_programme*p_pricing*$J134</f>
        <v/>
      </c>
      <c r="AI134" s="26">
        <f>INDEX(Calib!$Y$1:$Y$13,$D134)-INDEX(Calib!$Z$1:$Z$13,$D134)*(AL133/AE133-INDEX(Calib!$AA$1:$AA$13,$D134))</f>
        <v/>
      </c>
      <c r="AJ134" s="26">
        <f>INDEX(Calib!$X$1:$X$13,$D134)+INDEX(Calib!$G$1:$G$13,$D134)+AF134+AI134-AH134</f>
        <v/>
      </c>
      <c r="AK134" s="26">
        <f>p_rk*AM133+AO133*(AL133-AM133)</f>
        <v/>
      </c>
      <c r="AL134" s="26">
        <f>AL133+AK134+AJ134</f>
        <v/>
      </c>
      <c r="AM134" s="26">
        <f>INDEX(Calib!$U$1:$U$13,$D134)+(AM133-INDEX(Calib!$U$1:$U$13,$D134))*(1-p_amort)+p_sh_conc*AF134</f>
        <v/>
      </c>
      <c r="AN134" s="26">
        <f>AL134/AE134</f>
        <v/>
      </c>
      <c r="AO134" s="26">
        <f>INDEX(Calib!$K$1:$K$13,$D134)+p_eta*MAX(0,AN134-INDEX(Calib!$AA$1:$AA$13,$D134))</f>
        <v/>
      </c>
      <c r="AP134" s="26">
        <f>(1-INDEX(Calib!$H$1:$H$13,$D134))*(1-p_alpha)*AC134+AI134</f>
        <v/>
      </c>
      <c r="AQ134" s="26">
        <f>(AE134/O134-1)*100</f>
        <v/>
      </c>
      <c r="AR134" s="26">
        <f>(AE134/AE110-1)*100</f>
        <v/>
      </c>
      <c r="AS134" s="26">
        <f>(O134/O110-1)*100</f>
        <v/>
      </c>
      <c r="AT134" s="26">
        <f>(AN134-X134)*100</f>
        <v/>
      </c>
      <c r="AU134" s="26">
        <f>(AP134/Z134-1)*100</f>
        <v/>
      </c>
      <c r="AV134" s="26">
        <f>(AI134-S134)*100</f>
        <v/>
      </c>
    </row>
    <row r="135">
      <c r="A135" s="25" t="inlineStr">
        <is>
          <t>ETH</t>
        </is>
      </c>
      <c r="B135" s="25" t="n">
        <v>2049</v>
      </c>
      <c r="C135" s="25" t="n">
        <v>25</v>
      </c>
      <c r="D135" s="25" t="n">
        <v>6</v>
      </c>
      <c r="E135" s="25">
        <f>IF(AND(p_dis_year&gt;0,B135=p_dis_year),1,0)</f>
        <v/>
      </c>
      <c r="F135" s="26">
        <f>IF(AND(p_dis_year&gt;0,B135&gt;=p_dis_year),1-p_eps_a*p_rho_a^(B135-p_dis_year),1)</f>
        <v/>
      </c>
      <c r="G135" s="26">
        <f>INDEX(Calib!$N$1:$N$13,$D135)*(1-p_rent_decline*MIN(1,C135/26))</f>
        <v/>
      </c>
      <c r="H135" s="26">
        <f>IF(C135=0,0,SUMIFS(dl_val,dl_iso,$A135,dl_ind,"pub_cap",dl_year,$B135)/100)</f>
        <v/>
      </c>
      <c r="I135" s="26">
        <f>IF(C135=0,0,SUMIFS(dl_val,dl_iso,$A135,dl_ind,"pub_spend",dl_year,$B135)/100)</f>
        <v/>
      </c>
      <c r="J135" s="26">
        <f>IF(C135=0,0,SUMIFS(dl_val,dl_iso,$A135,dl_ind,"rev",dl_year,$B135)/100)</f>
        <v/>
      </c>
      <c r="K135" s="26">
        <f>(1-p_delta_g)*K134*(1-p_eps_g*$E135)+INDEX(Calib!$E$1:$E$13,$D135)*(INDEX(Calib!$G$1:$G$13,$D135)+0*$H135)</f>
        <v/>
      </c>
      <c r="L135" s="26">
        <f>L134*(1-p_eps_k*$E135)+p_lambda_k*(N135-L134*(1-p_eps_k*$E135))</f>
        <v/>
      </c>
      <c r="M135" s="26">
        <f>INDEX(Calib!$R$1:$R$13,$D135)*$F135*(K134*(1-p_eps_g*$E135))^INDEX(Calib!$Q$1:$Q$13,$D135)*(L134*(1-p_eps_k*$E135))^p_alpha</f>
        <v/>
      </c>
      <c r="N135" s="26">
        <f>p_alpha*(1-INDEX(Calib!$H$1:$H$13,$D135))*M135/(INDEX(Calib!$K$1:$K$13,$D135)+p_delta)</f>
        <v/>
      </c>
      <c r="O135" s="26">
        <f>M135+$G135</f>
        <v/>
      </c>
      <c r="P135" s="26">
        <f>0*($H135+$I135)</f>
        <v/>
      </c>
      <c r="Q135" s="26">
        <f>INDEX(Calib!$I$1:$I$13,$D135)+p_sh_grant*P135</f>
        <v/>
      </c>
      <c r="R135" s="26">
        <f>INDEX(Calib!$H$1:$H$13,$D135)*M135+p_gov_take*$G135+Q135+0*p_pricing*$J135</f>
        <v/>
      </c>
      <c r="S135" s="26">
        <f>INDEX(Calib!$Y$1:$Y$13,$D135)-INDEX(Calib!$Z$1:$Z$13,$D135)*(V134/O134-INDEX(Calib!$AA$1:$AA$13,$D135))</f>
        <v/>
      </c>
      <c r="T135" s="26">
        <f>INDEX(Calib!$X$1:$X$13,$D135)+INDEX(Calib!$G$1:$G$13,$D135)+P135+S135-R135</f>
        <v/>
      </c>
      <c r="U135" s="26">
        <f>p_rk*W134+Y134*(V134-W134)</f>
        <v/>
      </c>
      <c r="V135" s="26">
        <f>V134+U135+T135</f>
        <v/>
      </c>
      <c r="W135" s="26">
        <f>INDEX(Calib!$U$1:$U$13,$D135)+(W134-INDEX(Calib!$U$1:$U$13,$D135))*(1-p_amort)+p_sh_conc*P135</f>
        <v/>
      </c>
      <c r="X135" s="26">
        <f>V135/O135</f>
        <v/>
      </c>
      <c r="Y135" s="26">
        <f>INDEX(Calib!$K$1:$K$13,$D135)+p_eta*MAX(0,X135-INDEX(Calib!$AA$1:$AA$13,$D135))</f>
        <v/>
      </c>
      <c r="Z135" s="26">
        <f>(1-INDEX(Calib!$H$1:$H$13,$D135))*(1-p_alpha)*M135+S135</f>
        <v/>
      </c>
      <c r="AA135" s="26">
        <f>(1-p_delta_g)*AA134*(1-p_eps_g*$E135)+INDEX(Calib!$E$1:$E$13,$D135)*(INDEX(Calib!$G$1:$G$13,$D135)+p_programme*$H135)</f>
        <v/>
      </c>
      <c r="AB135" s="26">
        <f>AB134*(1-p_eps_k*$E135)+p_lambda_k*(AD135-AB134*(1-p_eps_k*$E135))</f>
        <v/>
      </c>
      <c r="AC135" s="26">
        <f>INDEX(Calib!$R$1:$R$13,$D135)*$F135*(AA134*(1-p_eps_g*$E135))^INDEX(Calib!$Q$1:$Q$13,$D135)*(AB134*(1-p_eps_k*$E135))^p_alpha</f>
        <v/>
      </c>
      <c r="AD135" s="26">
        <f>p_alpha*(1-INDEX(Calib!$H$1:$H$13,$D135))*AC135/(INDEX(Calib!$K$1:$K$13,$D135)+p_delta)</f>
        <v/>
      </c>
      <c r="AE135" s="26">
        <f>AC135+$G135</f>
        <v/>
      </c>
      <c r="AF135" s="26">
        <f>p_programme*($H135+$I135)</f>
        <v/>
      </c>
      <c r="AG135" s="26">
        <f>INDEX(Calib!$I$1:$I$13,$D135)+p_sh_grant*AF135</f>
        <v/>
      </c>
      <c r="AH135" s="26">
        <f>INDEX(Calib!$H$1:$H$13,$D135)*AC135+p_gov_take*$G135+AG135+p_programme*p_pricing*$J135</f>
        <v/>
      </c>
      <c r="AI135" s="26">
        <f>INDEX(Calib!$Y$1:$Y$13,$D135)-INDEX(Calib!$Z$1:$Z$13,$D135)*(AL134/AE134-INDEX(Calib!$AA$1:$AA$13,$D135))</f>
        <v/>
      </c>
      <c r="AJ135" s="26">
        <f>INDEX(Calib!$X$1:$X$13,$D135)+INDEX(Calib!$G$1:$G$13,$D135)+AF135+AI135-AH135</f>
        <v/>
      </c>
      <c r="AK135" s="26">
        <f>p_rk*AM134+AO134*(AL134-AM134)</f>
        <v/>
      </c>
      <c r="AL135" s="26">
        <f>AL134+AK135+AJ135</f>
        <v/>
      </c>
      <c r="AM135" s="26">
        <f>INDEX(Calib!$U$1:$U$13,$D135)+(AM134-INDEX(Calib!$U$1:$U$13,$D135))*(1-p_amort)+p_sh_conc*AF135</f>
        <v/>
      </c>
      <c r="AN135" s="26">
        <f>AL135/AE135</f>
        <v/>
      </c>
      <c r="AO135" s="26">
        <f>INDEX(Calib!$K$1:$K$13,$D135)+p_eta*MAX(0,AN135-INDEX(Calib!$AA$1:$AA$13,$D135))</f>
        <v/>
      </c>
      <c r="AP135" s="26">
        <f>(1-INDEX(Calib!$H$1:$H$13,$D135))*(1-p_alpha)*AC135+AI135</f>
        <v/>
      </c>
      <c r="AQ135" s="26">
        <f>(AE135/O135-1)*100</f>
        <v/>
      </c>
      <c r="AR135" s="26">
        <f>(AE135/AE110-1)*100</f>
        <v/>
      </c>
      <c r="AS135" s="26">
        <f>(O135/O110-1)*100</f>
        <v/>
      </c>
      <c r="AT135" s="26">
        <f>(AN135-X135)*100</f>
        <v/>
      </c>
      <c r="AU135" s="26">
        <f>(AP135/Z135-1)*100</f>
        <v/>
      </c>
      <c r="AV135" s="26">
        <f>(AI135-S135)*100</f>
        <v/>
      </c>
    </row>
    <row r="136">
      <c r="A136" s="25" t="inlineStr">
        <is>
          <t>ETH</t>
        </is>
      </c>
      <c r="B136" s="25" t="n">
        <v>2050</v>
      </c>
      <c r="C136" s="25" t="n">
        <v>26</v>
      </c>
      <c r="D136" s="25" t="n">
        <v>6</v>
      </c>
      <c r="E136" s="25">
        <f>IF(AND(p_dis_year&gt;0,B136=p_dis_year),1,0)</f>
        <v/>
      </c>
      <c r="F136" s="26">
        <f>IF(AND(p_dis_year&gt;0,B136&gt;=p_dis_year),1-p_eps_a*p_rho_a^(B136-p_dis_year),1)</f>
        <v/>
      </c>
      <c r="G136" s="26">
        <f>INDEX(Calib!$N$1:$N$13,$D136)*(1-p_rent_decline*MIN(1,C136/26))</f>
        <v/>
      </c>
      <c r="H136" s="26">
        <f>IF(C136=0,0,SUMIFS(dl_val,dl_iso,$A136,dl_ind,"pub_cap",dl_year,$B136)/100)</f>
        <v/>
      </c>
      <c r="I136" s="26">
        <f>IF(C136=0,0,SUMIFS(dl_val,dl_iso,$A136,dl_ind,"pub_spend",dl_year,$B136)/100)</f>
        <v/>
      </c>
      <c r="J136" s="26">
        <f>IF(C136=0,0,SUMIFS(dl_val,dl_iso,$A136,dl_ind,"rev",dl_year,$B136)/100)</f>
        <v/>
      </c>
      <c r="K136" s="26">
        <f>(1-p_delta_g)*K135*(1-p_eps_g*$E136)+INDEX(Calib!$E$1:$E$13,$D136)*(INDEX(Calib!$G$1:$G$13,$D136)+0*$H136)</f>
        <v/>
      </c>
      <c r="L136" s="26">
        <f>L135*(1-p_eps_k*$E136)+p_lambda_k*(N136-L135*(1-p_eps_k*$E136))</f>
        <v/>
      </c>
      <c r="M136" s="26">
        <f>INDEX(Calib!$R$1:$R$13,$D136)*$F136*(K135*(1-p_eps_g*$E136))^INDEX(Calib!$Q$1:$Q$13,$D136)*(L135*(1-p_eps_k*$E136))^p_alpha</f>
        <v/>
      </c>
      <c r="N136" s="26">
        <f>p_alpha*(1-INDEX(Calib!$H$1:$H$13,$D136))*M136/(INDEX(Calib!$K$1:$K$13,$D136)+p_delta)</f>
        <v/>
      </c>
      <c r="O136" s="26">
        <f>M136+$G136</f>
        <v/>
      </c>
      <c r="P136" s="26">
        <f>0*($H136+$I136)</f>
        <v/>
      </c>
      <c r="Q136" s="26">
        <f>INDEX(Calib!$I$1:$I$13,$D136)+p_sh_grant*P136</f>
        <v/>
      </c>
      <c r="R136" s="26">
        <f>INDEX(Calib!$H$1:$H$13,$D136)*M136+p_gov_take*$G136+Q136+0*p_pricing*$J136</f>
        <v/>
      </c>
      <c r="S136" s="26">
        <f>INDEX(Calib!$Y$1:$Y$13,$D136)-INDEX(Calib!$Z$1:$Z$13,$D136)*(V135/O135-INDEX(Calib!$AA$1:$AA$13,$D136))</f>
        <v/>
      </c>
      <c r="T136" s="26">
        <f>INDEX(Calib!$X$1:$X$13,$D136)+INDEX(Calib!$G$1:$G$13,$D136)+P136+S136-R136</f>
        <v/>
      </c>
      <c r="U136" s="26">
        <f>p_rk*W135+Y135*(V135-W135)</f>
        <v/>
      </c>
      <c r="V136" s="26">
        <f>V135+U136+T136</f>
        <v/>
      </c>
      <c r="W136" s="26">
        <f>INDEX(Calib!$U$1:$U$13,$D136)+(W135-INDEX(Calib!$U$1:$U$13,$D136))*(1-p_amort)+p_sh_conc*P136</f>
        <v/>
      </c>
      <c r="X136" s="26">
        <f>V136/O136</f>
        <v/>
      </c>
      <c r="Y136" s="26">
        <f>INDEX(Calib!$K$1:$K$13,$D136)+p_eta*MAX(0,X136-INDEX(Calib!$AA$1:$AA$13,$D136))</f>
        <v/>
      </c>
      <c r="Z136" s="26">
        <f>(1-INDEX(Calib!$H$1:$H$13,$D136))*(1-p_alpha)*M136+S136</f>
        <v/>
      </c>
      <c r="AA136" s="26">
        <f>(1-p_delta_g)*AA135*(1-p_eps_g*$E136)+INDEX(Calib!$E$1:$E$13,$D136)*(INDEX(Calib!$G$1:$G$13,$D136)+p_programme*$H136)</f>
        <v/>
      </c>
      <c r="AB136" s="26">
        <f>AB135*(1-p_eps_k*$E136)+p_lambda_k*(AD136-AB135*(1-p_eps_k*$E136))</f>
        <v/>
      </c>
      <c r="AC136" s="26">
        <f>INDEX(Calib!$R$1:$R$13,$D136)*$F136*(AA135*(1-p_eps_g*$E136))^INDEX(Calib!$Q$1:$Q$13,$D136)*(AB135*(1-p_eps_k*$E136))^p_alpha</f>
        <v/>
      </c>
      <c r="AD136" s="26">
        <f>p_alpha*(1-INDEX(Calib!$H$1:$H$13,$D136))*AC136/(INDEX(Calib!$K$1:$K$13,$D136)+p_delta)</f>
        <v/>
      </c>
      <c r="AE136" s="26">
        <f>AC136+$G136</f>
        <v/>
      </c>
      <c r="AF136" s="26">
        <f>p_programme*($H136+$I136)</f>
        <v/>
      </c>
      <c r="AG136" s="26">
        <f>INDEX(Calib!$I$1:$I$13,$D136)+p_sh_grant*AF136</f>
        <v/>
      </c>
      <c r="AH136" s="26">
        <f>INDEX(Calib!$H$1:$H$13,$D136)*AC136+p_gov_take*$G136+AG136+p_programme*p_pricing*$J136</f>
        <v/>
      </c>
      <c r="AI136" s="26">
        <f>INDEX(Calib!$Y$1:$Y$13,$D136)-INDEX(Calib!$Z$1:$Z$13,$D136)*(AL135/AE135-INDEX(Calib!$AA$1:$AA$13,$D136))</f>
        <v/>
      </c>
      <c r="AJ136" s="26">
        <f>INDEX(Calib!$X$1:$X$13,$D136)+INDEX(Calib!$G$1:$G$13,$D136)+AF136+AI136-AH136</f>
        <v/>
      </c>
      <c r="AK136" s="26">
        <f>p_rk*AM135+AO135*(AL135-AM135)</f>
        <v/>
      </c>
      <c r="AL136" s="26">
        <f>AL135+AK136+AJ136</f>
        <v/>
      </c>
      <c r="AM136" s="26">
        <f>INDEX(Calib!$U$1:$U$13,$D136)+(AM135-INDEX(Calib!$U$1:$U$13,$D136))*(1-p_amort)+p_sh_conc*AF136</f>
        <v/>
      </c>
      <c r="AN136" s="26">
        <f>AL136/AE136</f>
        <v/>
      </c>
      <c r="AO136" s="26">
        <f>INDEX(Calib!$K$1:$K$13,$D136)+p_eta*MAX(0,AN136-INDEX(Calib!$AA$1:$AA$13,$D136))</f>
        <v/>
      </c>
      <c r="AP136" s="26">
        <f>(1-INDEX(Calib!$H$1:$H$13,$D136))*(1-p_alpha)*AC136+AI136</f>
        <v/>
      </c>
      <c r="AQ136" s="26">
        <f>(AE136/O136-1)*100</f>
        <v/>
      </c>
      <c r="AR136" s="26">
        <f>(AE136/AE110-1)*100</f>
        <v/>
      </c>
      <c r="AS136" s="26">
        <f>(O136/O110-1)*100</f>
        <v/>
      </c>
      <c r="AT136" s="26">
        <f>(AN136-X136)*100</f>
        <v/>
      </c>
      <c r="AU136" s="26">
        <f>(AP136/Z136-1)*100</f>
        <v/>
      </c>
      <c r="AV136" s="26">
        <f>(AI136-S136)*100</f>
        <v/>
      </c>
    </row>
    <row r="137">
      <c r="A137" s="25" t="inlineStr">
        <is>
          <t>RWA</t>
        </is>
      </c>
      <c r="B137" s="25" t="n">
        <v>2024</v>
      </c>
      <c r="C137" s="25" t="n">
        <v>0</v>
      </c>
      <c r="D137" s="25" t="n">
        <v>7</v>
      </c>
      <c r="E137" s="25">
        <f>IF(AND(p_dis_year&gt;0,B137=p_dis_year),1,0)</f>
        <v/>
      </c>
      <c r="F137" s="26">
        <f>IF(AND(p_dis_year&gt;0,B137&gt;=p_dis_year),1-p_eps_a*p_rho_a^(B137-p_dis_year),1)</f>
        <v/>
      </c>
      <c r="G137" s="26">
        <f>INDEX(Calib!$N$1:$N$13,$D137)*(1-p_rent_decline*MIN(1,C137/26))</f>
        <v/>
      </c>
      <c r="H137" s="26">
        <f>IF(C137=0,0,SUMIFS(dl_val,dl_iso,$A137,dl_ind,"pub_cap",dl_year,$B137)/100)</f>
        <v/>
      </c>
      <c r="I137" s="26">
        <f>IF(C137=0,0,SUMIFS(dl_val,dl_iso,$A137,dl_ind,"pub_spend",dl_year,$B137)/100)</f>
        <v/>
      </c>
      <c r="J137" s="26">
        <f>IF(C137=0,0,SUMIFS(dl_val,dl_iso,$A137,dl_ind,"rev",dl_year,$B137)/100)</f>
        <v/>
      </c>
      <c r="K137" s="26">
        <f>INDEX(Calib!$P$1:$P$13,$D137)</f>
        <v/>
      </c>
      <c r="L137" s="26">
        <f>INDEX(Calib!$O$1:$O$13,$D137)</f>
        <v/>
      </c>
      <c r="M137" s="26">
        <f>1</f>
        <v/>
      </c>
      <c r="N137" s="26">
        <f>INDEX(Calib!$O$1:$O$13,$D137)</f>
        <v/>
      </c>
      <c r="O137" s="26">
        <f>INDEX(Calib!$S$1:$S$13,$D137)</f>
        <v/>
      </c>
      <c r="P137" s="26">
        <f>0</f>
        <v/>
      </c>
      <c r="Q137" s="26">
        <f>INDEX(Calib!$I$1:$I$13,$D137)</f>
        <v/>
      </c>
      <c r="R137" s="26">
        <f>INDEX(Calib!$W$1:$W$13,$D137)</f>
        <v/>
      </c>
      <c r="S137" s="26">
        <f>INDEX(Calib!$Y$1:$Y$13,$D137)</f>
        <v/>
      </c>
      <c r="T137" s="26">
        <f>-INDEX(Calib!$V$1:$V$13,$D137)</f>
        <v/>
      </c>
      <c r="U137" s="26">
        <f>INDEX(Calib!$V$1:$V$13,$D137)</f>
        <v/>
      </c>
      <c r="V137" s="26">
        <f>INDEX(Calib!$T$1:$T$13,$D137)</f>
        <v/>
      </c>
      <c r="W137" s="26">
        <f>INDEX(Calib!$U$1:$U$13,$D137)</f>
        <v/>
      </c>
      <c r="X137" s="26">
        <f>V137/O137</f>
        <v/>
      </c>
      <c r="Y137" s="26">
        <f>INDEX(Calib!$K$1:$K$13,$D137)</f>
        <v/>
      </c>
      <c r="Z137" s="26">
        <f>(1-INDEX(Calib!$H$1:$H$13,$D137))*(1-p_alpha)*M137+S137</f>
        <v/>
      </c>
      <c r="AA137" s="26">
        <f>INDEX(Calib!$P$1:$P$13,$D137)</f>
        <v/>
      </c>
      <c r="AB137" s="26">
        <f>INDEX(Calib!$O$1:$O$13,$D137)</f>
        <v/>
      </c>
      <c r="AC137" s="26">
        <f>1</f>
        <v/>
      </c>
      <c r="AD137" s="26">
        <f>INDEX(Calib!$O$1:$O$13,$D137)</f>
        <v/>
      </c>
      <c r="AE137" s="26">
        <f>INDEX(Calib!$S$1:$S$13,$D137)</f>
        <v/>
      </c>
      <c r="AF137" s="26">
        <f>0</f>
        <v/>
      </c>
      <c r="AG137" s="26">
        <f>INDEX(Calib!$I$1:$I$13,$D137)</f>
        <v/>
      </c>
      <c r="AH137" s="26">
        <f>INDEX(Calib!$W$1:$W$13,$D137)</f>
        <v/>
      </c>
      <c r="AI137" s="26">
        <f>INDEX(Calib!$Y$1:$Y$13,$D137)</f>
        <v/>
      </c>
      <c r="AJ137" s="26">
        <f>-INDEX(Calib!$V$1:$V$13,$D137)</f>
        <v/>
      </c>
      <c r="AK137" s="26">
        <f>INDEX(Calib!$V$1:$V$13,$D137)</f>
        <v/>
      </c>
      <c r="AL137" s="26">
        <f>INDEX(Calib!$T$1:$T$13,$D137)</f>
        <v/>
      </c>
      <c r="AM137" s="26">
        <f>INDEX(Calib!$U$1:$U$13,$D137)</f>
        <v/>
      </c>
      <c r="AN137" s="26">
        <f>AL137/AE137</f>
        <v/>
      </c>
      <c r="AO137" s="26">
        <f>INDEX(Calib!$K$1:$K$13,$D137)</f>
        <v/>
      </c>
      <c r="AP137" s="26">
        <f>(1-INDEX(Calib!$H$1:$H$13,$D137))*(1-p_alpha)*AC137+AI137</f>
        <v/>
      </c>
      <c r="AQ137" s="26">
        <f>(AE137/O137-1)*100</f>
        <v/>
      </c>
      <c r="AR137" s="26">
        <f>(AE137/AE137-1)*100</f>
        <v/>
      </c>
      <c r="AS137" s="26">
        <f>(O137/O137-1)*100</f>
        <v/>
      </c>
      <c r="AT137" s="26">
        <f>(AN137-X137)*100</f>
        <v/>
      </c>
      <c r="AU137" s="26">
        <f>(AP137/Z137-1)*100</f>
        <v/>
      </c>
      <c r="AV137" s="26">
        <f>(AI137-S137)*100</f>
        <v/>
      </c>
    </row>
    <row r="138">
      <c r="A138" s="25" t="inlineStr">
        <is>
          <t>RWA</t>
        </is>
      </c>
      <c r="B138" s="25" t="n">
        <v>2025</v>
      </c>
      <c r="C138" s="25" t="n">
        <v>1</v>
      </c>
      <c r="D138" s="25" t="n">
        <v>7</v>
      </c>
      <c r="E138" s="25">
        <f>IF(AND(p_dis_year&gt;0,B138=p_dis_year),1,0)</f>
        <v/>
      </c>
      <c r="F138" s="26">
        <f>IF(AND(p_dis_year&gt;0,B138&gt;=p_dis_year),1-p_eps_a*p_rho_a^(B138-p_dis_year),1)</f>
        <v/>
      </c>
      <c r="G138" s="26">
        <f>INDEX(Calib!$N$1:$N$13,$D138)*(1-p_rent_decline*MIN(1,C138/26))</f>
        <v/>
      </c>
      <c r="H138" s="26">
        <f>IF(C138=0,0,SUMIFS(dl_val,dl_iso,$A138,dl_ind,"pub_cap",dl_year,$B138)/100)</f>
        <v/>
      </c>
      <c r="I138" s="26">
        <f>IF(C138=0,0,SUMIFS(dl_val,dl_iso,$A138,dl_ind,"pub_spend",dl_year,$B138)/100)</f>
        <v/>
      </c>
      <c r="J138" s="26">
        <f>IF(C138=0,0,SUMIFS(dl_val,dl_iso,$A138,dl_ind,"rev",dl_year,$B138)/100)</f>
        <v/>
      </c>
      <c r="K138" s="26">
        <f>(1-p_delta_g)*K137*(1-p_eps_g*$E138)+INDEX(Calib!$E$1:$E$13,$D138)*(INDEX(Calib!$G$1:$G$13,$D138)+0*$H138)</f>
        <v/>
      </c>
      <c r="L138" s="26">
        <f>L137*(1-p_eps_k*$E138)+p_lambda_k*(N138-L137*(1-p_eps_k*$E138))</f>
        <v/>
      </c>
      <c r="M138" s="26">
        <f>INDEX(Calib!$R$1:$R$13,$D138)*$F138*(K137*(1-p_eps_g*$E138))^INDEX(Calib!$Q$1:$Q$13,$D138)*(L137*(1-p_eps_k*$E138))^p_alpha</f>
        <v/>
      </c>
      <c r="N138" s="26">
        <f>p_alpha*(1-INDEX(Calib!$H$1:$H$13,$D138))*M138/(INDEX(Calib!$K$1:$K$13,$D138)+p_delta)</f>
        <v/>
      </c>
      <c r="O138" s="26">
        <f>M138+$G138</f>
        <v/>
      </c>
      <c r="P138" s="26">
        <f>0*($H138+$I138)</f>
        <v/>
      </c>
      <c r="Q138" s="26">
        <f>INDEX(Calib!$I$1:$I$13,$D138)+p_sh_grant*P138</f>
        <v/>
      </c>
      <c r="R138" s="26">
        <f>INDEX(Calib!$H$1:$H$13,$D138)*M138+p_gov_take*$G138+Q138+0*p_pricing*$J138</f>
        <v/>
      </c>
      <c r="S138" s="26">
        <f>INDEX(Calib!$Y$1:$Y$13,$D138)-INDEX(Calib!$Z$1:$Z$13,$D138)*(V137/O137-INDEX(Calib!$AA$1:$AA$13,$D138))</f>
        <v/>
      </c>
      <c r="T138" s="26">
        <f>INDEX(Calib!$X$1:$X$13,$D138)+INDEX(Calib!$G$1:$G$13,$D138)+P138+S138-R138</f>
        <v/>
      </c>
      <c r="U138" s="26">
        <f>p_rk*W137+Y137*(V137-W137)</f>
        <v/>
      </c>
      <c r="V138" s="26">
        <f>V137+U138+T138</f>
        <v/>
      </c>
      <c r="W138" s="26">
        <f>INDEX(Calib!$U$1:$U$13,$D138)+(W137-INDEX(Calib!$U$1:$U$13,$D138))*(1-p_amort)+p_sh_conc*P138</f>
        <v/>
      </c>
      <c r="X138" s="26">
        <f>V138/O138</f>
        <v/>
      </c>
      <c r="Y138" s="26">
        <f>INDEX(Calib!$K$1:$K$13,$D138)+p_eta*MAX(0,X138-INDEX(Calib!$AA$1:$AA$13,$D138))</f>
        <v/>
      </c>
      <c r="Z138" s="26">
        <f>(1-INDEX(Calib!$H$1:$H$13,$D138))*(1-p_alpha)*M138+S138</f>
        <v/>
      </c>
      <c r="AA138" s="26">
        <f>(1-p_delta_g)*AA137*(1-p_eps_g*$E138)+INDEX(Calib!$E$1:$E$13,$D138)*(INDEX(Calib!$G$1:$G$13,$D138)+p_programme*$H138)</f>
        <v/>
      </c>
      <c r="AB138" s="26">
        <f>AB137*(1-p_eps_k*$E138)+p_lambda_k*(AD138-AB137*(1-p_eps_k*$E138))</f>
        <v/>
      </c>
      <c r="AC138" s="26">
        <f>INDEX(Calib!$R$1:$R$13,$D138)*$F138*(AA137*(1-p_eps_g*$E138))^INDEX(Calib!$Q$1:$Q$13,$D138)*(AB137*(1-p_eps_k*$E138))^p_alpha</f>
        <v/>
      </c>
      <c r="AD138" s="26">
        <f>p_alpha*(1-INDEX(Calib!$H$1:$H$13,$D138))*AC138/(INDEX(Calib!$K$1:$K$13,$D138)+p_delta)</f>
        <v/>
      </c>
      <c r="AE138" s="26">
        <f>AC138+$G138</f>
        <v/>
      </c>
      <c r="AF138" s="26">
        <f>p_programme*($H138+$I138)</f>
        <v/>
      </c>
      <c r="AG138" s="26">
        <f>INDEX(Calib!$I$1:$I$13,$D138)+p_sh_grant*AF138</f>
        <v/>
      </c>
      <c r="AH138" s="26">
        <f>INDEX(Calib!$H$1:$H$13,$D138)*AC138+p_gov_take*$G138+AG138+p_programme*p_pricing*$J138</f>
        <v/>
      </c>
      <c r="AI138" s="26">
        <f>INDEX(Calib!$Y$1:$Y$13,$D138)-INDEX(Calib!$Z$1:$Z$13,$D138)*(AL137/AE137-INDEX(Calib!$AA$1:$AA$13,$D138))</f>
        <v/>
      </c>
      <c r="AJ138" s="26">
        <f>INDEX(Calib!$X$1:$X$13,$D138)+INDEX(Calib!$G$1:$G$13,$D138)+AF138+AI138-AH138</f>
        <v/>
      </c>
      <c r="AK138" s="26">
        <f>p_rk*AM137+AO137*(AL137-AM137)</f>
        <v/>
      </c>
      <c r="AL138" s="26">
        <f>AL137+AK138+AJ138</f>
        <v/>
      </c>
      <c r="AM138" s="26">
        <f>INDEX(Calib!$U$1:$U$13,$D138)+(AM137-INDEX(Calib!$U$1:$U$13,$D138))*(1-p_amort)+p_sh_conc*AF138</f>
        <v/>
      </c>
      <c r="AN138" s="26">
        <f>AL138/AE138</f>
        <v/>
      </c>
      <c r="AO138" s="26">
        <f>INDEX(Calib!$K$1:$K$13,$D138)+p_eta*MAX(0,AN138-INDEX(Calib!$AA$1:$AA$13,$D138))</f>
        <v/>
      </c>
      <c r="AP138" s="26">
        <f>(1-INDEX(Calib!$H$1:$H$13,$D138))*(1-p_alpha)*AC138+AI138</f>
        <v/>
      </c>
      <c r="AQ138" s="26">
        <f>(AE138/O138-1)*100</f>
        <v/>
      </c>
      <c r="AR138" s="26">
        <f>(AE138/AE137-1)*100</f>
        <v/>
      </c>
      <c r="AS138" s="26">
        <f>(O138/O137-1)*100</f>
        <v/>
      </c>
      <c r="AT138" s="26">
        <f>(AN138-X138)*100</f>
        <v/>
      </c>
      <c r="AU138" s="26">
        <f>(AP138/Z138-1)*100</f>
        <v/>
      </c>
      <c r="AV138" s="26">
        <f>(AI138-S138)*100</f>
        <v/>
      </c>
    </row>
    <row r="139">
      <c r="A139" s="25" t="inlineStr">
        <is>
          <t>RWA</t>
        </is>
      </c>
      <c r="B139" s="25" t="n">
        <v>2026</v>
      </c>
      <c r="C139" s="25" t="n">
        <v>2</v>
      </c>
      <c r="D139" s="25" t="n">
        <v>7</v>
      </c>
      <c r="E139" s="25">
        <f>IF(AND(p_dis_year&gt;0,B139=p_dis_year),1,0)</f>
        <v/>
      </c>
      <c r="F139" s="26">
        <f>IF(AND(p_dis_year&gt;0,B139&gt;=p_dis_year),1-p_eps_a*p_rho_a^(B139-p_dis_year),1)</f>
        <v/>
      </c>
      <c r="G139" s="26">
        <f>INDEX(Calib!$N$1:$N$13,$D139)*(1-p_rent_decline*MIN(1,C139/26))</f>
        <v/>
      </c>
      <c r="H139" s="26">
        <f>IF(C139=0,0,SUMIFS(dl_val,dl_iso,$A139,dl_ind,"pub_cap",dl_year,$B139)/100)</f>
        <v/>
      </c>
      <c r="I139" s="26">
        <f>IF(C139=0,0,SUMIFS(dl_val,dl_iso,$A139,dl_ind,"pub_spend",dl_year,$B139)/100)</f>
        <v/>
      </c>
      <c r="J139" s="26">
        <f>IF(C139=0,0,SUMIFS(dl_val,dl_iso,$A139,dl_ind,"rev",dl_year,$B139)/100)</f>
        <v/>
      </c>
      <c r="K139" s="26">
        <f>(1-p_delta_g)*K138*(1-p_eps_g*$E139)+INDEX(Calib!$E$1:$E$13,$D139)*(INDEX(Calib!$G$1:$G$13,$D139)+0*$H139)</f>
        <v/>
      </c>
      <c r="L139" s="26">
        <f>L138*(1-p_eps_k*$E139)+p_lambda_k*(N139-L138*(1-p_eps_k*$E139))</f>
        <v/>
      </c>
      <c r="M139" s="26">
        <f>INDEX(Calib!$R$1:$R$13,$D139)*$F139*(K138*(1-p_eps_g*$E139))^INDEX(Calib!$Q$1:$Q$13,$D139)*(L138*(1-p_eps_k*$E139))^p_alpha</f>
        <v/>
      </c>
      <c r="N139" s="26">
        <f>p_alpha*(1-INDEX(Calib!$H$1:$H$13,$D139))*M139/(INDEX(Calib!$K$1:$K$13,$D139)+p_delta)</f>
        <v/>
      </c>
      <c r="O139" s="26">
        <f>M139+$G139</f>
        <v/>
      </c>
      <c r="P139" s="26">
        <f>0*($H139+$I139)</f>
        <v/>
      </c>
      <c r="Q139" s="26">
        <f>INDEX(Calib!$I$1:$I$13,$D139)+p_sh_grant*P139</f>
        <v/>
      </c>
      <c r="R139" s="26">
        <f>INDEX(Calib!$H$1:$H$13,$D139)*M139+p_gov_take*$G139+Q139+0*p_pricing*$J139</f>
        <v/>
      </c>
      <c r="S139" s="26">
        <f>INDEX(Calib!$Y$1:$Y$13,$D139)-INDEX(Calib!$Z$1:$Z$13,$D139)*(V138/O138-INDEX(Calib!$AA$1:$AA$13,$D139))</f>
        <v/>
      </c>
      <c r="T139" s="26">
        <f>INDEX(Calib!$X$1:$X$13,$D139)+INDEX(Calib!$G$1:$G$13,$D139)+P139+S139-R139</f>
        <v/>
      </c>
      <c r="U139" s="26">
        <f>p_rk*W138+Y138*(V138-W138)</f>
        <v/>
      </c>
      <c r="V139" s="26">
        <f>V138+U139+T139</f>
        <v/>
      </c>
      <c r="W139" s="26">
        <f>INDEX(Calib!$U$1:$U$13,$D139)+(W138-INDEX(Calib!$U$1:$U$13,$D139))*(1-p_amort)+p_sh_conc*P139</f>
        <v/>
      </c>
      <c r="X139" s="26">
        <f>V139/O139</f>
        <v/>
      </c>
      <c r="Y139" s="26">
        <f>INDEX(Calib!$K$1:$K$13,$D139)+p_eta*MAX(0,X139-INDEX(Calib!$AA$1:$AA$13,$D139))</f>
        <v/>
      </c>
      <c r="Z139" s="26">
        <f>(1-INDEX(Calib!$H$1:$H$13,$D139))*(1-p_alpha)*M139+S139</f>
        <v/>
      </c>
      <c r="AA139" s="26">
        <f>(1-p_delta_g)*AA138*(1-p_eps_g*$E139)+INDEX(Calib!$E$1:$E$13,$D139)*(INDEX(Calib!$G$1:$G$13,$D139)+p_programme*$H139)</f>
        <v/>
      </c>
      <c r="AB139" s="26">
        <f>AB138*(1-p_eps_k*$E139)+p_lambda_k*(AD139-AB138*(1-p_eps_k*$E139))</f>
        <v/>
      </c>
      <c r="AC139" s="26">
        <f>INDEX(Calib!$R$1:$R$13,$D139)*$F139*(AA138*(1-p_eps_g*$E139))^INDEX(Calib!$Q$1:$Q$13,$D139)*(AB138*(1-p_eps_k*$E139))^p_alpha</f>
        <v/>
      </c>
      <c r="AD139" s="26">
        <f>p_alpha*(1-INDEX(Calib!$H$1:$H$13,$D139))*AC139/(INDEX(Calib!$K$1:$K$13,$D139)+p_delta)</f>
        <v/>
      </c>
      <c r="AE139" s="26">
        <f>AC139+$G139</f>
        <v/>
      </c>
      <c r="AF139" s="26">
        <f>p_programme*($H139+$I139)</f>
        <v/>
      </c>
      <c r="AG139" s="26">
        <f>INDEX(Calib!$I$1:$I$13,$D139)+p_sh_grant*AF139</f>
        <v/>
      </c>
      <c r="AH139" s="26">
        <f>INDEX(Calib!$H$1:$H$13,$D139)*AC139+p_gov_take*$G139+AG139+p_programme*p_pricing*$J139</f>
        <v/>
      </c>
      <c r="AI139" s="26">
        <f>INDEX(Calib!$Y$1:$Y$13,$D139)-INDEX(Calib!$Z$1:$Z$13,$D139)*(AL138/AE138-INDEX(Calib!$AA$1:$AA$13,$D139))</f>
        <v/>
      </c>
      <c r="AJ139" s="26">
        <f>INDEX(Calib!$X$1:$X$13,$D139)+INDEX(Calib!$G$1:$G$13,$D139)+AF139+AI139-AH139</f>
        <v/>
      </c>
      <c r="AK139" s="26">
        <f>p_rk*AM138+AO138*(AL138-AM138)</f>
        <v/>
      </c>
      <c r="AL139" s="26">
        <f>AL138+AK139+AJ139</f>
        <v/>
      </c>
      <c r="AM139" s="26">
        <f>INDEX(Calib!$U$1:$U$13,$D139)+(AM138-INDEX(Calib!$U$1:$U$13,$D139))*(1-p_amort)+p_sh_conc*AF139</f>
        <v/>
      </c>
      <c r="AN139" s="26">
        <f>AL139/AE139</f>
        <v/>
      </c>
      <c r="AO139" s="26">
        <f>INDEX(Calib!$K$1:$K$13,$D139)+p_eta*MAX(0,AN139-INDEX(Calib!$AA$1:$AA$13,$D139))</f>
        <v/>
      </c>
      <c r="AP139" s="26">
        <f>(1-INDEX(Calib!$H$1:$H$13,$D139))*(1-p_alpha)*AC139+AI139</f>
        <v/>
      </c>
      <c r="AQ139" s="26">
        <f>(AE139/O139-1)*100</f>
        <v/>
      </c>
      <c r="AR139" s="26">
        <f>(AE139/AE137-1)*100</f>
        <v/>
      </c>
      <c r="AS139" s="26">
        <f>(O139/O137-1)*100</f>
        <v/>
      </c>
      <c r="AT139" s="26">
        <f>(AN139-X139)*100</f>
        <v/>
      </c>
      <c r="AU139" s="26">
        <f>(AP139/Z139-1)*100</f>
        <v/>
      </c>
      <c r="AV139" s="26">
        <f>(AI139-S139)*100</f>
        <v/>
      </c>
    </row>
    <row r="140">
      <c r="A140" s="25" t="inlineStr">
        <is>
          <t>RWA</t>
        </is>
      </c>
      <c r="B140" s="25" t="n">
        <v>2027</v>
      </c>
      <c r="C140" s="25" t="n">
        <v>3</v>
      </c>
      <c r="D140" s="25" t="n">
        <v>7</v>
      </c>
      <c r="E140" s="25">
        <f>IF(AND(p_dis_year&gt;0,B140=p_dis_year),1,0)</f>
        <v/>
      </c>
      <c r="F140" s="26">
        <f>IF(AND(p_dis_year&gt;0,B140&gt;=p_dis_year),1-p_eps_a*p_rho_a^(B140-p_dis_year),1)</f>
        <v/>
      </c>
      <c r="G140" s="26">
        <f>INDEX(Calib!$N$1:$N$13,$D140)*(1-p_rent_decline*MIN(1,C140/26))</f>
        <v/>
      </c>
      <c r="H140" s="26">
        <f>IF(C140=0,0,SUMIFS(dl_val,dl_iso,$A140,dl_ind,"pub_cap",dl_year,$B140)/100)</f>
        <v/>
      </c>
      <c r="I140" s="26">
        <f>IF(C140=0,0,SUMIFS(dl_val,dl_iso,$A140,dl_ind,"pub_spend",dl_year,$B140)/100)</f>
        <v/>
      </c>
      <c r="J140" s="26">
        <f>IF(C140=0,0,SUMIFS(dl_val,dl_iso,$A140,dl_ind,"rev",dl_year,$B140)/100)</f>
        <v/>
      </c>
      <c r="K140" s="26">
        <f>(1-p_delta_g)*K139*(1-p_eps_g*$E140)+INDEX(Calib!$E$1:$E$13,$D140)*(INDEX(Calib!$G$1:$G$13,$D140)+0*$H140)</f>
        <v/>
      </c>
      <c r="L140" s="26">
        <f>L139*(1-p_eps_k*$E140)+p_lambda_k*(N140-L139*(1-p_eps_k*$E140))</f>
        <v/>
      </c>
      <c r="M140" s="26">
        <f>INDEX(Calib!$R$1:$R$13,$D140)*$F140*(K139*(1-p_eps_g*$E140))^INDEX(Calib!$Q$1:$Q$13,$D140)*(L139*(1-p_eps_k*$E140))^p_alpha</f>
        <v/>
      </c>
      <c r="N140" s="26">
        <f>p_alpha*(1-INDEX(Calib!$H$1:$H$13,$D140))*M140/(INDEX(Calib!$K$1:$K$13,$D140)+p_delta)</f>
        <v/>
      </c>
      <c r="O140" s="26">
        <f>M140+$G140</f>
        <v/>
      </c>
      <c r="P140" s="26">
        <f>0*($H140+$I140)</f>
        <v/>
      </c>
      <c r="Q140" s="26">
        <f>INDEX(Calib!$I$1:$I$13,$D140)+p_sh_grant*P140</f>
        <v/>
      </c>
      <c r="R140" s="26">
        <f>INDEX(Calib!$H$1:$H$13,$D140)*M140+p_gov_take*$G140+Q140+0*p_pricing*$J140</f>
        <v/>
      </c>
      <c r="S140" s="26">
        <f>INDEX(Calib!$Y$1:$Y$13,$D140)-INDEX(Calib!$Z$1:$Z$13,$D140)*(V139/O139-INDEX(Calib!$AA$1:$AA$13,$D140))</f>
        <v/>
      </c>
      <c r="T140" s="26">
        <f>INDEX(Calib!$X$1:$X$13,$D140)+INDEX(Calib!$G$1:$G$13,$D140)+P140+S140-R140</f>
        <v/>
      </c>
      <c r="U140" s="26">
        <f>p_rk*W139+Y139*(V139-W139)</f>
        <v/>
      </c>
      <c r="V140" s="26">
        <f>V139+U140+T140</f>
        <v/>
      </c>
      <c r="W140" s="26">
        <f>INDEX(Calib!$U$1:$U$13,$D140)+(W139-INDEX(Calib!$U$1:$U$13,$D140))*(1-p_amort)+p_sh_conc*P140</f>
        <v/>
      </c>
      <c r="X140" s="26">
        <f>V140/O140</f>
        <v/>
      </c>
      <c r="Y140" s="26">
        <f>INDEX(Calib!$K$1:$K$13,$D140)+p_eta*MAX(0,X140-INDEX(Calib!$AA$1:$AA$13,$D140))</f>
        <v/>
      </c>
      <c r="Z140" s="26">
        <f>(1-INDEX(Calib!$H$1:$H$13,$D140))*(1-p_alpha)*M140+S140</f>
        <v/>
      </c>
      <c r="AA140" s="26">
        <f>(1-p_delta_g)*AA139*(1-p_eps_g*$E140)+INDEX(Calib!$E$1:$E$13,$D140)*(INDEX(Calib!$G$1:$G$13,$D140)+p_programme*$H140)</f>
        <v/>
      </c>
      <c r="AB140" s="26">
        <f>AB139*(1-p_eps_k*$E140)+p_lambda_k*(AD140-AB139*(1-p_eps_k*$E140))</f>
        <v/>
      </c>
      <c r="AC140" s="26">
        <f>INDEX(Calib!$R$1:$R$13,$D140)*$F140*(AA139*(1-p_eps_g*$E140))^INDEX(Calib!$Q$1:$Q$13,$D140)*(AB139*(1-p_eps_k*$E140))^p_alpha</f>
        <v/>
      </c>
      <c r="AD140" s="26">
        <f>p_alpha*(1-INDEX(Calib!$H$1:$H$13,$D140))*AC140/(INDEX(Calib!$K$1:$K$13,$D140)+p_delta)</f>
        <v/>
      </c>
      <c r="AE140" s="26">
        <f>AC140+$G140</f>
        <v/>
      </c>
      <c r="AF140" s="26">
        <f>p_programme*($H140+$I140)</f>
        <v/>
      </c>
      <c r="AG140" s="26">
        <f>INDEX(Calib!$I$1:$I$13,$D140)+p_sh_grant*AF140</f>
        <v/>
      </c>
      <c r="AH140" s="26">
        <f>INDEX(Calib!$H$1:$H$13,$D140)*AC140+p_gov_take*$G140+AG140+p_programme*p_pricing*$J140</f>
        <v/>
      </c>
      <c r="AI140" s="26">
        <f>INDEX(Calib!$Y$1:$Y$13,$D140)-INDEX(Calib!$Z$1:$Z$13,$D140)*(AL139/AE139-INDEX(Calib!$AA$1:$AA$13,$D140))</f>
        <v/>
      </c>
      <c r="AJ140" s="26">
        <f>INDEX(Calib!$X$1:$X$13,$D140)+INDEX(Calib!$G$1:$G$13,$D140)+AF140+AI140-AH140</f>
        <v/>
      </c>
      <c r="AK140" s="26">
        <f>p_rk*AM139+AO139*(AL139-AM139)</f>
        <v/>
      </c>
      <c r="AL140" s="26">
        <f>AL139+AK140+AJ140</f>
        <v/>
      </c>
      <c r="AM140" s="26">
        <f>INDEX(Calib!$U$1:$U$13,$D140)+(AM139-INDEX(Calib!$U$1:$U$13,$D140))*(1-p_amort)+p_sh_conc*AF140</f>
        <v/>
      </c>
      <c r="AN140" s="26">
        <f>AL140/AE140</f>
        <v/>
      </c>
      <c r="AO140" s="26">
        <f>INDEX(Calib!$K$1:$K$13,$D140)+p_eta*MAX(0,AN140-INDEX(Calib!$AA$1:$AA$13,$D140))</f>
        <v/>
      </c>
      <c r="AP140" s="26">
        <f>(1-INDEX(Calib!$H$1:$H$13,$D140))*(1-p_alpha)*AC140+AI140</f>
        <v/>
      </c>
      <c r="AQ140" s="26">
        <f>(AE140/O140-1)*100</f>
        <v/>
      </c>
      <c r="AR140" s="26">
        <f>(AE140/AE137-1)*100</f>
        <v/>
      </c>
      <c r="AS140" s="26">
        <f>(O140/O137-1)*100</f>
        <v/>
      </c>
      <c r="AT140" s="26">
        <f>(AN140-X140)*100</f>
        <v/>
      </c>
      <c r="AU140" s="26">
        <f>(AP140/Z140-1)*100</f>
        <v/>
      </c>
      <c r="AV140" s="26">
        <f>(AI140-S140)*100</f>
        <v/>
      </c>
    </row>
    <row r="141">
      <c r="A141" s="25" t="inlineStr">
        <is>
          <t>RWA</t>
        </is>
      </c>
      <c r="B141" s="25" t="n">
        <v>2028</v>
      </c>
      <c r="C141" s="25" t="n">
        <v>4</v>
      </c>
      <c r="D141" s="25" t="n">
        <v>7</v>
      </c>
      <c r="E141" s="25">
        <f>IF(AND(p_dis_year&gt;0,B141=p_dis_year),1,0)</f>
        <v/>
      </c>
      <c r="F141" s="26">
        <f>IF(AND(p_dis_year&gt;0,B141&gt;=p_dis_year),1-p_eps_a*p_rho_a^(B141-p_dis_year),1)</f>
        <v/>
      </c>
      <c r="G141" s="26">
        <f>INDEX(Calib!$N$1:$N$13,$D141)*(1-p_rent_decline*MIN(1,C141/26))</f>
        <v/>
      </c>
      <c r="H141" s="26">
        <f>IF(C141=0,0,SUMIFS(dl_val,dl_iso,$A141,dl_ind,"pub_cap",dl_year,$B141)/100)</f>
        <v/>
      </c>
      <c r="I141" s="26">
        <f>IF(C141=0,0,SUMIFS(dl_val,dl_iso,$A141,dl_ind,"pub_spend",dl_year,$B141)/100)</f>
        <v/>
      </c>
      <c r="J141" s="26">
        <f>IF(C141=0,0,SUMIFS(dl_val,dl_iso,$A141,dl_ind,"rev",dl_year,$B141)/100)</f>
        <v/>
      </c>
      <c r="K141" s="26">
        <f>(1-p_delta_g)*K140*(1-p_eps_g*$E141)+INDEX(Calib!$E$1:$E$13,$D141)*(INDEX(Calib!$G$1:$G$13,$D141)+0*$H141)</f>
        <v/>
      </c>
      <c r="L141" s="26">
        <f>L140*(1-p_eps_k*$E141)+p_lambda_k*(N141-L140*(1-p_eps_k*$E141))</f>
        <v/>
      </c>
      <c r="M141" s="26">
        <f>INDEX(Calib!$R$1:$R$13,$D141)*$F141*(K140*(1-p_eps_g*$E141))^INDEX(Calib!$Q$1:$Q$13,$D141)*(L140*(1-p_eps_k*$E141))^p_alpha</f>
        <v/>
      </c>
      <c r="N141" s="26">
        <f>p_alpha*(1-INDEX(Calib!$H$1:$H$13,$D141))*M141/(INDEX(Calib!$K$1:$K$13,$D141)+p_delta)</f>
        <v/>
      </c>
      <c r="O141" s="26">
        <f>M141+$G141</f>
        <v/>
      </c>
      <c r="P141" s="26">
        <f>0*($H141+$I141)</f>
        <v/>
      </c>
      <c r="Q141" s="26">
        <f>INDEX(Calib!$I$1:$I$13,$D141)+p_sh_grant*P141</f>
        <v/>
      </c>
      <c r="R141" s="26">
        <f>INDEX(Calib!$H$1:$H$13,$D141)*M141+p_gov_take*$G141+Q141+0*p_pricing*$J141</f>
        <v/>
      </c>
      <c r="S141" s="26">
        <f>INDEX(Calib!$Y$1:$Y$13,$D141)-INDEX(Calib!$Z$1:$Z$13,$D141)*(V140/O140-INDEX(Calib!$AA$1:$AA$13,$D141))</f>
        <v/>
      </c>
      <c r="T141" s="26">
        <f>INDEX(Calib!$X$1:$X$13,$D141)+INDEX(Calib!$G$1:$G$13,$D141)+P141+S141-R141</f>
        <v/>
      </c>
      <c r="U141" s="26">
        <f>p_rk*W140+Y140*(V140-W140)</f>
        <v/>
      </c>
      <c r="V141" s="26">
        <f>V140+U141+T141</f>
        <v/>
      </c>
      <c r="W141" s="26">
        <f>INDEX(Calib!$U$1:$U$13,$D141)+(W140-INDEX(Calib!$U$1:$U$13,$D141))*(1-p_amort)+p_sh_conc*P141</f>
        <v/>
      </c>
      <c r="X141" s="26">
        <f>V141/O141</f>
        <v/>
      </c>
      <c r="Y141" s="26">
        <f>INDEX(Calib!$K$1:$K$13,$D141)+p_eta*MAX(0,X141-INDEX(Calib!$AA$1:$AA$13,$D141))</f>
        <v/>
      </c>
      <c r="Z141" s="26">
        <f>(1-INDEX(Calib!$H$1:$H$13,$D141))*(1-p_alpha)*M141+S141</f>
        <v/>
      </c>
      <c r="AA141" s="26">
        <f>(1-p_delta_g)*AA140*(1-p_eps_g*$E141)+INDEX(Calib!$E$1:$E$13,$D141)*(INDEX(Calib!$G$1:$G$13,$D141)+p_programme*$H141)</f>
        <v/>
      </c>
      <c r="AB141" s="26">
        <f>AB140*(1-p_eps_k*$E141)+p_lambda_k*(AD141-AB140*(1-p_eps_k*$E141))</f>
        <v/>
      </c>
      <c r="AC141" s="26">
        <f>INDEX(Calib!$R$1:$R$13,$D141)*$F141*(AA140*(1-p_eps_g*$E141))^INDEX(Calib!$Q$1:$Q$13,$D141)*(AB140*(1-p_eps_k*$E141))^p_alpha</f>
        <v/>
      </c>
      <c r="AD141" s="26">
        <f>p_alpha*(1-INDEX(Calib!$H$1:$H$13,$D141))*AC141/(INDEX(Calib!$K$1:$K$13,$D141)+p_delta)</f>
        <v/>
      </c>
      <c r="AE141" s="26">
        <f>AC141+$G141</f>
        <v/>
      </c>
      <c r="AF141" s="26">
        <f>p_programme*($H141+$I141)</f>
        <v/>
      </c>
      <c r="AG141" s="26">
        <f>INDEX(Calib!$I$1:$I$13,$D141)+p_sh_grant*AF141</f>
        <v/>
      </c>
      <c r="AH141" s="26">
        <f>INDEX(Calib!$H$1:$H$13,$D141)*AC141+p_gov_take*$G141+AG141+p_programme*p_pricing*$J141</f>
        <v/>
      </c>
      <c r="AI141" s="26">
        <f>INDEX(Calib!$Y$1:$Y$13,$D141)-INDEX(Calib!$Z$1:$Z$13,$D141)*(AL140/AE140-INDEX(Calib!$AA$1:$AA$13,$D141))</f>
        <v/>
      </c>
      <c r="AJ141" s="26">
        <f>INDEX(Calib!$X$1:$X$13,$D141)+INDEX(Calib!$G$1:$G$13,$D141)+AF141+AI141-AH141</f>
        <v/>
      </c>
      <c r="AK141" s="26">
        <f>p_rk*AM140+AO140*(AL140-AM140)</f>
        <v/>
      </c>
      <c r="AL141" s="26">
        <f>AL140+AK141+AJ141</f>
        <v/>
      </c>
      <c r="AM141" s="26">
        <f>INDEX(Calib!$U$1:$U$13,$D141)+(AM140-INDEX(Calib!$U$1:$U$13,$D141))*(1-p_amort)+p_sh_conc*AF141</f>
        <v/>
      </c>
      <c r="AN141" s="26">
        <f>AL141/AE141</f>
        <v/>
      </c>
      <c r="AO141" s="26">
        <f>INDEX(Calib!$K$1:$K$13,$D141)+p_eta*MAX(0,AN141-INDEX(Calib!$AA$1:$AA$13,$D141))</f>
        <v/>
      </c>
      <c r="AP141" s="26">
        <f>(1-INDEX(Calib!$H$1:$H$13,$D141))*(1-p_alpha)*AC141+AI141</f>
        <v/>
      </c>
      <c r="AQ141" s="26">
        <f>(AE141/O141-1)*100</f>
        <v/>
      </c>
      <c r="AR141" s="26">
        <f>(AE141/AE137-1)*100</f>
        <v/>
      </c>
      <c r="AS141" s="26">
        <f>(O141/O137-1)*100</f>
        <v/>
      </c>
      <c r="AT141" s="26">
        <f>(AN141-X141)*100</f>
        <v/>
      </c>
      <c r="AU141" s="26">
        <f>(AP141/Z141-1)*100</f>
        <v/>
      </c>
      <c r="AV141" s="26">
        <f>(AI141-S141)*100</f>
        <v/>
      </c>
    </row>
    <row r="142">
      <c r="A142" s="25" t="inlineStr">
        <is>
          <t>RWA</t>
        </is>
      </c>
      <c r="B142" s="25" t="n">
        <v>2029</v>
      </c>
      <c r="C142" s="25" t="n">
        <v>5</v>
      </c>
      <c r="D142" s="25" t="n">
        <v>7</v>
      </c>
      <c r="E142" s="25">
        <f>IF(AND(p_dis_year&gt;0,B142=p_dis_year),1,0)</f>
        <v/>
      </c>
      <c r="F142" s="26">
        <f>IF(AND(p_dis_year&gt;0,B142&gt;=p_dis_year),1-p_eps_a*p_rho_a^(B142-p_dis_year),1)</f>
        <v/>
      </c>
      <c r="G142" s="26">
        <f>INDEX(Calib!$N$1:$N$13,$D142)*(1-p_rent_decline*MIN(1,C142/26))</f>
        <v/>
      </c>
      <c r="H142" s="26">
        <f>IF(C142=0,0,SUMIFS(dl_val,dl_iso,$A142,dl_ind,"pub_cap",dl_year,$B142)/100)</f>
        <v/>
      </c>
      <c r="I142" s="26">
        <f>IF(C142=0,0,SUMIFS(dl_val,dl_iso,$A142,dl_ind,"pub_spend",dl_year,$B142)/100)</f>
        <v/>
      </c>
      <c r="J142" s="26">
        <f>IF(C142=0,0,SUMIFS(dl_val,dl_iso,$A142,dl_ind,"rev",dl_year,$B142)/100)</f>
        <v/>
      </c>
      <c r="K142" s="26">
        <f>(1-p_delta_g)*K141*(1-p_eps_g*$E142)+INDEX(Calib!$E$1:$E$13,$D142)*(INDEX(Calib!$G$1:$G$13,$D142)+0*$H142)</f>
        <v/>
      </c>
      <c r="L142" s="26">
        <f>L141*(1-p_eps_k*$E142)+p_lambda_k*(N142-L141*(1-p_eps_k*$E142))</f>
        <v/>
      </c>
      <c r="M142" s="26">
        <f>INDEX(Calib!$R$1:$R$13,$D142)*$F142*(K141*(1-p_eps_g*$E142))^INDEX(Calib!$Q$1:$Q$13,$D142)*(L141*(1-p_eps_k*$E142))^p_alpha</f>
        <v/>
      </c>
      <c r="N142" s="26">
        <f>p_alpha*(1-INDEX(Calib!$H$1:$H$13,$D142))*M142/(INDEX(Calib!$K$1:$K$13,$D142)+p_delta)</f>
        <v/>
      </c>
      <c r="O142" s="26">
        <f>M142+$G142</f>
        <v/>
      </c>
      <c r="P142" s="26">
        <f>0*($H142+$I142)</f>
        <v/>
      </c>
      <c r="Q142" s="26">
        <f>INDEX(Calib!$I$1:$I$13,$D142)+p_sh_grant*P142</f>
        <v/>
      </c>
      <c r="R142" s="26">
        <f>INDEX(Calib!$H$1:$H$13,$D142)*M142+p_gov_take*$G142+Q142+0*p_pricing*$J142</f>
        <v/>
      </c>
      <c r="S142" s="26">
        <f>INDEX(Calib!$Y$1:$Y$13,$D142)-INDEX(Calib!$Z$1:$Z$13,$D142)*(V141/O141-INDEX(Calib!$AA$1:$AA$13,$D142))</f>
        <v/>
      </c>
      <c r="T142" s="26">
        <f>INDEX(Calib!$X$1:$X$13,$D142)+INDEX(Calib!$G$1:$G$13,$D142)+P142+S142-R142</f>
        <v/>
      </c>
      <c r="U142" s="26">
        <f>p_rk*W141+Y141*(V141-W141)</f>
        <v/>
      </c>
      <c r="V142" s="26">
        <f>V141+U142+T142</f>
        <v/>
      </c>
      <c r="W142" s="26">
        <f>INDEX(Calib!$U$1:$U$13,$D142)+(W141-INDEX(Calib!$U$1:$U$13,$D142))*(1-p_amort)+p_sh_conc*P142</f>
        <v/>
      </c>
      <c r="X142" s="26">
        <f>V142/O142</f>
        <v/>
      </c>
      <c r="Y142" s="26">
        <f>INDEX(Calib!$K$1:$K$13,$D142)+p_eta*MAX(0,X142-INDEX(Calib!$AA$1:$AA$13,$D142))</f>
        <v/>
      </c>
      <c r="Z142" s="26">
        <f>(1-INDEX(Calib!$H$1:$H$13,$D142))*(1-p_alpha)*M142+S142</f>
        <v/>
      </c>
      <c r="AA142" s="26">
        <f>(1-p_delta_g)*AA141*(1-p_eps_g*$E142)+INDEX(Calib!$E$1:$E$13,$D142)*(INDEX(Calib!$G$1:$G$13,$D142)+p_programme*$H142)</f>
        <v/>
      </c>
      <c r="AB142" s="26">
        <f>AB141*(1-p_eps_k*$E142)+p_lambda_k*(AD142-AB141*(1-p_eps_k*$E142))</f>
        <v/>
      </c>
      <c r="AC142" s="26">
        <f>INDEX(Calib!$R$1:$R$13,$D142)*$F142*(AA141*(1-p_eps_g*$E142))^INDEX(Calib!$Q$1:$Q$13,$D142)*(AB141*(1-p_eps_k*$E142))^p_alpha</f>
        <v/>
      </c>
      <c r="AD142" s="26">
        <f>p_alpha*(1-INDEX(Calib!$H$1:$H$13,$D142))*AC142/(INDEX(Calib!$K$1:$K$13,$D142)+p_delta)</f>
        <v/>
      </c>
      <c r="AE142" s="26">
        <f>AC142+$G142</f>
        <v/>
      </c>
      <c r="AF142" s="26">
        <f>p_programme*($H142+$I142)</f>
        <v/>
      </c>
      <c r="AG142" s="26">
        <f>INDEX(Calib!$I$1:$I$13,$D142)+p_sh_grant*AF142</f>
        <v/>
      </c>
      <c r="AH142" s="26">
        <f>INDEX(Calib!$H$1:$H$13,$D142)*AC142+p_gov_take*$G142+AG142+p_programme*p_pricing*$J142</f>
        <v/>
      </c>
      <c r="AI142" s="26">
        <f>INDEX(Calib!$Y$1:$Y$13,$D142)-INDEX(Calib!$Z$1:$Z$13,$D142)*(AL141/AE141-INDEX(Calib!$AA$1:$AA$13,$D142))</f>
        <v/>
      </c>
      <c r="AJ142" s="26">
        <f>INDEX(Calib!$X$1:$X$13,$D142)+INDEX(Calib!$G$1:$G$13,$D142)+AF142+AI142-AH142</f>
        <v/>
      </c>
      <c r="AK142" s="26">
        <f>p_rk*AM141+AO141*(AL141-AM141)</f>
        <v/>
      </c>
      <c r="AL142" s="26">
        <f>AL141+AK142+AJ142</f>
        <v/>
      </c>
      <c r="AM142" s="26">
        <f>INDEX(Calib!$U$1:$U$13,$D142)+(AM141-INDEX(Calib!$U$1:$U$13,$D142))*(1-p_amort)+p_sh_conc*AF142</f>
        <v/>
      </c>
      <c r="AN142" s="26">
        <f>AL142/AE142</f>
        <v/>
      </c>
      <c r="AO142" s="26">
        <f>INDEX(Calib!$K$1:$K$13,$D142)+p_eta*MAX(0,AN142-INDEX(Calib!$AA$1:$AA$13,$D142))</f>
        <v/>
      </c>
      <c r="AP142" s="26">
        <f>(1-INDEX(Calib!$H$1:$H$13,$D142))*(1-p_alpha)*AC142+AI142</f>
        <v/>
      </c>
      <c r="AQ142" s="26">
        <f>(AE142/O142-1)*100</f>
        <v/>
      </c>
      <c r="AR142" s="26">
        <f>(AE142/AE137-1)*100</f>
        <v/>
      </c>
      <c r="AS142" s="26">
        <f>(O142/O137-1)*100</f>
        <v/>
      </c>
      <c r="AT142" s="26">
        <f>(AN142-X142)*100</f>
        <v/>
      </c>
      <c r="AU142" s="26">
        <f>(AP142/Z142-1)*100</f>
        <v/>
      </c>
      <c r="AV142" s="26">
        <f>(AI142-S142)*100</f>
        <v/>
      </c>
    </row>
    <row r="143">
      <c r="A143" s="25" t="inlineStr">
        <is>
          <t>RWA</t>
        </is>
      </c>
      <c r="B143" s="25" t="n">
        <v>2030</v>
      </c>
      <c r="C143" s="25" t="n">
        <v>6</v>
      </c>
      <c r="D143" s="25" t="n">
        <v>7</v>
      </c>
      <c r="E143" s="25">
        <f>IF(AND(p_dis_year&gt;0,B143=p_dis_year),1,0)</f>
        <v/>
      </c>
      <c r="F143" s="26">
        <f>IF(AND(p_dis_year&gt;0,B143&gt;=p_dis_year),1-p_eps_a*p_rho_a^(B143-p_dis_year),1)</f>
        <v/>
      </c>
      <c r="G143" s="26">
        <f>INDEX(Calib!$N$1:$N$13,$D143)*(1-p_rent_decline*MIN(1,C143/26))</f>
        <v/>
      </c>
      <c r="H143" s="26">
        <f>IF(C143=0,0,SUMIFS(dl_val,dl_iso,$A143,dl_ind,"pub_cap",dl_year,$B143)/100)</f>
        <v/>
      </c>
      <c r="I143" s="26">
        <f>IF(C143=0,0,SUMIFS(dl_val,dl_iso,$A143,dl_ind,"pub_spend",dl_year,$B143)/100)</f>
        <v/>
      </c>
      <c r="J143" s="26">
        <f>IF(C143=0,0,SUMIFS(dl_val,dl_iso,$A143,dl_ind,"rev",dl_year,$B143)/100)</f>
        <v/>
      </c>
      <c r="K143" s="26">
        <f>(1-p_delta_g)*K142*(1-p_eps_g*$E143)+INDEX(Calib!$E$1:$E$13,$D143)*(INDEX(Calib!$G$1:$G$13,$D143)+0*$H143)</f>
        <v/>
      </c>
      <c r="L143" s="26">
        <f>L142*(1-p_eps_k*$E143)+p_lambda_k*(N143-L142*(1-p_eps_k*$E143))</f>
        <v/>
      </c>
      <c r="M143" s="26">
        <f>INDEX(Calib!$R$1:$R$13,$D143)*$F143*(K142*(1-p_eps_g*$E143))^INDEX(Calib!$Q$1:$Q$13,$D143)*(L142*(1-p_eps_k*$E143))^p_alpha</f>
        <v/>
      </c>
      <c r="N143" s="26">
        <f>p_alpha*(1-INDEX(Calib!$H$1:$H$13,$D143))*M143/(INDEX(Calib!$K$1:$K$13,$D143)+p_delta)</f>
        <v/>
      </c>
      <c r="O143" s="26">
        <f>M143+$G143</f>
        <v/>
      </c>
      <c r="P143" s="26">
        <f>0*($H143+$I143)</f>
        <v/>
      </c>
      <c r="Q143" s="26">
        <f>INDEX(Calib!$I$1:$I$13,$D143)+p_sh_grant*P143</f>
        <v/>
      </c>
      <c r="R143" s="26">
        <f>INDEX(Calib!$H$1:$H$13,$D143)*M143+p_gov_take*$G143+Q143+0*p_pricing*$J143</f>
        <v/>
      </c>
      <c r="S143" s="26">
        <f>INDEX(Calib!$Y$1:$Y$13,$D143)-INDEX(Calib!$Z$1:$Z$13,$D143)*(V142/O142-INDEX(Calib!$AA$1:$AA$13,$D143))</f>
        <v/>
      </c>
      <c r="T143" s="26">
        <f>INDEX(Calib!$X$1:$X$13,$D143)+INDEX(Calib!$G$1:$G$13,$D143)+P143+S143-R143</f>
        <v/>
      </c>
      <c r="U143" s="26">
        <f>p_rk*W142+Y142*(V142-W142)</f>
        <v/>
      </c>
      <c r="V143" s="26">
        <f>V142+U143+T143</f>
        <v/>
      </c>
      <c r="W143" s="26">
        <f>INDEX(Calib!$U$1:$U$13,$D143)+(W142-INDEX(Calib!$U$1:$U$13,$D143))*(1-p_amort)+p_sh_conc*P143</f>
        <v/>
      </c>
      <c r="X143" s="26">
        <f>V143/O143</f>
        <v/>
      </c>
      <c r="Y143" s="26">
        <f>INDEX(Calib!$K$1:$K$13,$D143)+p_eta*MAX(0,X143-INDEX(Calib!$AA$1:$AA$13,$D143))</f>
        <v/>
      </c>
      <c r="Z143" s="26">
        <f>(1-INDEX(Calib!$H$1:$H$13,$D143))*(1-p_alpha)*M143+S143</f>
        <v/>
      </c>
      <c r="AA143" s="26">
        <f>(1-p_delta_g)*AA142*(1-p_eps_g*$E143)+INDEX(Calib!$E$1:$E$13,$D143)*(INDEX(Calib!$G$1:$G$13,$D143)+p_programme*$H143)</f>
        <v/>
      </c>
      <c r="AB143" s="26">
        <f>AB142*(1-p_eps_k*$E143)+p_lambda_k*(AD143-AB142*(1-p_eps_k*$E143))</f>
        <v/>
      </c>
      <c r="AC143" s="26">
        <f>INDEX(Calib!$R$1:$R$13,$D143)*$F143*(AA142*(1-p_eps_g*$E143))^INDEX(Calib!$Q$1:$Q$13,$D143)*(AB142*(1-p_eps_k*$E143))^p_alpha</f>
        <v/>
      </c>
      <c r="AD143" s="26">
        <f>p_alpha*(1-INDEX(Calib!$H$1:$H$13,$D143))*AC143/(INDEX(Calib!$K$1:$K$13,$D143)+p_delta)</f>
        <v/>
      </c>
      <c r="AE143" s="26">
        <f>AC143+$G143</f>
        <v/>
      </c>
      <c r="AF143" s="26">
        <f>p_programme*($H143+$I143)</f>
        <v/>
      </c>
      <c r="AG143" s="26">
        <f>INDEX(Calib!$I$1:$I$13,$D143)+p_sh_grant*AF143</f>
        <v/>
      </c>
      <c r="AH143" s="26">
        <f>INDEX(Calib!$H$1:$H$13,$D143)*AC143+p_gov_take*$G143+AG143+p_programme*p_pricing*$J143</f>
        <v/>
      </c>
      <c r="AI143" s="26">
        <f>INDEX(Calib!$Y$1:$Y$13,$D143)-INDEX(Calib!$Z$1:$Z$13,$D143)*(AL142/AE142-INDEX(Calib!$AA$1:$AA$13,$D143))</f>
        <v/>
      </c>
      <c r="AJ143" s="26">
        <f>INDEX(Calib!$X$1:$X$13,$D143)+INDEX(Calib!$G$1:$G$13,$D143)+AF143+AI143-AH143</f>
        <v/>
      </c>
      <c r="AK143" s="26">
        <f>p_rk*AM142+AO142*(AL142-AM142)</f>
        <v/>
      </c>
      <c r="AL143" s="26">
        <f>AL142+AK143+AJ143</f>
        <v/>
      </c>
      <c r="AM143" s="26">
        <f>INDEX(Calib!$U$1:$U$13,$D143)+(AM142-INDEX(Calib!$U$1:$U$13,$D143))*(1-p_amort)+p_sh_conc*AF143</f>
        <v/>
      </c>
      <c r="AN143" s="26">
        <f>AL143/AE143</f>
        <v/>
      </c>
      <c r="AO143" s="26">
        <f>INDEX(Calib!$K$1:$K$13,$D143)+p_eta*MAX(0,AN143-INDEX(Calib!$AA$1:$AA$13,$D143))</f>
        <v/>
      </c>
      <c r="AP143" s="26">
        <f>(1-INDEX(Calib!$H$1:$H$13,$D143))*(1-p_alpha)*AC143+AI143</f>
        <v/>
      </c>
      <c r="AQ143" s="26">
        <f>(AE143/O143-1)*100</f>
        <v/>
      </c>
      <c r="AR143" s="26">
        <f>(AE143/AE137-1)*100</f>
        <v/>
      </c>
      <c r="AS143" s="26">
        <f>(O143/O137-1)*100</f>
        <v/>
      </c>
      <c r="AT143" s="26">
        <f>(AN143-X143)*100</f>
        <v/>
      </c>
      <c r="AU143" s="26">
        <f>(AP143/Z143-1)*100</f>
        <v/>
      </c>
      <c r="AV143" s="26">
        <f>(AI143-S143)*100</f>
        <v/>
      </c>
    </row>
    <row r="144">
      <c r="A144" s="25" t="inlineStr">
        <is>
          <t>RWA</t>
        </is>
      </c>
      <c r="B144" s="25" t="n">
        <v>2031</v>
      </c>
      <c r="C144" s="25" t="n">
        <v>7</v>
      </c>
      <c r="D144" s="25" t="n">
        <v>7</v>
      </c>
      <c r="E144" s="25">
        <f>IF(AND(p_dis_year&gt;0,B144=p_dis_year),1,0)</f>
        <v/>
      </c>
      <c r="F144" s="26">
        <f>IF(AND(p_dis_year&gt;0,B144&gt;=p_dis_year),1-p_eps_a*p_rho_a^(B144-p_dis_year),1)</f>
        <v/>
      </c>
      <c r="G144" s="26">
        <f>INDEX(Calib!$N$1:$N$13,$D144)*(1-p_rent_decline*MIN(1,C144/26))</f>
        <v/>
      </c>
      <c r="H144" s="26">
        <f>IF(C144=0,0,SUMIFS(dl_val,dl_iso,$A144,dl_ind,"pub_cap",dl_year,$B144)/100)</f>
        <v/>
      </c>
      <c r="I144" s="26">
        <f>IF(C144=0,0,SUMIFS(dl_val,dl_iso,$A144,dl_ind,"pub_spend",dl_year,$B144)/100)</f>
        <v/>
      </c>
      <c r="J144" s="26">
        <f>IF(C144=0,0,SUMIFS(dl_val,dl_iso,$A144,dl_ind,"rev",dl_year,$B144)/100)</f>
        <v/>
      </c>
      <c r="K144" s="26">
        <f>(1-p_delta_g)*K143*(1-p_eps_g*$E144)+INDEX(Calib!$E$1:$E$13,$D144)*(INDEX(Calib!$G$1:$G$13,$D144)+0*$H144)</f>
        <v/>
      </c>
      <c r="L144" s="26">
        <f>L143*(1-p_eps_k*$E144)+p_lambda_k*(N144-L143*(1-p_eps_k*$E144))</f>
        <v/>
      </c>
      <c r="M144" s="26">
        <f>INDEX(Calib!$R$1:$R$13,$D144)*$F144*(K143*(1-p_eps_g*$E144))^INDEX(Calib!$Q$1:$Q$13,$D144)*(L143*(1-p_eps_k*$E144))^p_alpha</f>
        <v/>
      </c>
      <c r="N144" s="26">
        <f>p_alpha*(1-INDEX(Calib!$H$1:$H$13,$D144))*M144/(INDEX(Calib!$K$1:$K$13,$D144)+p_delta)</f>
        <v/>
      </c>
      <c r="O144" s="26">
        <f>M144+$G144</f>
        <v/>
      </c>
      <c r="P144" s="26">
        <f>0*($H144+$I144)</f>
        <v/>
      </c>
      <c r="Q144" s="26">
        <f>INDEX(Calib!$I$1:$I$13,$D144)+p_sh_grant*P144</f>
        <v/>
      </c>
      <c r="R144" s="26">
        <f>INDEX(Calib!$H$1:$H$13,$D144)*M144+p_gov_take*$G144+Q144+0*p_pricing*$J144</f>
        <v/>
      </c>
      <c r="S144" s="26">
        <f>INDEX(Calib!$Y$1:$Y$13,$D144)-INDEX(Calib!$Z$1:$Z$13,$D144)*(V143/O143-INDEX(Calib!$AA$1:$AA$13,$D144))</f>
        <v/>
      </c>
      <c r="T144" s="26">
        <f>INDEX(Calib!$X$1:$X$13,$D144)+INDEX(Calib!$G$1:$G$13,$D144)+P144+S144-R144</f>
        <v/>
      </c>
      <c r="U144" s="26">
        <f>p_rk*W143+Y143*(V143-W143)</f>
        <v/>
      </c>
      <c r="V144" s="26">
        <f>V143+U144+T144</f>
        <v/>
      </c>
      <c r="W144" s="26">
        <f>INDEX(Calib!$U$1:$U$13,$D144)+(W143-INDEX(Calib!$U$1:$U$13,$D144))*(1-p_amort)+p_sh_conc*P144</f>
        <v/>
      </c>
      <c r="X144" s="26">
        <f>V144/O144</f>
        <v/>
      </c>
      <c r="Y144" s="26">
        <f>INDEX(Calib!$K$1:$K$13,$D144)+p_eta*MAX(0,X144-INDEX(Calib!$AA$1:$AA$13,$D144))</f>
        <v/>
      </c>
      <c r="Z144" s="26">
        <f>(1-INDEX(Calib!$H$1:$H$13,$D144))*(1-p_alpha)*M144+S144</f>
        <v/>
      </c>
      <c r="AA144" s="26">
        <f>(1-p_delta_g)*AA143*(1-p_eps_g*$E144)+INDEX(Calib!$E$1:$E$13,$D144)*(INDEX(Calib!$G$1:$G$13,$D144)+p_programme*$H144)</f>
        <v/>
      </c>
      <c r="AB144" s="26">
        <f>AB143*(1-p_eps_k*$E144)+p_lambda_k*(AD144-AB143*(1-p_eps_k*$E144))</f>
        <v/>
      </c>
      <c r="AC144" s="26">
        <f>INDEX(Calib!$R$1:$R$13,$D144)*$F144*(AA143*(1-p_eps_g*$E144))^INDEX(Calib!$Q$1:$Q$13,$D144)*(AB143*(1-p_eps_k*$E144))^p_alpha</f>
        <v/>
      </c>
      <c r="AD144" s="26">
        <f>p_alpha*(1-INDEX(Calib!$H$1:$H$13,$D144))*AC144/(INDEX(Calib!$K$1:$K$13,$D144)+p_delta)</f>
        <v/>
      </c>
      <c r="AE144" s="26">
        <f>AC144+$G144</f>
        <v/>
      </c>
      <c r="AF144" s="26">
        <f>p_programme*($H144+$I144)</f>
        <v/>
      </c>
      <c r="AG144" s="26">
        <f>INDEX(Calib!$I$1:$I$13,$D144)+p_sh_grant*AF144</f>
        <v/>
      </c>
      <c r="AH144" s="26">
        <f>INDEX(Calib!$H$1:$H$13,$D144)*AC144+p_gov_take*$G144+AG144+p_programme*p_pricing*$J144</f>
        <v/>
      </c>
      <c r="AI144" s="26">
        <f>INDEX(Calib!$Y$1:$Y$13,$D144)-INDEX(Calib!$Z$1:$Z$13,$D144)*(AL143/AE143-INDEX(Calib!$AA$1:$AA$13,$D144))</f>
        <v/>
      </c>
      <c r="AJ144" s="26">
        <f>INDEX(Calib!$X$1:$X$13,$D144)+INDEX(Calib!$G$1:$G$13,$D144)+AF144+AI144-AH144</f>
        <v/>
      </c>
      <c r="AK144" s="26">
        <f>p_rk*AM143+AO143*(AL143-AM143)</f>
        <v/>
      </c>
      <c r="AL144" s="26">
        <f>AL143+AK144+AJ144</f>
        <v/>
      </c>
      <c r="AM144" s="26">
        <f>INDEX(Calib!$U$1:$U$13,$D144)+(AM143-INDEX(Calib!$U$1:$U$13,$D144))*(1-p_amort)+p_sh_conc*AF144</f>
        <v/>
      </c>
      <c r="AN144" s="26">
        <f>AL144/AE144</f>
        <v/>
      </c>
      <c r="AO144" s="26">
        <f>INDEX(Calib!$K$1:$K$13,$D144)+p_eta*MAX(0,AN144-INDEX(Calib!$AA$1:$AA$13,$D144))</f>
        <v/>
      </c>
      <c r="AP144" s="26">
        <f>(1-INDEX(Calib!$H$1:$H$13,$D144))*(1-p_alpha)*AC144+AI144</f>
        <v/>
      </c>
      <c r="AQ144" s="26">
        <f>(AE144/O144-1)*100</f>
        <v/>
      </c>
      <c r="AR144" s="26">
        <f>(AE144/AE137-1)*100</f>
        <v/>
      </c>
      <c r="AS144" s="26">
        <f>(O144/O137-1)*100</f>
        <v/>
      </c>
      <c r="AT144" s="26">
        <f>(AN144-X144)*100</f>
        <v/>
      </c>
      <c r="AU144" s="26">
        <f>(AP144/Z144-1)*100</f>
        <v/>
      </c>
      <c r="AV144" s="26">
        <f>(AI144-S144)*100</f>
        <v/>
      </c>
    </row>
    <row r="145">
      <c r="A145" s="25" t="inlineStr">
        <is>
          <t>RWA</t>
        </is>
      </c>
      <c r="B145" s="25" t="n">
        <v>2032</v>
      </c>
      <c r="C145" s="25" t="n">
        <v>8</v>
      </c>
      <c r="D145" s="25" t="n">
        <v>7</v>
      </c>
      <c r="E145" s="25">
        <f>IF(AND(p_dis_year&gt;0,B145=p_dis_year),1,0)</f>
        <v/>
      </c>
      <c r="F145" s="26">
        <f>IF(AND(p_dis_year&gt;0,B145&gt;=p_dis_year),1-p_eps_a*p_rho_a^(B145-p_dis_year),1)</f>
        <v/>
      </c>
      <c r="G145" s="26">
        <f>INDEX(Calib!$N$1:$N$13,$D145)*(1-p_rent_decline*MIN(1,C145/26))</f>
        <v/>
      </c>
      <c r="H145" s="26">
        <f>IF(C145=0,0,SUMIFS(dl_val,dl_iso,$A145,dl_ind,"pub_cap",dl_year,$B145)/100)</f>
        <v/>
      </c>
      <c r="I145" s="26">
        <f>IF(C145=0,0,SUMIFS(dl_val,dl_iso,$A145,dl_ind,"pub_spend",dl_year,$B145)/100)</f>
        <v/>
      </c>
      <c r="J145" s="26">
        <f>IF(C145=0,0,SUMIFS(dl_val,dl_iso,$A145,dl_ind,"rev",dl_year,$B145)/100)</f>
        <v/>
      </c>
      <c r="K145" s="26">
        <f>(1-p_delta_g)*K144*(1-p_eps_g*$E145)+INDEX(Calib!$E$1:$E$13,$D145)*(INDEX(Calib!$G$1:$G$13,$D145)+0*$H145)</f>
        <v/>
      </c>
      <c r="L145" s="26">
        <f>L144*(1-p_eps_k*$E145)+p_lambda_k*(N145-L144*(1-p_eps_k*$E145))</f>
        <v/>
      </c>
      <c r="M145" s="26">
        <f>INDEX(Calib!$R$1:$R$13,$D145)*$F145*(K144*(1-p_eps_g*$E145))^INDEX(Calib!$Q$1:$Q$13,$D145)*(L144*(1-p_eps_k*$E145))^p_alpha</f>
        <v/>
      </c>
      <c r="N145" s="26">
        <f>p_alpha*(1-INDEX(Calib!$H$1:$H$13,$D145))*M145/(INDEX(Calib!$K$1:$K$13,$D145)+p_delta)</f>
        <v/>
      </c>
      <c r="O145" s="26">
        <f>M145+$G145</f>
        <v/>
      </c>
      <c r="P145" s="26">
        <f>0*($H145+$I145)</f>
        <v/>
      </c>
      <c r="Q145" s="26">
        <f>INDEX(Calib!$I$1:$I$13,$D145)+p_sh_grant*P145</f>
        <v/>
      </c>
      <c r="R145" s="26">
        <f>INDEX(Calib!$H$1:$H$13,$D145)*M145+p_gov_take*$G145+Q145+0*p_pricing*$J145</f>
        <v/>
      </c>
      <c r="S145" s="26">
        <f>INDEX(Calib!$Y$1:$Y$13,$D145)-INDEX(Calib!$Z$1:$Z$13,$D145)*(V144/O144-INDEX(Calib!$AA$1:$AA$13,$D145))</f>
        <v/>
      </c>
      <c r="T145" s="26">
        <f>INDEX(Calib!$X$1:$X$13,$D145)+INDEX(Calib!$G$1:$G$13,$D145)+P145+S145-R145</f>
        <v/>
      </c>
      <c r="U145" s="26">
        <f>p_rk*W144+Y144*(V144-W144)</f>
        <v/>
      </c>
      <c r="V145" s="26">
        <f>V144+U145+T145</f>
        <v/>
      </c>
      <c r="W145" s="26">
        <f>INDEX(Calib!$U$1:$U$13,$D145)+(W144-INDEX(Calib!$U$1:$U$13,$D145))*(1-p_amort)+p_sh_conc*P145</f>
        <v/>
      </c>
      <c r="X145" s="26">
        <f>V145/O145</f>
        <v/>
      </c>
      <c r="Y145" s="26">
        <f>INDEX(Calib!$K$1:$K$13,$D145)+p_eta*MAX(0,X145-INDEX(Calib!$AA$1:$AA$13,$D145))</f>
        <v/>
      </c>
      <c r="Z145" s="26">
        <f>(1-INDEX(Calib!$H$1:$H$13,$D145))*(1-p_alpha)*M145+S145</f>
        <v/>
      </c>
      <c r="AA145" s="26">
        <f>(1-p_delta_g)*AA144*(1-p_eps_g*$E145)+INDEX(Calib!$E$1:$E$13,$D145)*(INDEX(Calib!$G$1:$G$13,$D145)+p_programme*$H145)</f>
        <v/>
      </c>
      <c r="AB145" s="26">
        <f>AB144*(1-p_eps_k*$E145)+p_lambda_k*(AD145-AB144*(1-p_eps_k*$E145))</f>
        <v/>
      </c>
      <c r="AC145" s="26">
        <f>INDEX(Calib!$R$1:$R$13,$D145)*$F145*(AA144*(1-p_eps_g*$E145))^INDEX(Calib!$Q$1:$Q$13,$D145)*(AB144*(1-p_eps_k*$E145))^p_alpha</f>
        <v/>
      </c>
      <c r="AD145" s="26">
        <f>p_alpha*(1-INDEX(Calib!$H$1:$H$13,$D145))*AC145/(INDEX(Calib!$K$1:$K$13,$D145)+p_delta)</f>
        <v/>
      </c>
      <c r="AE145" s="26">
        <f>AC145+$G145</f>
        <v/>
      </c>
      <c r="AF145" s="26">
        <f>p_programme*($H145+$I145)</f>
        <v/>
      </c>
      <c r="AG145" s="26">
        <f>INDEX(Calib!$I$1:$I$13,$D145)+p_sh_grant*AF145</f>
        <v/>
      </c>
      <c r="AH145" s="26">
        <f>INDEX(Calib!$H$1:$H$13,$D145)*AC145+p_gov_take*$G145+AG145+p_programme*p_pricing*$J145</f>
        <v/>
      </c>
      <c r="AI145" s="26">
        <f>INDEX(Calib!$Y$1:$Y$13,$D145)-INDEX(Calib!$Z$1:$Z$13,$D145)*(AL144/AE144-INDEX(Calib!$AA$1:$AA$13,$D145))</f>
        <v/>
      </c>
      <c r="AJ145" s="26">
        <f>INDEX(Calib!$X$1:$X$13,$D145)+INDEX(Calib!$G$1:$G$13,$D145)+AF145+AI145-AH145</f>
        <v/>
      </c>
      <c r="AK145" s="26">
        <f>p_rk*AM144+AO144*(AL144-AM144)</f>
        <v/>
      </c>
      <c r="AL145" s="26">
        <f>AL144+AK145+AJ145</f>
        <v/>
      </c>
      <c r="AM145" s="26">
        <f>INDEX(Calib!$U$1:$U$13,$D145)+(AM144-INDEX(Calib!$U$1:$U$13,$D145))*(1-p_amort)+p_sh_conc*AF145</f>
        <v/>
      </c>
      <c r="AN145" s="26">
        <f>AL145/AE145</f>
        <v/>
      </c>
      <c r="AO145" s="26">
        <f>INDEX(Calib!$K$1:$K$13,$D145)+p_eta*MAX(0,AN145-INDEX(Calib!$AA$1:$AA$13,$D145))</f>
        <v/>
      </c>
      <c r="AP145" s="26">
        <f>(1-INDEX(Calib!$H$1:$H$13,$D145))*(1-p_alpha)*AC145+AI145</f>
        <v/>
      </c>
      <c r="AQ145" s="26">
        <f>(AE145/O145-1)*100</f>
        <v/>
      </c>
      <c r="AR145" s="26">
        <f>(AE145/AE137-1)*100</f>
        <v/>
      </c>
      <c r="AS145" s="26">
        <f>(O145/O137-1)*100</f>
        <v/>
      </c>
      <c r="AT145" s="26">
        <f>(AN145-X145)*100</f>
        <v/>
      </c>
      <c r="AU145" s="26">
        <f>(AP145/Z145-1)*100</f>
        <v/>
      </c>
      <c r="AV145" s="26">
        <f>(AI145-S145)*100</f>
        <v/>
      </c>
    </row>
    <row r="146">
      <c r="A146" s="25" t="inlineStr">
        <is>
          <t>RWA</t>
        </is>
      </c>
      <c r="B146" s="25" t="n">
        <v>2033</v>
      </c>
      <c r="C146" s="25" t="n">
        <v>9</v>
      </c>
      <c r="D146" s="25" t="n">
        <v>7</v>
      </c>
      <c r="E146" s="25">
        <f>IF(AND(p_dis_year&gt;0,B146=p_dis_year),1,0)</f>
        <v/>
      </c>
      <c r="F146" s="26">
        <f>IF(AND(p_dis_year&gt;0,B146&gt;=p_dis_year),1-p_eps_a*p_rho_a^(B146-p_dis_year),1)</f>
        <v/>
      </c>
      <c r="G146" s="26">
        <f>INDEX(Calib!$N$1:$N$13,$D146)*(1-p_rent_decline*MIN(1,C146/26))</f>
        <v/>
      </c>
      <c r="H146" s="26">
        <f>IF(C146=0,0,SUMIFS(dl_val,dl_iso,$A146,dl_ind,"pub_cap",dl_year,$B146)/100)</f>
        <v/>
      </c>
      <c r="I146" s="26">
        <f>IF(C146=0,0,SUMIFS(dl_val,dl_iso,$A146,dl_ind,"pub_spend",dl_year,$B146)/100)</f>
        <v/>
      </c>
      <c r="J146" s="26">
        <f>IF(C146=0,0,SUMIFS(dl_val,dl_iso,$A146,dl_ind,"rev",dl_year,$B146)/100)</f>
        <v/>
      </c>
      <c r="K146" s="26">
        <f>(1-p_delta_g)*K145*(1-p_eps_g*$E146)+INDEX(Calib!$E$1:$E$13,$D146)*(INDEX(Calib!$G$1:$G$13,$D146)+0*$H146)</f>
        <v/>
      </c>
      <c r="L146" s="26">
        <f>L145*(1-p_eps_k*$E146)+p_lambda_k*(N146-L145*(1-p_eps_k*$E146))</f>
        <v/>
      </c>
      <c r="M146" s="26">
        <f>INDEX(Calib!$R$1:$R$13,$D146)*$F146*(K145*(1-p_eps_g*$E146))^INDEX(Calib!$Q$1:$Q$13,$D146)*(L145*(1-p_eps_k*$E146))^p_alpha</f>
        <v/>
      </c>
      <c r="N146" s="26">
        <f>p_alpha*(1-INDEX(Calib!$H$1:$H$13,$D146))*M146/(INDEX(Calib!$K$1:$K$13,$D146)+p_delta)</f>
        <v/>
      </c>
      <c r="O146" s="26">
        <f>M146+$G146</f>
        <v/>
      </c>
      <c r="P146" s="26">
        <f>0*($H146+$I146)</f>
        <v/>
      </c>
      <c r="Q146" s="26">
        <f>INDEX(Calib!$I$1:$I$13,$D146)+p_sh_grant*P146</f>
        <v/>
      </c>
      <c r="R146" s="26">
        <f>INDEX(Calib!$H$1:$H$13,$D146)*M146+p_gov_take*$G146+Q146+0*p_pricing*$J146</f>
        <v/>
      </c>
      <c r="S146" s="26">
        <f>INDEX(Calib!$Y$1:$Y$13,$D146)-INDEX(Calib!$Z$1:$Z$13,$D146)*(V145/O145-INDEX(Calib!$AA$1:$AA$13,$D146))</f>
        <v/>
      </c>
      <c r="T146" s="26">
        <f>INDEX(Calib!$X$1:$X$13,$D146)+INDEX(Calib!$G$1:$G$13,$D146)+P146+S146-R146</f>
        <v/>
      </c>
      <c r="U146" s="26">
        <f>p_rk*W145+Y145*(V145-W145)</f>
        <v/>
      </c>
      <c r="V146" s="26">
        <f>V145+U146+T146</f>
        <v/>
      </c>
      <c r="W146" s="26">
        <f>INDEX(Calib!$U$1:$U$13,$D146)+(W145-INDEX(Calib!$U$1:$U$13,$D146))*(1-p_amort)+p_sh_conc*P146</f>
        <v/>
      </c>
      <c r="X146" s="26">
        <f>V146/O146</f>
        <v/>
      </c>
      <c r="Y146" s="26">
        <f>INDEX(Calib!$K$1:$K$13,$D146)+p_eta*MAX(0,X146-INDEX(Calib!$AA$1:$AA$13,$D146))</f>
        <v/>
      </c>
      <c r="Z146" s="26">
        <f>(1-INDEX(Calib!$H$1:$H$13,$D146))*(1-p_alpha)*M146+S146</f>
        <v/>
      </c>
      <c r="AA146" s="26">
        <f>(1-p_delta_g)*AA145*(1-p_eps_g*$E146)+INDEX(Calib!$E$1:$E$13,$D146)*(INDEX(Calib!$G$1:$G$13,$D146)+p_programme*$H146)</f>
        <v/>
      </c>
      <c r="AB146" s="26">
        <f>AB145*(1-p_eps_k*$E146)+p_lambda_k*(AD146-AB145*(1-p_eps_k*$E146))</f>
        <v/>
      </c>
      <c r="AC146" s="26">
        <f>INDEX(Calib!$R$1:$R$13,$D146)*$F146*(AA145*(1-p_eps_g*$E146))^INDEX(Calib!$Q$1:$Q$13,$D146)*(AB145*(1-p_eps_k*$E146))^p_alpha</f>
        <v/>
      </c>
      <c r="AD146" s="26">
        <f>p_alpha*(1-INDEX(Calib!$H$1:$H$13,$D146))*AC146/(INDEX(Calib!$K$1:$K$13,$D146)+p_delta)</f>
        <v/>
      </c>
      <c r="AE146" s="26">
        <f>AC146+$G146</f>
        <v/>
      </c>
      <c r="AF146" s="26">
        <f>p_programme*($H146+$I146)</f>
        <v/>
      </c>
      <c r="AG146" s="26">
        <f>INDEX(Calib!$I$1:$I$13,$D146)+p_sh_grant*AF146</f>
        <v/>
      </c>
      <c r="AH146" s="26">
        <f>INDEX(Calib!$H$1:$H$13,$D146)*AC146+p_gov_take*$G146+AG146+p_programme*p_pricing*$J146</f>
        <v/>
      </c>
      <c r="AI146" s="26">
        <f>INDEX(Calib!$Y$1:$Y$13,$D146)-INDEX(Calib!$Z$1:$Z$13,$D146)*(AL145/AE145-INDEX(Calib!$AA$1:$AA$13,$D146))</f>
        <v/>
      </c>
      <c r="AJ146" s="26">
        <f>INDEX(Calib!$X$1:$X$13,$D146)+INDEX(Calib!$G$1:$G$13,$D146)+AF146+AI146-AH146</f>
        <v/>
      </c>
      <c r="AK146" s="26">
        <f>p_rk*AM145+AO145*(AL145-AM145)</f>
        <v/>
      </c>
      <c r="AL146" s="26">
        <f>AL145+AK146+AJ146</f>
        <v/>
      </c>
      <c r="AM146" s="26">
        <f>INDEX(Calib!$U$1:$U$13,$D146)+(AM145-INDEX(Calib!$U$1:$U$13,$D146))*(1-p_amort)+p_sh_conc*AF146</f>
        <v/>
      </c>
      <c r="AN146" s="26">
        <f>AL146/AE146</f>
        <v/>
      </c>
      <c r="AO146" s="26">
        <f>INDEX(Calib!$K$1:$K$13,$D146)+p_eta*MAX(0,AN146-INDEX(Calib!$AA$1:$AA$13,$D146))</f>
        <v/>
      </c>
      <c r="AP146" s="26">
        <f>(1-INDEX(Calib!$H$1:$H$13,$D146))*(1-p_alpha)*AC146+AI146</f>
        <v/>
      </c>
      <c r="AQ146" s="26">
        <f>(AE146/O146-1)*100</f>
        <v/>
      </c>
      <c r="AR146" s="26">
        <f>(AE146/AE137-1)*100</f>
        <v/>
      </c>
      <c r="AS146" s="26">
        <f>(O146/O137-1)*100</f>
        <v/>
      </c>
      <c r="AT146" s="26">
        <f>(AN146-X146)*100</f>
        <v/>
      </c>
      <c r="AU146" s="26">
        <f>(AP146/Z146-1)*100</f>
        <v/>
      </c>
      <c r="AV146" s="26">
        <f>(AI146-S146)*100</f>
        <v/>
      </c>
    </row>
    <row r="147">
      <c r="A147" s="25" t="inlineStr">
        <is>
          <t>RWA</t>
        </is>
      </c>
      <c r="B147" s="25" t="n">
        <v>2034</v>
      </c>
      <c r="C147" s="25" t="n">
        <v>10</v>
      </c>
      <c r="D147" s="25" t="n">
        <v>7</v>
      </c>
      <c r="E147" s="25">
        <f>IF(AND(p_dis_year&gt;0,B147=p_dis_year),1,0)</f>
        <v/>
      </c>
      <c r="F147" s="26">
        <f>IF(AND(p_dis_year&gt;0,B147&gt;=p_dis_year),1-p_eps_a*p_rho_a^(B147-p_dis_year),1)</f>
        <v/>
      </c>
      <c r="G147" s="26">
        <f>INDEX(Calib!$N$1:$N$13,$D147)*(1-p_rent_decline*MIN(1,C147/26))</f>
        <v/>
      </c>
      <c r="H147" s="26">
        <f>IF(C147=0,0,SUMIFS(dl_val,dl_iso,$A147,dl_ind,"pub_cap",dl_year,$B147)/100)</f>
        <v/>
      </c>
      <c r="I147" s="26">
        <f>IF(C147=0,0,SUMIFS(dl_val,dl_iso,$A147,dl_ind,"pub_spend",dl_year,$B147)/100)</f>
        <v/>
      </c>
      <c r="J147" s="26">
        <f>IF(C147=0,0,SUMIFS(dl_val,dl_iso,$A147,dl_ind,"rev",dl_year,$B147)/100)</f>
        <v/>
      </c>
      <c r="K147" s="26">
        <f>(1-p_delta_g)*K146*(1-p_eps_g*$E147)+INDEX(Calib!$E$1:$E$13,$D147)*(INDEX(Calib!$G$1:$G$13,$D147)+0*$H147)</f>
        <v/>
      </c>
      <c r="L147" s="26">
        <f>L146*(1-p_eps_k*$E147)+p_lambda_k*(N147-L146*(1-p_eps_k*$E147))</f>
        <v/>
      </c>
      <c r="M147" s="26">
        <f>INDEX(Calib!$R$1:$R$13,$D147)*$F147*(K146*(1-p_eps_g*$E147))^INDEX(Calib!$Q$1:$Q$13,$D147)*(L146*(1-p_eps_k*$E147))^p_alpha</f>
        <v/>
      </c>
      <c r="N147" s="26">
        <f>p_alpha*(1-INDEX(Calib!$H$1:$H$13,$D147))*M147/(INDEX(Calib!$K$1:$K$13,$D147)+p_delta)</f>
        <v/>
      </c>
      <c r="O147" s="26">
        <f>M147+$G147</f>
        <v/>
      </c>
      <c r="P147" s="26">
        <f>0*($H147+$I147)</f>
        <v/>
      </c>
      <c r="Q147" s="26">
        <f>INDEX(Calib!$I$1:$I$13,$D147)+p_sh_grant*P147</f>
        <v/>
      </c>
      <c r="R147" s="26">
        <f>INDEX(Calib!$H$1:$H$13,$D147)*M147+p_gov_take*$G147+Q147+0*p_pricing*$J147</f>
        <v/>
      </c>
      <c r="S147" s="26">
        <f>INDEX(Calib!$Y$1:$Y$13,$D147)-INDEX(Calib!$Z$1:$Z$13,$D147)*(V146/O146-INDEX(Calib!$AA$1:$AA$13,$D147))</f>
        <v/>
      </c>
      <c r="T147" s="26">
        <f>INDEX(Calib!$X$1:$X$13,$D147)+INDEX(Calib!$G$1:$G$13,$D147)+P147+S147-R147</f>
        <v/>
      </c>
      <c r="U147" s="26">
        <f>p_rk*W146+Y146*(V146-W146)</f>
        <v/>
      </c>
      <c r="V147" s="26">
        <f>V146+U147+T147</f>
        <v/>
      </c>
      <c r="W147" s="26">
        <f>INDEX(Calib!$U$1:$U$13,$D147)+(W146-INDEX(Calib!$U$1:$U$13,$D147))*(1-p_amort)+p_sh_conc*P147</f>
        <v/>
      </c>
      <c r="X147" s="26">
        <f>V147/O147</f>
        <v/>
      </c>
      <c r="Y147" s="26">
        <f>INDEX(Calib!$K$1:$K$13,$D147)+p_eta*MAX(0,X147-INDEX(Calib!$AA$1:$AA$13,$D147))</f>
        <v/>
      </c>
      <c r="Z147" s="26">
        <f>(1-INDEX(Calib!$H$1:$H$13,$D147))*(1-p_alpha)*M147+S147</f>
        <v/>
      </c>
      <c r="AA147" s="26">
        <f>(1-p_delta_g)*AA146*(1-p_eps_g*$E147)+INDEX(Calib!$E$1:$E$13,$D147)*(INDEX(Calib!$G$1:$G$13,$D147)+p_programme*$H147)</f>
        <v/>
      </c>
      <c r="AB147" s="26">
        <f>AB146*(1-p_eps_k*$E147)+p_lambda_k*(AD147-AB146*(1-p_eps_k*$E147))</f>
        <v/>
      </c>
      <c r="AC147" s="26">
        <f>INDEX(Calib!$R$1:$R$13,$D147)*$F147*(AA146*(1-p_eps_g*$E147))^INDEX(Calib!$Q$1:$Q$13,$D147)*(AB146*(1-p_eps_k*$E147))^p_alpha</f>
        <v/>
      </c>
      <c r="AD147" s="26">
        <f>p_alpha*(1-INDEX(Calib!$H$1:$H$13,$D147))*AC147/(INDEX(Calib!$K$1:$K$13,$D147)+p_delta)</f>
        <v/>
      </c>
      <c r="AE147" s="26">
        <f>AC147+$G147</f>
        <v/>
      </c>
      <c r="AF147" s="26">
        <f>p_programme*($H147+$I147)</f>
        <v/>
      </c>
      <c r="AG147" s="26">
        <f>INDEX(Calib!$I$1:$I$13,$D147)+p_sh_grant*AF147</f>
        <v/>
      </c>
      <c r="AH147" s="26">
        <f>INDEX(Calib!$H$1:$H$13,$D147)*AC147+p_gov_take*$G147+AG147+p_programme*p_pricing*$J147</f>
        <v/>
      </c>
      <c r="AI147" s="26">
        <f>INDEX(Calib!$Y$1:$Y$13,$D147)-INDEX(Calib!$Z$1:$Z$13,$D147)*(AL146/AE146-INDEX(Calib!$AA$1:$AA$13,$D147))</f>
        <v/>
      </c>
      <c r="AJ147" s="26">
        <f>INDEX(Calib!$X$1:$X$13,$D147)+INDEX(Calib!$G$1:$G$13,$D147)+AF147+AI147-AH147</f>
        <v/>
      </c>
      <c r="AK147" s="26">
        <f>p_rk*AM146+AO146*(AL146-AM146)</f>
        <v/>
      </c>
      <c r="AL147" s="26">
        <f>AL146+AK147+AJ147</f>
        <v/>
      </c>
      <c r="AM147" s="26">
        <f>INDEX(Calib!$U$1:$U$13,$D147)+(AM146-INDEX(Calib!$U$1:$U$13,$D147))*(1-p_amort)+p_sh_conc*AF147</f>
        <v/>
      </c>
      <c r="AN147" s="26">
        <f>AL147/AE147</f>
        <v/>
      </c>
      <c r="AO147" s="26">
        <f>INDEX(Calib!$K$1:$K$13,$D147)+p_eta*MAX(0,AN147-INDEX(Calib!$AA$1:$AA$13,$D147))</f>
        <v/>
      </c>
      <c r="AP147" s="26">
        <f>(1-INDEX(Calib!$H$1:$H$13,$D147))*(1-p_alpha)*AC147+AI147</f>
        <v/>
      </c>
      <c r="AQ147" s="26">
        <f>(AE147/O147-1)*100</f>
        <v/>
      </c>
      <c r="AR147" s="26">
        <f>(AE147/AE137-1)*100</f>
        <v/>
      </c>
      <c r="AS147" s="26">
        <f>(O147/O137-1)*100</f>
        <v/>
      </c>
      <c r="AT147" s="26">
        <f>(AN147-X147)*100</f>
        <v/>
      </c>
      <c r="AU147" s="26">
        <f>(AP147/Z147-1)*100</f>
        <v/>
      </c>
      <c r="AV147" s="26">
        <f>(AI147-S147)*100</f>
        <v/>
      </c>
    </row>
    <row r="148">
      <c r="A148" s="25" t="inlineStr">
        <is>
          <t>RWA</t>
        </is>
      </c>
      <c r="B148" s="25" t="n">
        <v>2035</v>
      </c>
      <c r="C148" s="25" t="n">
        <v>11</v>
      </c>
      <c r="D148" s="25" t="n">
        <v>7</v>
      </c>
      <c r="E148" s="25">
        <f>IF(AND(p_dis_year&gt;0,B148=p_dis_year),1,0)</f>
        <v/>
      </c>
      <c r="F148" s="26">
        <f>IF(AND(p_dis_year&gt;0,B148&gt;=p_dis_year),1-p_eps_a*p_rho_a^(B148-p_dis_year),1)</f>
        <v/>
      </c>
      <c r="G148" s="26">
        <f>INDEX(Calib!$N$1:$N$13,$D148)*(1-p_rent_decline*MIN(1,C148/26))</f>
        <v/>
      </c>
      <c r="H148" s="26">
        <f>IF(C148=0,0,SUMIFS(dl_val,dl_iso,$A148,dl_ind,"pub_cap",dl_year,$B148)/100)</f>
        <v/>
      </c>
      <c r="I148" s="26">
        <f>IF(C148=0,0,SUMIFS(dl_val,dl_iso,$A148,dl_ind,"pub_spend",dl_year,$B148)/100)</f>
        <v/>
      </c>
      <c r="J148" s="26">
        <f>IF(C148=0,0,SUMIFS(dl_val,dl_iso,$A148,dl_ind,"rev",dl_year,$B148)/100)</f>
        <v/>
      </c>
      <c r="K148" s="26">
        <f>(1-p_delta_g)*K147*(1-p_eps_g*$E148)+INDEX(Calib!$E$1:$E$13,$D148)*(INDEX(Calib!$G$1:$G$13,$D148)+0*$H148)</f>
        <v/>
      </c>
      <c r="L148" s="26">
        <f>L147*(1-p_eps_k*$E148)+p_lambda_k*(N148-L147*(1-p_eps_k*$E148))</f>
        <v/>
      </c>
      <c r="M148" s="26">
        <f>INDEX(Calib!$R$1:$R$13,$D148)*$F148*(K147*(1-p_eps_g*$E148))^INDEX(Calib!$Q$1:$Q$13,$D148)*(L147*(1-p_eps_k*$E148))^p_alpha</f>
        <v/>
      </c>
      <c r="N148" s="26">
        <f>p_alpha*(1-INDEX(Calib!$H$1:$H$13,$D148))*M148/(INDEX(Calib!$K$1:$K$13,$D148)+p_delta)</f>
        <v/>
      </c>
      <c r="O148" s="26">
        <f>M148+$G148</f>
        <v/>
      </c>
      <c r="P148" s="26">
        <f>0*($H148+$I148)</f>
        <v/>
      </c>
      <c r="Q148" s="26">
        <f>INDEX(Calib!$I$1:$I$13,$D148)+p_sh_grant*P148</f>
        <v/>
      </c>
      <c r="R148" s="26">
        <f>INDEX(Calib!$H$1:$H$13,$D148)*M148+p_gov_take*$G148+Q148+0*p_pricing*$J148</f>
        <v/>
      </c>
      <c r="S148" s="26">
        <f>INDEX(Calib!$Y$1:$Y$13,$D148)-INDEX(Calib!$Z$1:$Z$13,$D148)*(V147/O147-INDEX(Calib!$AA$1:$AA$13,$D148))</f>
        <v/>
      </c>
      <c r="T148" s="26">
        <f>INDEX(Calib!$X$1:$X$13,$D148)+INDEX(Calib!$G$1:$G$13,$D148)+P148+S148-R148</f>
        <v/>
      </c>
      <c r="U148" s="26">
        <f>p_rk*W147+Y147*(V147-W147)</f>
        <v/>
      </c>
      <c r="V148" s="26">
        <f>V147+U148+T148</f>
        <v/>
      </c>
      <c r="W148" s="26">
        <f>INDEX(Calib!$U$1:$U$13,$D148)+(W147-INDEX(Calib!$U$1:$U$13,$D148))*(1-p_amort)+p_sh_conc*P148</f>
        <v/>
      </c>
      <c r="X148" s="26">
        <f>V148/O148</f>
        <v/>
      </c>
      <c r="Y148" s="26">
        <f>INDEX(Calib!$K$1:$K$13,$D148)+p_eta*MAX(0,X148-INDEX(Calib!$AA$1:$AA$13,$D148))</f>
        <v/>
      </c>
      <c r="Z148" s="26">
        <f>(1-INDEX(Calib!$H$1:$H$13,$D148))*(1-p_alpha)*M148+S148</f>
        <v/>
      </c>
      <c r="AA148" s="26">
        <f>(1-p_delta_g)*AA147*(1-p_eps_g*$E148)+INDEX(Calib!$E$1:$E$13,$D148)*(INDEX(Calib!$G$1:$G$13,$D148)+p_programme*$H148)</f>
        <v/>
      </c>
      <c r="AB148" s="26">
        <f>AB147*(1-p_eps_k*$E148)+p_lambda_k*(AD148-AB147*(1-p_eps_k*$E148))</f>
        <v/>
      </c>
      <c r="AC148" s="26">
        <f>INDEX(Calib!$R$1:$R$13,$D148)*$F148*(AA147*(1-p_eps_g*$E148))^INDEX(Calib!$Q$1:$Q$13,$D148)*(AB147*(1-p_eps_k*$E148))^p_alpha</f>
        <v/>
      </c>
      <c r="AD148" s="26">
        <f>p_alpha*(1-INDEX(Calib!$H$1:$H$13,$D148))*AC148/(INDEX(Calib!$K$1:$K$13,$D148)+p_delta)</f>
        <v/>
      </c>
      <c r="AE148" s="26">
        <f>AC148+$G148</f>
        <v/>
      </c>
      <c r="AF148" s="26">
        <f>p_programme*($H148+$I148)</f>
        <v/>
      </c>
      <c r="AG148" s="26">
        <f>INDEX(Calib!$I$1:$I$13,$D148)+p_sh_grant*AF148</f>
        <v/>
      </c>
      <c r="AH148" s="26">
        <f>INDEX(Calib!$H$1:$H$13,$D148)*AC148+p_gov_take*$G148+AG148+p_programme*p_pricing*$J148</f>
        <v/>
      </c>
      <c r="AI148" s="26">
        <f>INDEX(Calib!$Y$1:$Y$13,$D148)-INDEX(Calib!$Z$1:$Z$13,$D148)*(AL147/AE147-INDEX(Calib!$AA$1:$AA$13,$D148))</f>
        <v/>
      </c>
      <c r="AJ148" s="26">
        <f>INDEX(Calib!$X$1:$X$13,$D148)+INDEX(Calib!$G$1:$G$13,$D148)+AF148+AI148-AH148</f>
        <v/>
      </c>
      <c r="AK148" s="26">
        <f>p_rk*AM147+AO147*(AL147-AM147)</f>
        <v/>
      </c>
      <c r="AL148" s="26">
        <f>AL147+AK148+AJ148</f>
        <v/>
      </c>
      <c r="AM148" s="26">
        <f>INDEX(Calib!$U$1:$U$13,$D148)+(AM147-INDEX(Calib!$U$1:$U$13,$D148))*(1-p_amort)+p_sh_conc*AF148</f>
        <v/>
      </c>
      <c r="AN148" s="26">
        <f>AL148/AE148</f>
        <v/>
      </c>
      <c r="AO148" s="26">
        <f>INDEX(Calib!$K$1:$K$13,$D148)+p_eta*MAX(0,AN148-INDEX(Calib!$AA$1:$AA$13,$D148))</f>
        <v/>
      </c>
      <c r="AP148" s="26">
        <f>(1-INDEX(Calib!$H$1:$H$13,$D148))*(1-p_alpha)*AC148+AI148</f>
        <v/>
      </c>
      <c r="AQ148" s="26">
        <f>(AE148/O148-1)*100</f>
        <v/>
      </c>
      <c r="AR148" s="26">
        <f>(AE148/AE137-1)*100</f>
        <v/>
      </c>
      <c r="AS148" s="26">
        <f>(O148/O137-1)*100</f>
        <v/>
      </c>
      <c r="AT148" s="26">
        <f>(AN148-X148)*100</f>
        <v/>
      </c>
      <c r="AU148" s="26">
        <f>(AP148/Z148-1)*100</f>
        <v/>
      </c>
      <c r="AV148" s="26">
        <f>(AI148-S148)*100</f>
        <v/>
      </c>
    </row>
    <row r="149">
      <c r="A149" s="25" t="inlineStr">
        <is>
          <t>RWA</t>
        </is>
      </c>
      <c r="B149" s="25" t="n">
        <v>2036</v>
      </c>
      <c r="C149" s="25" t="n">
        <v>12</v>
      </c>
      <c r="D149" s="25" t="n">
        <v>7</v>
      </c>
      <c r="E149" s="25">
        <f>IF(AND(p_dis_year&gt;0,B149=p_dis_year),1,0)</f>
        <v/>
      </c>
      <c r="F149" s="26">
        <f>IF(AND(p_dis_year&gt;0,B149&gt;=p_dis_year),1-p_eps_a*p_rho_a^(B149-p_dis_year),1)</f>
        <v/>
      </c>
      <c r="G149" s="26">
        <f>INDEX(Calib!$N$1:$N$13,$D149)*(1-p_rent_decline*MIN(1,C149/26))</f>
        <v/>
      </c>
      <c r="H149" s="26">
        <f>IF(C149=0,0,SUMIFS(dl_val,dl_iso,$A149,dl_ind,"pub_cap",dl_year,$B149)/100)</f>
        <v/>
      </c>
      <c r="I149" s="26">
        <f>IF(C149=0,0,SUMIFS(dl_val,dl_iso,$A149,dl_ind,"pub_spend",dl_year,$B149)/100)</f>
        <v/>
      </c>
      <c r="J149" s="26">
        <f>IF(C149=0,0,SUMIFS(dl_val,dl_iso,$A149,dl_ind,"rev",dl_year,$B149)/100)</f>
        <v/>
      </c>
      <c r="K149" s="26">
        <f>(1-p_delta_g)*K148*(1-p_eps_g*$E149)+INDEX(Calib!$E$1:$E$13,$D149)*(INDEX(Calib!$G$1:$G$13,$D149)+0*$H149)</f>
        <v/>
      </c>
      <c r="L149" s="26">
        <f>L148*(1-p_eps_k*$E149)+p_lambda_k*(N149-L148*(1-p_eps_k*$E149))</f>
        <v/>
      </c>
      <c r="M149" s="26">
        <f>INDEX(Calib!$R$1:$R$13,$D149)*$F149*(K148*(1-p_eps_g*$E149))^INDEX(Calib!$Q$1:$Q$13,$D149)*(L148*(1-p_eps_k*$E149))^p_alpha</f>
        <v/>
      </c>
      <c r="N149" s="26">
        <f>p_alpha*(1-INDEX(Calib!$H$1:$H$13,$D149))*M149/(INDEX(Calib!$K$1:$K$13,$D149)+p_delta)</f>
        <v/>
      </c>
      <c r="O149" s="26">
        <f>M149+$G149</f>
        <v/>
      </c>
      <c r="P149" s="26">
        <f>0*($H149+$I149)</f>
        <v/>
      </c>
      <c r="Q149" s="26">
        <f>INDEX(Calib!$I$1:$I$13,$D149)+p_sh_grant*P149</f>
        <v/>
      </c>
      <c r="R149" s="26">
        <f>INDEX(Calib!$H$1:$H$13,$D149)*M149+p_gov_take*$G149+Q149+0*p_pricing*$J149</f>
        <v/>
      </c>
      <c r="S149" s="26">
        <f>INDEX(Calib!$Y$1:$Y$13,$D149)-INDEX(Calib!$Z$1:$Z$13,$D149)*(V148/O148-INDEX(Calib!$AA$1:$AA$13,$D149))</f>
        <v/>
      </c>
      <c r="T149" s="26">
        <f>INDEX(Calib!$X$1:$X$13,$D149)+INDEX(Calib!$G$1:$G$13,$D149)+P149+S149-R149</f>
        <v/>
      </c>
      <c r="U149" s="26">
        <f>p_rk*W148+Y148*(V148-W148)</f>
        <v/>
      </c>
      <c r="V149" s="26">
        <f>V148+U149+T149</f>
        <v/>
      </c>
      <c r="W149" s="26">
        <f>INDEX(Calib!$U$1:$U$13,$D149)+(W148-INDEX(Calib!$U$1:$U$13,$D149))*(1-p_amort)+p_sh_conc*P149</f>
        <v/>
      </c>
      <c r="X149" s="26">
        <f>V149/O149</f>
        <v/>
      </c>
      <c r="Y149" s="26">
        <f>INDEX(Calib!$K$1:$K$13,$D149)+p_eta*MAX(0,X149-INDEX(Calib!$AA$1:$AA$13,$D149))</f>
        <v/>
      </c>
      <c r="Z149" s="26">
        <f>(1-INDEX(Calib!$H$1:$H$13,$D149))*(1-p_alpha)*M149+S149</f>
        <v/>
      </c>
      <c r="AA149" s="26">
        <f>(1-p_delta_g)*AA148*(1-p_eps_g*$E149)+INDEX(Calib!$E$1:$E$13,$D149)*(INDEX(Calib!$G$1:$G$13,$D149)+p_programme*$H149)</f>
        <v/>
      </c>
      <c r="AB149" s="26">
        <f>AB148*(1-p_eps_k*$E149)+p_lambda_k*(AD149-AB148*(1-p_eps_k*$E149))</f>
        <v/>
      </c>
      <c r="AC149" s="26">
        <f>INDEX(Calib!$R$1:$R$13,$D149)*$F149*(AA148*(1-p_eps_g*$E149))^INDEX(Calib!$Q$1:$Q$13,$D149)*(AB148*(1-p_eps_k*$E149))^p_alpha</f>
        <v/>
      </c>
      <c r="AD149" s="26">
        <f>p_alpha*(1-INDEX(Calib!$H$1:$H$13,$D149))*AC149/(INDEX(Calib!$K$1:$K$13,$D149)+p_delta)</f>
        <v/>
      </c>
      <c r="AE149" s="26">
        <f>AC149+$G149</f>
        <v/>
      </c>
      <c r="AF149" s="26">
        <f>p_programme*($H149+$I149)</f>
        <v/>
      </c>
      <c r="AG149" s="26">
        <f>INDEX(Calib!$I$1:$I$13,$D149)+p_sh_grant*AF149</f>
        <v/>
      </c>
      <c r="AH149" s="26">
        <f>INDEX(Calib!$H$1:$H$13,$D149)*AC149+p_gov_take*$G149+AG149+p_programme*p_pricing*$J149</f>
        <v/>
      </c>
      <c r="AI149" s="26">
        <f>INDEX(Calib!$Y$1:$Y$13,$D149)-INDEX(Calib!$Z$1:$Z$13,$D149)*(AL148/AE148-INDEX(Calib!$AA$1:$AA$13,$D149))</f>
        <v/>
      </c>
      <c r="AJ149" s="26">
        <f>INDEX(Calib!$X$1:$X$13,$D149)+INDEX(Calib!$G$1:$G$13,$D149)+AF149+AI149-AH149</f>
        <v/>
      </c>
      <c r="AK149" s="26">
        <f>p_rk*AM148+AO148*(AL148-AM148)</f>
        <v/>
      </c>
      <c r="AL149" s="26">
        <f>AL148+AK149+AJ149</f>
        <v/>
      </c>
      <c r="AM149" s="26">
        <f>INDEX(Calib!$U$1:$U$13,$D149)+(AM148-INDEX(Calib!$U$1:$U$13,$D149))*(1-p_amort)+p_sh_conc*AF149</f>
        <v/>
      </c>
      <c r="AN149" s="26">
        <f>AL149/AE149</f>
        <v/>
      </c>
      <c r="AO149" s="26">
        <f>INDEX(Calib!$K$1:$K$13,$D149)+p_eta*MAX(0,AN149-INDEX(Calib!$AA$1:$AA$13,$D149))</f>
        <v/>
      </c>
      <c r="AP149" s="26">
        <f>(1-INDEX(Calib!$H$1:$H$13,$D149))*(1-p_alpha)*AC149+AI149</f>
        <v/>
      </c>
      <c r="AQ149" s="26">
        <f>(AE149/O149-1)*100</f>
        <v/>
      </c>
      <c r="AR149" s="26">
        <f>(AE149/AE137-1)*100</f>
        <v/>
      </c>
      <c r="AS149" s="26">
        <f>(O149/O137-1)*100</f>
        <v/>
      </c>
      <c r="AT149" s="26">
        <f>(AN149-X149)*100</f>
        <v/>
      </c>
      <c r="AU149" s="26">
        <f>(AP149/Z149-1)*100</f>
        <v/>
      </c>
      <c r="AV149" s="26">
        <f>(AI149-S149)*100</f>
        <v/>
      </c>
    </row>
    <row r="150">
      <c r="A150" s="25" t="inlineStr">
        <is>
          <t>RWA</t>
        </is>
      </c>
      <c r="B150" s="25" t="n">
        <v>2037</v>
      </c>
      <c r="C150" s="25" t="n">
        <v>13</v>
      </c>
      <c r="D150" s="25" t="n">
        <v>7</v>
      </c>
      <c r="E150" s="25">
        <f>IF(AND(p_dis_year&gt;0,B150=p_dis_year),1,0)</f>
        <v/>
      </c>
      <c r="F150" s="26">
        <f>IF(AND(p_dis_year&gt;0,B150&gt;=p_dis_year),1-p_eps_a*p_rho_a^(B150-p_dis_year),1)</f>
        <v/>
      </c>
      <c r="G150" s="26">
        <f>INDEX(Calib!$N$1:$N$13,$D150)*(1-p_rent_decline*MIN(1,C150/26))</f>
        <v/>
      </c>
      <c r="H150" s="26">
        <f>IF(C150=0,0,SUMIFS(dl_val,dl_iso,$A150,dl_ind,"pub_cap",dl_year,$B150)/100)</f>
        <v/>
      </c>
      <c r="I150" s="26">
        <f>IF(C150=0,0,SUMIFS(dl_val,dl_iso,$A150,dl_ind,"pub_spend",dl_year,$B150)/100)</f>
        <v/>
      </c>
      <c r="J150" s="26">
        <f>IF(C150=0,0,SUMIFS(dl_val,dl_iso,$A150,dl_ind,"rev",dl_year,$B150)/100)</f>
        <v/>
      </c>
      <c r="K150" s="26">
        <f>(1-p_delta_g)*K149*(1-p_eps_g*$E150)+INDEX(Calib!$E$1:$E$13,$D150)*(INDEX(Calib!$G$1:$G$13,$D150)+0*$H150)</f>
        <v/>
      </c>
      <c r="L150" s="26">
        <f>L149*(1-p_eps_k*$E150)+p_lambda_k*(N150-L149*(1-p_eps_k*$E150))</f>
        <v/>
      </c>
      <c r="M150" s="26">
        <f>INDEX(Calib!$R$1:$R$13,$D150)*$F150*(K149*(1-p_eps_g*$E150))^INDEX(Calib!$Q$1:$Q$13,$D150)*(L149*(1-p_eps_k*$E150))^p_alpha</f>
        <v/>
      </c>
      <c r="N150" s="26">
        <f>p_alpha*(1-INDEX(Calib!$H$1:$H$13,$D150))*M150/(INDEX(Calib!$K$1:$K$13,$D150)+p_delta)</f>
        <v/>
      </c>
      <c r="O150" s="26">
        <f>M150+$G150</f>
        <v/>
      </c>
      <c r="P150" s="26">
        <f>0*($H150+$I150)</f>
        <v/>
      </c>
      <c r="Q150" s="26">
        <f>INDEX(Calib!$I$1:$I$13,$D150)+p_sh_grant*P150</f>
        <v/>
      </c>
      <c r="R150" s="26">
        <f>INDEX(Calib!$H$1:$H$13,$D150)*M150+p_gov_take*$G150+Q150+0*p_pricing*$J150</f>
        <v/>
      </c>
      <c r="S150" s="26">
        <f>INDEX(Calib!$Y$1:$Y$13,$D150)-INDEX(Calib!$Z$1:$Z$13,$D150)*(V149/O149-INDEX(Calib!$AA$1:$AA$13,$D150))</f>
        <v/>
      </c>
      <c r="T150" s="26">
        <f>INDEX(Calib!$X$1:$X$13,$D150)+INDEX(Calib!$G$1:$G$13,$D150)+P150+S150-R150</f>
        <v/>
      </c>
      <c r="U150" s="26">
        <f>p_rk*W149+Y149*(V149-W149)</f>
        <v/>
      </c>
      <c r="V150" s="26">
        <f>V149+U150+T150</f>
        <v/>
      </c>
      <c r="W150" s="26">
        <f>INDEX(Calib!$U$1:$U$13,$D150)+(W149-INDEX(Calib!$U$1:$U$13,$D150))*(1-p_amort)+p_sh_conc*P150</f>
        <v/>
      </c>
      <c r="X150" s="26">
        <f>V150/O150</f>
        <v/>
      </c>
      <c r="Y150" s="26">
        <f>INDEX(Calib!$K$1:$K$13,$D150)+p_eta*MAX(0,X150-INDEX(Calib!$AA$1:$AA$13,$D150))</f>
        <v/>
      </c>
      <c r="Z150" s="26">
        <f>(1-INDEX(Calib!$H$1:$H$13,$D150))*(1-p_alpha)*M150+S150</f>
        <v/>
      </c>
      <c r="AA150" s="26">
        <f>(1-p_delta_g)*AA149*(1-p_eps_g*$E150)+INDEX(Calib!$E$1:$E$13,$D150)*(INDEX(Calib!$G$1:$G$13,$D150)+p_programme*$H150)</f>
        <v/>
      </c>
      <c r="AB150" s="26">
        <f>AB149*(1-p_eps_k*$E150)+p_lambda_k*(AD150-AB149*(1-p_eps_k*$E150))</f>
        <v/>
      </c>
      <c r="AC150" s="26">
        <f>INDEX(Calib!$R$1:$R$13,$D150)*$F150*(AA149*(1-p_eps_g*$E150))^INDEX(Calib!$Q$1:$Q$13,$D150)*(AB149*(1-p_eps_k*$E150))^p_alpha</f>
        <v/>
      </c>
      <c r="AD150" s="26">
        <f>p_alpha*(1-INDEX(Calib!$H$1:$H$13,$D150))*AC150/(INDEX(Calib!$K$1:$K$13,$D150)+p_delta)</f>
        <v/>
      </c>
      <c r="AE150" s="26">
        <f>AC150+$G150</f>
        <v/>
      </c>
      <c r="AF150" s="26">
        <f>p_programme*($H150+$I150)</f>
        <v/>
      </c>
      <c r="AG150" s="26">
        <f>INDEX(Calib!$I$1:$I$13,$D150)+p_sh_grant*AF150</f>
        <v/>
      </c>
      <c r="AH150" s="26">
        <f>INDEX(Calib!$H$1:$H$13,$D150)*AC150+p_gov_take*$G150+AG150+p_programme*p_pricing*$J150</f>
        <v/>
      </c>
      <c r="AI150" s="26">
        <f>INDEX(Calib!$Y$1:$Y$13,$D150)-INDEX(Calib!$Z$1:$Z$13,$D150)*(AL149/AE149-INDEX(Calib!$AA$1:$AA$13,$D150))</f>
        <v/>
      </c>
      <c r="AJ150" s="26">
        <f>INDEX(Calib!$X$1:$X$13,$D150)+INDEX(Calib!$G$1:$G$13,$D150)+AF150+AI150-AH150</f>
        <v/>
      </c>
      <c r="AK150" s="26">
        <f>p_rk*AM149+AO149*(AL149-AM149)</f>
        <v/>
      </c>
      <c r="AL150" s="26">
        <f>AL149+AK150+AJ150</f>
        <v/>
      </c>
      <c r="AM150" s="26">
        <f>INDEX(Calib!$U$1:$U$13,$D150)+(AM149-INDEX(Calib!$U$1:$U$13,$D150))*(1-p_amort)+p_sh_conc*AF150</f>
        <v/>
      </c>
      <c r="AN150" s="26">
        <f>AL150/AE150</f>
        <v/>
      </c>
      <c r="AO150" s="26">
        <f>INDEX(Calib!$K$1:$K$13,$D150)+p_eta*MAX(0,AN150-INDEX(Calib!$AA$1:$AA$13,$D150))</f>
        <v/>
      </c>
      <c r="AP150" s="26">
        <f>(1-INDEX(Calib!$H$1:$H$13,$D150))*(1-p_alpha)*AC150+AI150</f>
        <v/>
      </c>
      <c r="AQ150" s="26">
        <f>(AE150/O150-1)*100</f>
        <v/>
      </c>
      <c r="AR150" s="26">
        <f>(AE150/AE137-1)*100</f>
        <v/>
      </c>
      <c r="AS150" s="26">
        <f>(O150/O137-1)*100</f>
        <v/>
      </c>
      <c r="AT150" s="26">
        <f>(AN150-X150)*100</f>
        <v/>
      </c>
      <c r="AU150" s="26">
        <f>(AP150/Z150-1)*100</f>
        <v/>
      </c>
      <c r="AV150" s="26">
        <f>(AI150-S150)*100</f>
        <v/>
      </c>
    </row>
    <row r="151">
      <c r="A151" s="25" t="inlineStr">
        <is>
          <t>RWA</t>
        </is>
      </c>
      <c r="B151" s="25" t="n">
        <v>2038</v>
      </c>
      <c r="C151" s="25" t="n">
        <v>14</v>
      </c>
      <c r="D151" s="25" t="n">
        <v>7</v>
      </c>
      <c r="E151" s="25">
        <f>IF(AND(p_dis_year&gt;0,B151=p_dis_year),1,0)</f>
        <v/>
      </c>
      <c r="F151" s="26">
        <f>IF(AND(p_dis_year&gt;0,B151&gt;=p_dis_year),1-p_eps_a*p_rho_a^(B151-p_dis_year),1)</f>
        <v/>
      </c>
      <c r="G151" s="26">
        <f>INDEX(Calib!$N$1:$N$13,$D151)*(1-p_rent_decline*MIN(1,C151/26))</f>
        <v/>
      </c>
      <c r="H151" s="26">
        <f>IF(C151=0,0,SUMIFS(dl_val,dl_iso,$A151,dl_ind,"pub_cap",dl_year,$B151)/100)</f>
        <v/>
      </c>
      <c r="I151" s="26">
        <f>IF(C151=0,0,SUMIFS(dl_val,dl_iso,$A151,dl_ind,"pub_spend",dl_year,$B151)/100)</f>
        <v/>
      </c>
      <c r="J151" s="26">
        <f>IF(C151=0,0,SUMIFS(dl_val,dl_iso,$A151,dl_ind,"rev",dl_year,$B151)/100)</f>
        <v/>
      </c>
      <c r="K151" s="26">
        <f>(1-p_delta_g)*K150*(1-p_eps_g*$E151)+INDEX(Calib!$E$1:$E$13,$D151)*(INDEX(Calib!$G$1:$G$13,$D151)+0*$H151)</f>
        <v/>
      </c>
      <c r="L151" s="26">
        <f>L150*(1-p_eps_k*$E151)+p_lambda_k*(N151-L150*(1-p_eps_k*$E151))</f>
        <v/>
      </c>
      <c r="M151" s="26">
        <f>INDEX(Calib!$R$1:$R$13,$D151)*$F151*(K150*(1-p_eps_g*$E151))^INDEX(Calib!$Q$1:$Q$13,$D151)*(L150*(1-p_eps_k*$E151))^p_alpha</f>
        <v/>
      </c>
      <c r="N151" s="26">
        <f>p_alpha*(1-INDEX(Calib!$H$1:$H$13,$D151))*M151/(INDEX(Calib!$K$1:$K$13,$D151)+p_delta)</f>
        <v/>
      </c>
      <c r="O151" s="26">
        <f>M151+$G151</f>
        <v/>
      </c>
      <c r="P151" s="26">
        <f>0*($H151+$I151)</f>
        <v/>
      </c>
      <c r="Q151" s="26">
        <f>INDEX(Calib!$I$1:$I$13,$D151)+p_sh_grant*P151</f>
        <v/>
      </c>
      <c r="R151" s="26">
        <f>INDEX(Calib!$H$1:$H$13,$D151)*M151+p_gov_take*$G151+Q151+0*p_pricing*$J151</f>
        <v/>
      </c>
      <c r="S151" s="26">
        <f>INDEX(Calib!$Y$1:$Y$13,$D151)-INDEX(Calib!$Z$1:$Z$13,$D151)*(V150/O150-INDEX(Calib!$AA$1:$AA$13,$D151))</f>
        <v/>
      </c>
      <c r="T151" s="26">
        <f>INDEX(Calib!$X$1:$X$13,$D151)+INDEX(Calib!$G$1:$G$13,$D151)+P151+S151-R151</f>
        <v/>
      </c>
      <c r="U151" s="26">
        <f>p_rk*W150+Y150*(V150-W150)</f>
        <v/>
      </c>
      <c r="V151" s="26">
        <f>V150+U151+T151</f>
        <v/>
      </c>
      <c r="W151" s="26">
        <f>INDEX(Calib!$U$1:$U$13,$D151)+(W150-INDEX(Calib!$U$1:$U$13,$D151))*(1-p_amort)+p_sh_conc*P151</f>
        <v/>
      </c>
      <c r="X151" s="26">
        <f>V151/O151</f>
        <v/>
      </c>
      <c r="Y151" s="26">
        <f>INDEX(Calib!$K$1:$K$13,$D151)+p_eta*MAX(0,X151-INDEX(Calib!$AA$1:$AA$13,$D151))</f>
        <v/>
      </c>
      <c r="Z151" s="26">
        <f>(1-INDEX(Calib!$H$1:$H$13,$D151))*(1-p_alpha)*M151+S151</f>
        <v/>
      </c>
      <c r="AA151" s="26">
        <f>(1-p_delta_g)*AA150*(1-p_eps_g*$E151)+INDEX(Calib!$E$1:$E$13,$D151)*(INDEX(Calib!$G$1:$G$13,$D151)+p_programme*$H151)</f>
        <v/>
      </c>
      <c r="AB151" s="26">
        <f>AB150*(1-p_eps_k*$E151)+p_lambda_k*(AD151-AB150*(1-p_eps_k*$E151))</f>
        <v/>
      </c>
      <c r="AC151" s="26">
        <f>INDEX(Calib!$R$1:$R$13,$D151)*$F151*(AA150*(1-p_eps_g*$E151))^INDEX(Calib!$Q$1:$Q$13,$D151)*(AB150*(1-p_eps_k*$E151))^p_alpha</f>
        <v/>
      </c>
      <c r="AD151" s="26">
        <f>p_alpha*(1-INDEX(Calib!$H$1:$H$13,$D151))*AC151/(INDEX(Calib!$K$1:$K$13,$D151)+p_delta)</f>
        <v/>
      </c>
      <c r="AE151" s="26">
        <f>AC151+$G151</f>
        <v/>
      </c>
      <c r="AF151" s="26">
        <f>p_programme*($H151+$I151)</f>
        <v/>
      </c>
      <c r="AG151" s="26">
        <f>INDEX(Calib!$I$1:$I$13,$D151)+p_sh_grant*AF151</f>
        <v/>
      </c>
      <c r="AH151" s="26">
        <f>INDEX(Calib!$H$1:$H$13,$D151)*AC151+p_gov_take*$G151+AG151+p_programme*p_pricing*$J151</f>
        <v/>
      </c>
      <c r="AI151" s="26">
        <f>INDEX(Calib!$Y$1:$Y$13,$D151)-INDEX(Calib!$Z$1:$Z$13,$D151)*(AL150/AE150-INDEX(Calib!$AA$1:$AA$13,$D151))</f>
        <v/>
      </c>
      <c r="AJ151" s="26">
        <f>INDEX(Calib!$X$1:$X$13,$D151)+INDEX(Calib!$G$1:$G$13,$D151)+AF151+AI151-AH151</f>
        <v/>
      </c>
      <c r="AK151" s="26">
        <f>p_rk*AM150+AO150*(AL150-AM150)</f>
        <v/>
      </c>
      <c r="AL151" s="26">
        <f>AL150+AK151+AJ151</f>
        <v/>
      </c>
      <c r="AM151" s="26">
        <f>INDEX(Calib!$U$1:$U$13,$D151)+(AM150-INDEX(Calib!$U$1:$U$13,$D151))*(1-p_amort)+p_sh_conc*AF151</f>
        <v/>
      </c>
      <c r="AN151" s="26">
        <f>AL151/AE151</f>
        <v/>
      </c>
      <c r="AO151" s="26">
        <f>INDEX(Calib!$K$1:$K$13,$D151)+p_eta*MAX(0,AN151-INDEX(Calib!$AA$1:$AA$13,$D151))</f>
        <v/>
      </c>
      <c r="AP151" s="26">
        <f>(1-INDEX(Calib!$H$1:$H$13,$D151))*(1-p_alpha)*AC151+AI151</f>
        <v/>
      </c>
      <c r="AQ151" s="26">
        <f>(AE151/O151-1)*100</f>
        <v/>
      </c>
      <c r="AR151" s="26">
        <f>(AE151/AE137-1)*100</f>
        <v/>
      </c>
      <c r="AS151" s="26">
        <f>(O151/O137-1)*100</f>
        <v/>
      </c>
      <c r="AT151" s="26">
        <f>(AN151-X151)*100</f>
        <v/>
      </c>
      <c r="AU151" s="26">
        <f>(AP151/Z151-1)*100</f>
        <v/>
      </c>
      <c r="AV151" s="26">
        <f>(AI151-S151)*100</f>
        <v/>
      </c>
    </row>
    <row r="152">
      <c r="A152" s="25" t="inlineStr">
        <is>
          <t>RWA</t>
        </is>
      </c>
      <c r="B152" s="25" t="n">
        <v>2039</v>
      </c>
      <c r="C152" s="25" t="n">
        <v>15</v>
      </c>
      <c r="D152" s="25" t="n">
        <v>7</v>
      </c>
      <c r="E152" s="25">
        <f>IF(AND(p_dis_year&gt;0,B152=p_dis_year),1,0)</f>
        <v/>
      </c>
      <c r="F152" s="26">
        <f>IF(AND(p_dis_year&gt;0,B152&gt;=p_dis_year),1-p_eps_a*p_rho_a^(B152-p_dis_year),1)</f>
        <v/>
      </c>
      <c r="G152" s="26">
        <f>INDEX(Calib!$N$1:$N$13,$D152)*(1-p_rent_decline*MIN(1,C152/26))</f>
        <v/>
      </c>
      <c r="H152" s="26">
        <f>IF(C152=0,0,SUMIFS(dl_val,dl_iso,$A152,dl_ind,"pub_cap",dl_year,$B152)/100)</f>
        <v/>
      </c>
      <c r="I152" s="26">
        <f>IF(C152=0,0,SUMIFS(dl_val,dl_iso,$A152,dl_ind,"pub_spend",dl_year,$B152)/100)</f>
        <v/>
      </c>
      <c r="J152" s="26">
        <f>IF(C152=0,0,SUMIFS(dl_val,dl_iso,$A152,dl_ind,"rev",dl_year,$B152)/100)</f>
        <v/>
      </c>
      <c r="K152" s="26">
        <f>(1-p_delta_g)*K151*(1-p_eps_g*$E152)+INDEX(Calib!$E$1:$E$13,$D152)*(INDEX(Calib!$G$1:$G$13,$D152)+0*$H152)</f>
        <v/>
      </c>
      <c r="L152" s="26">
        <f>L151*(1-p_eps_k*$E152)+p_lambda_k*(N152-L151*(1-p_eps_k*$E152))</f>
        <v/>
      </c>
      <c r="M152" s="26">
        <f>INDEX(Calib!$R$1:$R$13,$D152)*$F152*(K151*(1-p_eps_g*$E152))^INDEX(Calib!$Q$1:$Q$13,$D152)*(L151*(1-p_eps_k*$E152))^p_alpha</f>
        <v/>
      </c>
      <c r="N152" s="26">
        <f>p_alpha*(1-INDEX(Calib!$H$1:$H$13,$D152))*M152/(INDEX(Calib!$K$1:$K$13,$D152)+p_delta)</f>
        <v/>
      </c>
      <c r="O152" s="26">
        <f>M152+$G152</f>
        <v/>
      </c>
      <c r="P152" s="26">
        <f>0*($H152+$I152)</f>
        <v/>
      </c>
      <c r="Q152" s="26">
        <f>INDEX(Calib!$I$1:$I$13,$D152)+p_sh_grant*P152</f>
        <v/>
      </c>
      <c r="R152" s="26">
        <f>INDEX(Calib!$H$1:$H$13,$D152)*M152+p_gov_take*$G152+Q152+0*p_pricing*$J152</f>
        <v/>
      </c>
      <c r="S152" s="26">
        <f>INDEX(Calib!$Y$1:$Y$13,$D152)-INDEX(Calib!$Z$1:$Z$13,$D152)*(V151/O151-INDEX(Calib!$AA$1:$AA$13,$D152))</f>
        <v/>
      </c>
      <c r="T152" s="26">
        <f>INDEX(Calib!$X$1:$X$13,$D152)+INDEX(Calib!$G$1:$G$13,$D152)+P152+S152-R152</f>
        <v/>
      </c>
      <c r="U152" s="26">
        <f>p_rk*W151+Y151*(V151-W151)</f>
        <v/>
      </c>
      <c r="V152" s="26">
        <f>V151+U152+T152</f>
        <v/>
      </c>
      <c r="W152" s="26">
        <f>INDEX(Calib!$U$1:$U$13,$D152)+(W151-INDEX(Calib!$U$1:$U$13,$D152))*(1-p_amort)+p_sh_conc*P152</f>
        <v/>
      </c>
      <c r="X152" s="26">
        <f>V152/O152</f>
        <v/>
      </c>
      <c r="Y152" s="26">
        <f>INDEX(Calib!$K$1:$K$13,$D152)+p_eta*MAX(0,X152-INDEX(Calib!$AA$1:$AA$13,$D152))</f>
        <v/>
      </c>
      <c r="Z152" s="26">
        <f>(1-INDEX(Calib!$H$1:$H$13,$D152))*(1-p_alpha)*M152+S152</f>
        <v/>
      </c>
      <c r="AA152" s="26">
        <f>(1-p_delta_g)*AA151*(1-p_eps_g*$E152)+INDEX(Calib!$E$1:$E$13,$D152)*(INDEX(Calib!$G$1:$G$13,$D152)+p_programme*$H152)</f>
        <v/>
      </c>
      <c r="AB152" s="26">
        <f>AB151*(1-p_eps_k*$E152)+p_lambda_k*(AD152-AB151*(1-p_eps_k*$E152))</f>
        <v/>
      </c>
      <c r="AC152" s="26">
        <f>INDEX(Calib!$R$1:$R$13,$D152)*$F152*(AA151*(1-p_eps_g*$E152))^INDEX(Calib!$Q$1:$Q$13,$D152)*(AB151*(1-p_eps_k*$E152))^p_alpha</f>
        <v/>
      </c>
      <c r="AD152" s="26">
        <f>p_alpha*(1-INDEX(Calib!$H$1:$H$13,$D152))*AC152/(INDEX(Calib!$K$1:$K$13,$D152)+p_delta)</f>
        <v/>
      </c>
      <c r="AE152" s="26">
        <f>AC152+$G152</f>
        <v/>
      </c>
      <c r="AF152" s="26">
        <f>p_programme*($H152+$I152)</f>
        <v/>
      </c>
      <c r="AG152" s="26">
        <f>INDEX(Calib!$I$1:$I$13,$D152)+p_sh_grant*AF152</f>
        <v/>
      </c>
      <c r="AH152" s="26">
        <f>INDEX(Calib!$H$1:$H$13,$D152)*AC152+p_gov_take*$G152+AG152+p_programme*p_pricing*$J152</f>
        <v/>
      </c>
      <c r="AI152" s="26">
        <f>INDEX(Calib!$Y$1:$Y$13,$D152)-INDEX(Calib!$Z$1:$Z$13,$D152)*(AL151/AE151-INDEX(Calib!$AA$1:$AA$13,$D152))</f>
        <v/>
      </c>
      <c r="AJ152" s="26">
        <f>INDEX(Calib!$X$1:$X$13,$D152)+INDEX(Calib!$G$1:$G$13,$D152)+AF152+AI152-AH152</f>
        <v/>
      </c>
      <c r="AK152" s="26">
        <f>p_rk*AM151+AO151*(AL151-AM151)</f>
        <v/>
      </c>
      <c r="AL152" s="26">
        <f>AL151+AK152+AJ152</f>
        <v/>
      </c>
      <c r="AM152" s="26">
        <f>INDEX(Calib!$U$1:$U$13,$D152)+(AM151-INDEX(Calib!$U$1:$U$13,$D152))*(1-p_amort)+p_sh_conc*AF152</f>
        <v/>
      </c>
      <c r="AN152" s="26">
        <f>AL152/AE152</f>
        <v/>
      </c>
      <c r="AO152" s="26">
        <f>INDEX(Calib!$K$1:$K$13,$D152)+p_eta*MAX(0,AN152-INDEX(Calib!$AA$1:$AA$13,$D152))</f>
        <v/>
      </c>
      <c r="AP152" s="26">
        <f>(1-INDEX(Calib!$H$1:$H$13,$D152))*(1-p_alpha)*AC152+AI152</f>
        <v/>
      </c>
      <c r="AQ152" s="26">
        <f>(AE152/O152-1)*100</f>
        <v/>
      </c>
      <c r="AR152" s="26">
        <f>(AE152/AE137-1)*100</f>
        <v/>
      </c>
      <c r="AS152" s="26">
        <f>(O152/O137-1)*100</f>
        <v/>
      </c>
      <c r="AT152" s="26">
        <f>(AN152-X152)*100</f>
        <v/>
      </c>
      <c r="AU152" s="26">
        <f>(AP152/Z152-1)*100</f>
        <v/>
      </c>
      <c r="AV152" s="26">
        <f>(AI152-S152)*100</f>
        <v/>
      </c>
    </row>
    <row r="153">
      <c r="A153" s="25" t="inlineStr">
        <is>
          <t>RWA</t>
        </is>
      </c>
      <c r="B153" s="25" t="n">
        <v>2040</v>
      </c>
      <c r="C153" s="25" t="n">
        <v>16</v>
      </c>
      <c r="D153" s="25" t="n">
        <v>7</v>
      </c>
      <c r="E153" s="25">
        <f>IF(AND(p_dis_year&gt;0,B153=p_dis_year),1,0)</f>
        <v/>
      </c>
      <c r="F153" s="26">
        <f>IF(AND(p_dis_year&gt;0,B153&gt;=p_dis_year),1-p_eps_a*p_rho_a^(B153-p_dis_year),1)</f>
        <v/>
      </c>
      <c r="G153" s="26">
        <f>INDEX(Calib!$N$1:$N$13,$D153)*(1-p_rent_decline*MIN(1,C153/26))</f>
        <v/>
      </c>
      <c r="H153" s="26">
        <f>IF(C153=0,0,SUMIFS(dl_val,dl_iso,$A153,dl_ind,"pub_cap",dl_year,$B153)/100)</f>
        <v/>
      </c>
      <c r="I153" s="26">
        <f>IF(C153=0,0,SUMIFS(dl_val,dl_iso,$A153,dl_ind,"pub_spend",dl_year,$B153)/100)</f>
        <v/>
      </c>
      <c r="J153" s="26">
        <f>IF(C153=0,0,SUMIFS(dl_val,dl_iso,$A153,dl_ind,"rev",dl_year,$B153)/100)</f>
        <v/>
      </c>
      <c r="K153" s="26">
        <f>(1-p_delta_g)*K152*(1-p_eps_g*$E153)+INDEX(Calib!$E$1:$E$13,$D153)*(INDEX(Calib!$G$1:$G$13,$D153)+0*$H153)</f>
        <v/>
      </c>
      <c r="L153" s="26">
        <f>L152*(1-p_eps_k*$E153)+p_lambda_k*(N153-L152*(1-p_eps_k*$E153))</f>
        <v/>
      </c>
      <c r="M153" s="26">
        <f>INDEX(Calib!$R$1:$R$13,$D153)*$F153*(K152*(1-p_eps_g*$E153))^INDEX(Calib!$Q$1:$Q$13,$D153)*(L152*(1-p_eps_k*$E153))^p_alpha</f>
        <v/>
      </c>
      <c r="N153" s="26">
        <f>p_alpha*(1-INDEX(Calib!$H$1:$H$13,$D153))*M153/(INDEX(Calib!$K$1:$K$13,$D153)+p_delta)</f>
        <v/>
      </c>
      <c r="O153" s="26">
        <f>M153+$G153</f>
        <v/>
      </c>
      <c r="P153" s="26">
        <f>0*($H153+$I153)</f>
        <v/>
      </c>
      <c r="Q153" s="26">
        <f>INDEX(Calib!$I$1:$I$13,$D153)+p_sh_grant*P153</f>
        <v/>
      </c>
      <c r="R153" s="26">
        <f>INDEX(Calib!$H$1:$H$13,$D153)*M153+p_gov_take*$G153+Q153+0*p_pricing*$J153</f>
        <v/>
      </c>
      <c r="S153" s="26">
        <f>INDEX(Calib!$Y$1:$Y$13,$D153)-INDEX(Calib!$Z$1:$Z$13,$D153)*(V152/O152-INDEX(Calib!$AA$1:$AA$13,$D153))</f>
        <v/>
      </c>
      <c r="T153" s="26">
        <f>INDEX(Calib!$X$1:$X$13,$D153)+INDEX(Calib!$G$1:$G$13,$D153)+P153+S153-R153</f>
        <v/>
      </c>
      <c r="U153" s="26">
        <f>p_rk*W152+Y152*(V152-W152)</f>
        <v/>
      </c>
      <c r="V153" s="26">
        <f>V152+U153+T153</f>
        <v/>
      </c>
      <c r="W153" s="26">
        <f>INDEX(Calib!$U$1:$U$13,$D153)+(W152-INDEX(Calib!$U$1:$U$13,$D153))*(1-p_amort)+p_sh_conc*P153</f>
        <v/>
      </c>
      <c r="X153" s="26">
        <f>V153/O153</f>
        <v/>
      </c>
      <c r="Y153" s="26">
        <f>INDEX(Calib!$K$1:$K$13,$D153)+p_eta*MAX(0,X153-INDEX(Calib!$AA$1:$AA$13,$D153))</f>
        <v/>
      </c>
      <c r="Z153" s="26">
        <f>(1-INDEX(Calib!$H$1:$H$13,$D153))*(1-p_alpha)*M153+S153</f>
        <v/>
      </c>
      <c r="AA153" s="26">
        <f>(1-p_delta_g)*AA152*(1-p_eps_g*$E153)+INDEX(Calib!$E$1:$E$13,$D153)*(INDEX(Calib!$G$1:$G$13,$D153)+p_programme*$H153)</f>
        <v/>
      </c>
      <c r="AB153" s="26">
        <f>AB152*(1-p_eps_k*$E153)+p_lambda_k*(AD153-AB152*(1-p_eps_k*$E153))</f>
        <v/>
      </c>
      <c r="AC153" s="26">
        <f>INDEX(Calib!$R$1:$R$13,$D153)*$F153*(AA152*(1-p_eps_g*$E153))^INDEX(Calib!$Q$1:$Q$13,$D153)*(AB152*(1-p_eps_k*$E153))^p_alpha</f>
        <v/>
      </c>
      <c r="AD153" s="26">
        <f>p_alpha*(1-INDEX(Calib!$H$1:$H$13,$D153))*AC153/(INDEX(Calib!$K$1:$K$13,$D153)+p_delta)</f>
        <v/>
      </c>
      <c r="AE153" s="26">
        <f>AC153+$G153</f>
        <v/>
      </c>
      <c r="AF153" s="26">
        <f>p_programme*($H153+$I153)</f>
        <v/>
      </c>
      <c r="AG153" s="26">
        <f>INDEX(Calib!$I$1:$I$13,$D153)+p_sh_grant*AF153</f>
        <v/>
      </c>
      <c r="AH153" s="26">
        <f>INDEX(Calib!$H$1:$H$13,$D153)*AC153+p_gov_take*$G153+AG153+p_programme*p_pricing*$J153</f>
        <v/>
      </c>
      <c r="AI153" s="26">
        <f>INDEX(Calib!$Y$1:$Y$13,$D153)-INDEX(Calib!$Z$1:$Z$13,$D153)*(AL152/AE152-INDEX(Calib!$AA$1:$AA$13,$D153))</f>
        <v/>
      </c>
      <c r="AJ153" s="26">
        <f>INDEX(Calib!$X$1:$X$13,$D153)+INDEX(Calib!$G$1:$G$13,$D153)+AF153+AI153-AH153</f>
        <v/>
      </c>
      <c r="AK153" s="26">
        <f>p_rk*AM152+AO152*(AL152-AM152)</f>
        <v/>
      </c>
      <c r="AL153" s="26">
        <f>AL152+AK153+AJ153</f>
        <v/>
      </c>
      <c r="AM153" s="26">
        <f>INDEX(Calib!$U$1:$U$13,$D153)+(AM152-INDEX(Calib!$U$1:$U$13,$D153))*(1-p_amort)+p_sh_conc*AF153</f>
        <v/>
      </c>
      <c r="AN153" s="26">
        <f>AL153/AE153</f>
        <v/>
      </c>
      <c r="AO153" s="26">
        <f>INDEX(Calib!$K$1:$K$13,$D153)+p_eta*MAX(0,AN153-INDEX(Calib!$AA$1:$AA$13,$D153))</f>
        <v/>
      </c>
      <c r="AP153" s="26">
        <f>(1-INDEX(Calib!$H$1:$H$13,$D153))*(1-p_alpha)*AC153+AI153</f>
        <v/>
      </c>
      <c r="AQ153" s="26">
        <f>(AE153/O153-1)*100</f>
        <v/>
      </c>
      <c r="AR153" s="26">
        <f>(AE153/AE137-1)*100</f>
        <v/>
      </c>
      <c r="AS153" s="26">
        <f>(O153/O137-1)*100</f>
        <v/>
      </c>
      <c r="AT153" s="26">
        <f>(AN153-X153)*100</f>
        <v/>
      </c>
      <c r="AU153" s="26">
        <f>(AP153/Z153-1)*100</f>
        <v/>
      </c>
      <c r="AV153" s="26">
        <f>(AI153-S153)*100</f>
        <v/>
      </c>
    </row>
    <row r="154">
      <c r="A154" s="25" t="inlineStr">
        <is>
          <t>RWA</t>
        </is>
      </c>
      <c r="B154" s="25" t="n">
        <v>2041</v>
      </c>
      <c r="C154" s="25" t="n">
        <v>17</v>
      </c>
      <c r="D154" s="25" t="n">
        <v>7</v>
      </c>
      <c r="E154" s="25">
        <f>IF(AND(p_dis_year&gt;0,B154=p_dis_year),1,0)</f>
        <v/>
      </c>
      <c r="F154" s="26">
        <f>IF(AND(p_dis_year&gt;0,B154&gt;=p_dis_year),1-p_eps_a*p_rho_a^(B154-p_dis_year),1)</f>
        <v/>
      </c>
      <c r="G154" s="26">
        <f>INDEX(Calib!$N$1:$N$13,$D154)*(1-p_rent_decline*MIN(1,C154/26))</f>
        <v/>
      </c>
      <c r="H154" s="26">
        <f>IF(C154=0,0,SUMIFS(dl_val,dl_iso,$A154,dl_ind,"pub_cap",dl_year,$B154)/100)</f>
        <v/>
      </c>
      <c r="I154" s="26">
        <f>IF(C154=0,0,SUMIFS(dl_val,dl_iso,$A154,dl_ind,"pub_spend",dl_year,$B154)/100)</f>
        <v/>
      </c>
      <c r="J154" s="26">
        <f>IF(C154=0,0,SUMIFS(dl_val,dl_iso,$A154,dl_ind,"rev",dl_year,$B154)/100)</f>
        <v/>
      </c>
      <c r="K154" s="26">
        <f>(1-p_delta_g)*K153*(1-p_eps_g*$E154)+INDEX(Calib!$E$1:$E$13,$D154)*(INDEX(Calib!$G$1:$G$13,$D154)+0*$H154)</f>
        <v/>
      </c>
      <c r="L154" s="26">
        <f>L153*(1-p_eps_k*$E154)+p_lambda_k*(N154-L153*(1-p_eps_k*$E154))</f>
        <v/>
      </c>
      <c r="M154" s="26">
        <f>INDEX(Calib!$R$1:$R$13,$D154)*$F154*(K153*(1-p_eps_g*$E154))^INDEX(Calib!$Q$1:$Q$13,$D154)*(L153*(1-p_eps_k*$E154))^p_alpha</f>
        <v/>
      </c>
      <c r="N154" s="26">
        <f>p_alpha*(1-INDEX(Calib!$H$1:$H$13,$D154))*M154/(INDEX(Calib!$K$1:$K$13,$D154)+p_delta)</f>
        <v/>
      </c>
      <c r="O154" s="26">
        <f>M154+$G154</f>
        <v/>
      </c>
      <c r="P154" s="26">
        <f>0*($H154+$I154)</f>
        <v/>
      </c>
      <c r="Q154" s="26">
        <f>INDEX(Calib!$I$1:$I$13,$D154)+p_sh_grant*P154</f>
        <v/>
      </c>
      <c r="R154" s="26">
        <f>INDEX(Calib!$H$1:$H$13,$D154)*M154+p_gov_take*$G154+Q154+0*p_pricing*$J154</f>
        <v/>
      </c>
      <c r="S154" s="26">
        <f>INDEX(Calib!$Y$1:$Y$13,$D154)-INDEX(Calib!$Z$1:$Z$13,$D154)*(V153/O153-INDEX(Calib!$AA$1:$AA$13,$D154))</f>
        <v/>
      </c>
      <c r="T154" s="26">
        <f>INDEX(Calib!$X$1:$X$13,$D154)+INDEX(Calib!$G$1:$G$13,$D154)+P154+S154-R154</f>
        <v/>
      </c>
      <c r="U154" s="26">
        <f>p_rk*W153+Y153*(V153-W153)</f>
        <v/>
      </c>
      <c r="V154" s="26">
        <f>V153+U154+T154</f>
        <v/>
      </c>
      <c r="W154" s="26">
        <f>INDEX(Calib!$U$1:$U$13,$D154)+(W153-INDEX(Calib!$U$1:$U$13,$D154))*(1-p_amort)+p_sh_conc*P154</f>
        <v/>
      </c>
      <c r="X154" s="26">
        <f>V154/O154</f>
        <v/>
      </c>
      <c r="Y154" s="26">
        <f>INDEX(Calib!$K$1:$K$13,$D154)+p_eta*MAX(0,X154-INDEX(Calib!$AA$1:$AA$13,$D154))</f>
        <v/>
      </c>
      <c r="Z154" s="26">
        <f>(1-INDEX(Calib!$H$1:$H$13,$D154))*(1-p_alpha)*M154+S154</f>
        <v/>
      </c>
      <c r="AA154" s="26">
        <f>(1-p_delta_g)*AA153*(1-p_eps_g*$E154)+INDEX(Calib!$E$1:$E$13,$D154)*(INDEX(Calib!$G$1:$G$13,$D154)+p_programme*$H154)</f>
        <v/>
      </c>
      <c r="AB154" s="26">
        <f>AB153*(1-p_eps_k*$E154)+p_lambda_k*(AD154-AB153*(1-p_eps_k*$E154))</f>
        <v/>
      </c>
      <c r="AC154" s="26">
        <f>INDEX(Calib!$R$1:$R$13,$D154)*$F154*(AA153*(1-p_eps_g*$E154))^INDEX(Calib!$Q$1:$Q$13,$D154)*(AB153*(1-p_eps_k*$E154))^p_alpha</f>
        <v/>
      </c>
      <c r="AD154" s="26">
        <f>p_alpha*(1-INDEX(Calib!$H$1:$H$13,$D154))*AC154/(INDEX(Calib!$K$1:$K$13,$D154)+p_delta)</f>
        <v/>
      </c>
      <c r="AE154" s="26">
        <f>AC154+$G154</f>
        <v/>
      </c>
      <c r="AF154" s="26">
        <f>p_programme*($H154+$I154)</f>
        <v/>
      </c>
      <c r="AG154" s="26">
        <f>INDEX(Calib!$I$1:$I$13,$D154)+p_sh_grant*AF154</f>
        <v/>
      </c>
      <c r="AH154" s="26">
        <f>INDEX(Calib!$H$1:$H$13,$D154)*AC154+p_gov_take*$G154+AG154+p_programme*p_pricing*$J154</f>
        <v/>
      </c>
      <c r="AI154" s="26">
        <f>INDEX(Calib!$Y$1:$Y$13,$D154)-INDEX(Calib!$Z$1:$Z$13,$D154)*(AL153/AE153-INDEX(Calib!$AA$1:$AA$13,$D154))</f>
        <v/>
      </c>
      <c r="AJ154" s="26">
        <f>INDEX(Calib!$X$1:$X$13,$D154)+INDEX(Calib!$G$1:$G$13,$D154)+AF154+AI154-AH154</f>
        <v/>
      </c>
      <c r="AK154" s="26">
        <f>p_rk*AM153+AO153*(AL153-AM153)</f>
        <v/>
      </c>
      <c r="AL154" s="26">
        <f>AL153+AK154+AJ154</f>
        <v/>
      </c>
      <c r="AM154" s="26">
        <f>INDEX(Calib!$U$1:$U$13,$D154)+(AM153-INDEX(Calib!$U$1:$U$13,$D154))*(1-p_amort)+p_sh_conc*AF154</f>
        <v/>
      </c>
      <c r="AN154" s="26">
        <f>AL154/AE154</f>
        <v/>
      </c>
      <c r="AO154" s="26">
        <f>INDEX(Calib!$K$1:$K$13,$D154)+p_eta*MAX(0,AN154-INDEX(Calib!$AA$1:$AA$13,$D154))</f>
        <v/>
      </c>
      <c r="AP154" s="26">
        <f>(1-INDEX(Calib!$H$1:$H$13,$D154))*(1-p_alpha)*AC154+AI154</f>
        <v/>
      </c>
      <c r="AQ154" s="26">
        <f>(AE154/O154-1)*100</f>
        <v/>
      </c>
      <c r="AR154" s="26">
        <f>(AE154/AE137-1)*100</f>
        <v/>
      </c>
      <c r="AS154" s="26">
        <f>(O154/O137-1)*100</f>
        <v/>
      </c>
      <c r="AT154" s="26">
        <f>(AN154-X154)*100</f>
        <v/>
      </c>
      <c r="AU154" s="26">
        <f>(AP154/Z154-1)*100</f>
        <v/>
      </c>
      <c r="AV154" s="26">
        <f>(AI154-S154)*100</f>
        <v/>
      </c>
    </row>
    <row r="155">
      <c r="A155" s="25" t="inlineStr">
        <is>
          <t>RWA</t>
        </is>
      </c>
      <c r="B155" s="25" t="n">
        <v>2042</v>
      </c>
      <c r="C155" s="25" t="n">
        <v>18</v>
      </c>
      <c r="D155" s="25" t="n">
        <v>7</v>
      </c>
      <c r="E155" s="25">
        <f>IF(AND(p_dis_year&gt;0,B155=p_dis_year),1,0)</f>
        <v/>
      </c>
      <c r="F155" s="26">
        <f>IF(AND(p_dis_year&gt;0,B155&gt;=p_dis_year),1-p_eps_a*p_rho_a^(B155-p_dis_year),1)</f>
        <v/>
      </c>
      <c r="G155" s="26">
        <f>INDEX(Calib!$N$1:$N$13,$D155)*(1-p_rent_decline*MIN(1,C155/26))</f>
        <v/>
      </c>
      <c r="H155" s="26">
        <f>IF(C155=0,0,SUMIFS(dl_val,dl_iso,$A155,dl_ind,"pub_cap",dl_year,$B155)/100)</f>
        <v/>
      </c>
      <c r="I155" s="26">
        <f>IF(C155=0,0,SUMIFS(dl_val,dl_iso,$A155,dl_ind,"pub_spend",dl_year,$B155)/100)</f>
        <v/>
      </c>
      <c r="J155" s="26">
        <f>IF(C155=0,0,SUMIFS(dl_val,dl_iso,$A155,dl_ind,"rev",dl_year,$B155)/100)</f>
        <v/>
      </c>
      <c r="K155" s="26">
        <f>(1-p_delta_g)*K154*(1-p_eps_g*$E155)+INDEX(Calib!$E$1:$E$13,$D155)*(INDEX(Calib!$G$1:$G$13,$D155)+0*$H155)</f>
        <v/>
      </c>
      <c r="L155" s="26">
        <f>L154*(1-p_eps_k*$E155)+p_lambda_k*(N155-L154*(1-p_eps_k*$E155))</f>
        <v/>
      </c>
      <c r="M155" s="26">
        <f>INDEX(Calib!$R$1:$R$13,$D155)*$F155*(K154*(1-p_eps_g*$E155))^INDEX(Calib!$Q$1:$Q$13,$D155)*(L154*(1-p_eps_k*$E155))^p_alpha</f>
        <v/>
      </c>
      <c r="N155" s="26">
        <f>p_alpha*(1-INDEX(Calib!$H$1:$H$13,$D155))*M155/(INDEX(Calib!$K$1:$K$13,$D155)+p_delta)</f>
        <v/>
      </c>
      <c r="O155" s="26">
        <f>M155+$G155</f>
        <v/>
      </c>
      <c r="P155" s="26">
        <f>0*($H155+$I155)</f>
        <v/>
      </c>
      <c r="Q155" s="26">
        <f>INDEX(Calib!$I$1:$I$13,$D155)+p_sh_grant*P155</f>
        <v/>
      </c>
      <c r="R155" s="26">
        <f>INDEX(Calib!$H$1:$H$13,$D155)*M155+p_gov_take*$G155+Q155+0*p_pricing*$J155</f>
        <v/>
      </c>
      <c r="S155" s="26">
        <f>INDEX(Calib!$Y$1:$Y$13,$D155)-INDEX(Calib!$Z$1:$Z$13,$D155)*(V154/O154-INDEX(Calib!$AA$1:$AA$13,$D155))</f>
        <v/>
      </c>
      <c r="T155" s="26">
        <f>INDEX(Calib!$X$1:$X$13,$D155)+INDEX(Calib!$G$1:$G$13,$D155)+P155+S155-R155</f>
        <v/>
      </c>
      <c r="U155" s="26">
        <f>p_rk*W154+Y154*(V154-W154)</f>
        <v/>
      </c>
      <c r="V155" s="26">
        <f>V154+U155+T155</f>
        <v/>
      </c>
      <c r="W155" s="26">
        <f>INDEX(Calib!$U$1:$U$13,$D155)+(W154-INDEX(Calib!$U$1:$U$13,$D155))*(1-p_amort)+p_sh_conc*P155</f>
        <v/>
      </c>
      <c r="X155" s="26">
        <f>V155/O155</f>
        <v/>
      </c>
      <c r="Y155" s="26">
        <f>INDEX(Calib!$K$1:$K$13,$D155)+p_eta*MAX(0,X155-INDEX(Calib!$AA$1:$AA$13,$D155))</f>
        <v/>
      </c>
      <c r="Z155" s="26">
        <f>(1-INDEX(Calib!$H$1:$H$13,$D155))*(1-p_alpha)*M155+S155</f>
        <v/>
      </c>
      <c r="AA155" s="26">
        <f>(1-p_delta_g)*AA154*(1-p_eps_g*$E155)+INDEX(Calib!$E$1:$E$13,$D155)*(INDEX(Calib!$G$1:$G$13,$D155)+p_programme*$H155)</f>
        <v/>
      </c>
      <c r="AB155" s="26">
        <f>AB154*(1-p_eps_k*$E155)+p_lambda_k*(AD155-AB154*(1-p_eps_k*$E155))</f>
        <v/>
      </c>
      <c r="AC155" s="26">
        <f>INDEX(Calib!$R$1:$R$13,$D155)*$F155*(AA154*(1-p_eps_g*$E155))^INDEX(Calib!$Q$1:$Q$13,$D155)*(AB154*(1-p_eps_k*$E155))^p_alpha</f>
        <v/>
      </c>
      <c r="AD155" s="26">
        <f>p_alpha*(1-INDEX(Calib!$H$1:$H$13,$D155))*AC155/(INDEX(Calib!$K$1:$K$13,$D155)+p_delta)</f>
        <v/>
      </c>
      <c r="AE155" s="26">
        <f>AC155+$G155</f>
        <v/>
      </c>
      <c r="AF155" s="26">
        <f>p_programme*($H155+$I155)</f>
        <v/>
      </c>
      <c r="AG155" s="26">
        <f>INDEX(Calib!$I$1:$I$13,$D155)+p_sh_grant*AF155</f>
        <v/>
      </c>
      <c r="AH155" s="26">
        <f>INDEX(Calib!$H$1:$H$13,$D155)*AC155+p_gov_take*$G155+AG155+p_programme*p_pricing*$J155</f>
        <v/>
      </c>
      <c r="AI155" s="26">
        <f>INDEX(Calib!$Y$1:$Y$13,$D155)-INDEX(Calib!$Z$1:$Z$13,$D155)*(AL154/AE154-INDEX(Calib!$AA$1:$AA$13,$D155))</f>
        <v/>
      </c>
      <c r="AJ155" s="26">
        <f>INDEX(Calib!$X$1:$X$13,$D155)+INDEX(Calib!$G$1:$G$13,$D155)+AF155+AI155-AH155</f>
        <v/>
      </c>
      <c r="AK155" s="26">
        <f>p_rk*AM154+AO154*(AL154-AM154)</f>
        <v/>
      </c>
      <c r="AL155" s="26">
        <f>AL154+AK155+AJ155</f>
        <v/>
      </c>
      <c r="AM155" s="26">
        <f>INDEX(Calib!$U$1:$U$13,$D155)+(AM154-INDEX(Calib!$U$1:$U$13,$D155))*(1-p_amort)+p_sh_conc*AF155</f>
        <v/>
      </c>
      <c r="AN155" s="26">
        <f>AL155/AE155</f>
        <v/>
      </c>
      <c r="AO155" s="26">
        <f>INDEX(Calib!$K$1:$K$13,$D155)+p_eta*MAX(0,AN155-INDEX(Calib!$AA$1:$AA$13,$D155))</f>
        <v/>
      </c>
      <c r="AP155" s="26">
        <f>(1-INDEX(Calib!$H$1:$H$13,$D155))*(1-p_alpha)*AC155+AI155</f>
        <v/>
      </c>
      <c r="AQ155" s="26">
        <f>(AE155/O155-1)*100</f>
        <v/>
      </c>
      <c r="AR155" s="26">
        <f>(AE155/AE137-1)*100</f>
        <v/>
      </c>
      <c r="AS155" s="26">
        <f>(O155/O137-1)*100</f>
        <v/>
      </c>
      <c r="AT155" s="26">
        <f>(AN155-X155)*100</f>
        <v/>
      </c>
      <c r="AU155" s="26">
        <f>(AP155/Z155-1)*100</f>
        <v/>
      </c>
      <c r="AV155" s="26">
        <f>(AI155-S155)*100</f>
        <v/>
      </c>
    </row>
    <row r="156">
      <c r="A156" s="25" t="inlineStr">
        <is>
          <t>RWA</t>
        </is>
      </c>
      <c r="B156" s="25" t="n">
        <v>2043</v>
      </c>
      <c r="C156" s="25" t="n">
        <v>19</v>
      </c>
      <c r="D156" s="25" t="n">
        <v>7</v>
      </c>
      <c r="E156" s="25">
        <f>IF(AND(p_dis_year&gt;0,B156=p_dis_year),1,0)</f>
        <v/>
      </c>
      <c r="F156" s="26">
        <f>IF(AND(p_dis_year&gt;0,B156&gt;=p_dis_year),1-p_eps_a*p_rho_a^(B156-p_dis_year),1)</f>
        <v/>
      </c>
      <c r="G156" s="26">
        <f>INDEX(Calib!$N$1:$N$13,$D156)*(1-p_rent_decline*MIN(1,C156/26))</f>
        <v/>
      </c>
      <c r="H156" s="26">
        <f>IF(C156=0,0,SUMIFS(dl_val,dl_iso,$A156,dl_ind,"pub_cap",dl_year,$B156)/100)</f>
        <v/>
      </c>
      <c r="I156" s="26">
        <f>IF(C156=0,0,SUMIFS(dl_val,dl_iso,$A156,dl_ind,"pub_spend",dl_year,$B156)/100)</f>
        <v/>
      </c>
      <c r="J156" s="26">
        <f>IF(C156=0,0,SUMIFS(dl_val,dl_iso,$A156,dl_ind,"rev",dl_year,$B156)/100)</f>
        <v/>
      </c>
      <c r="K156" s="26">
        <f>(1-p_delta_g)*K155*(1-p_eps_g*$E156)+INDEX(Calib!$E$1:$E$13,$D156)*(INDEX(Calib!$G$1:$G$13,$D156)+0*$H156)</f>
        <v/>
      </c>
      <c r="L156" s="26">
        <f>L155*(1-p_eps_k*$E156)+p_lambda_k*(N156-L155*(1-p_eps_k*$E156))</f>
        <v/>
      </c>
      <c r="M156" s="26">
        <f>INDEX(Calib!$R$1:$R$13,$D156)*$F156*(K155*(1-p_eps_g*$E156))^INDEX(Calib!$Q$1:$Q$13,$D156)*(L155*(1-p_eps_k*$E156))^p_alpha</f>
        <v/>
      </c>
      <c r="N156" s="26">
        <f>p_alpha*(1-INDEX(Calib!$H$1:$H$13,$D156))*M156/(INDEX(Calib!$K$1:$K$13,$D156)+p_delta)</f>
        <v/>
      </c>
      <c r="O156" s="26">
        <f>M156+$G156</f>
        <v/>
      </c>
      <c r="P156" s="26">
        <f>0*($H156+$I156)</f>
        <v/>
      </c>
      <c r="Q156" s="26">
        <f>INDEX(Calib!$I$1:$I$13,$D156)+p_sh_grant*P156</f>
        <v/>
      </c>
      <c r="R156" s="26">
        <f>INDEX(Calib!$H$1:$H$13,$D156)*M156+p_gov_take*$G156+Q156+0*p_pricing*$J156</f>
        <v/>
      </c>
      <c r="S156" s="26">
        <f>INDEX(Calib!$Y$1:$Y$13,$D156)-INDEX(Calib!$Z$1:$Z$13,$D156)*(V155/O155-INDEX(Calib!$AA$1:$AA$13,$D156))</f>
        <v/>
      </c>
      <c r="T156" s="26">
        <f>INDEX(Calib!$X$1:$X$13,$D156)+INDEX(Calib!$G$1:$G$13,$D156)+P156+S156-R156</f>
        <v/>
      </c>
      <c r="U156" s="26">
        <f>p_rk*W155+Y155*(V155-W155)</f>
        <v/>
      </c>
      <c r="V156" s="26">
        <f>V155+U156+T156</f>
        <v/>
      </c>
      <c r="W156" s="26">
        <f>INDEX(Calib!$U$1:$U$13,$D156)+(W155-INDEX(Calib!$U$1:$U$13,$D156))*(1-p_amort)+p_sh_conc*P156</f>
        <v/>
      </c>
      <c r="X156" s="26">
        <f>V156/O156</f>
        <v/>
      </c>
      <c r="Y156" s="26">
        <f>INDEX(Calib!$K$1:$K$13,$D156)+p_eta*MAX(0,X156-INDEX(Calib!$AA$1:$AA$13,$D156))</f>
        <v/>
      </c>
      <c r="Z156" s="26">
        <f>(1-INDEX(Calib!$H$1:$H$13,$D156))*(1-p_alpha)*M156+S156</f>
        <v/>
      </c>
      <c r="AA156" s="26">
        <f>(1-p_delta_g)*AA155*(1-p_eps_g*$E156)+INDEX(Calib!$E$1:$E$13,$D156)*(INDEX(Calib!$G$1:$G$13,$D156)+p_programme*$H156)</f>
        <v/>
      </c>
      <c r="AB156" s="26">
        <f>AB155*(1-p_eps_k*$E156)+p_lambda_k*(AD156-AB155*(1-p_eps_k*$E156))</f>
        <v/>
      </c>
      <c r="AC156" s="26">
        <f>INDEX(Calib!$R$1:$R$13,$D156)*$F156*(AA155*(1-p_eps_g*$E156))^INDEX(Calib!$Q$1:$Q$13,$D156)*(AB155*(1-p_eps_k*$E156))^p_alpha</f>
        <v/>
      </c>
      <c r="AD156" s="26">
        <f>p_alpha*(1-INDEX(Calib!$H$1:$H$13,$D156))*AC156/(INDEX(Calib!$K$1:$K$13,$D156)+p_delta)</f>
        <v/>
      </c>
      <c r="AE156" s="26">
        <f>AC156+$G156</f>
        <v/>
      </c>
      <c r="AF156" s="26">
        <f>p_programme*($H156+$I156)</f>
        <v/>
      </c>
      <c r="AG156" s="26">
        <f>INDEX(Calib!$I$1:$I$13,$D156)+p_sh_grant*AF156</f>
        <v/>
      </c>
      <c r="AH156" s="26">
        <f>INDEX(Calib!$H$1:$H$13,$D156)*AC156+p_gov_take*$G156+AG156+p_programme*p_pricing*$J156</f>
        <v/>
      </c>
      <c r="AI156" s="26">
        <f>INDEX(Calib!$Y$1:$Y$13,$D156)-INDEX(Calib!$Z$1:$Z$13,$D156)*(AL155/AE155-INDEX(Calib!$AA$1:$AA$13,$D156))</f>
        <v/>
      </c>
      <c r="AJ156" s="26">
        <f>INDEX(Calib!$X$1:$X$13,$D156)+INDEX(Calib!$G$1:$G$13,$D156)+AF156+AI156-AH156</f>
        <v/>
      </c>
      <c r="AK156" s="26">
        <f>p_rk*AM155+AO155*(AL155-AM155)</f>
        <v/>
      </c>
      <c r="AL156" s="26">
        <f>AL155+AK156+AJ156</f>
        <v/>
      </c>
      <c r="AM156" s="26">
        <f>INDEX(Calib!$U$1:$U$13,$D156)+(AM155-INDEX(Calib!$U$1:$U$13,$D156))*(1-p_amort)+p_sh_conc*AF156</f>
        <v/>
      </c>
      <c r="AN156" s="26">
        <f>AL156/AE156</f>
        <v/>
      </c>
      <c r="AO156" s="26">
        <f>INDEX(Calib!$K$1:$K$13,$D156)+p_eta*MAX(0,AN156-INDEX(Calib!$AA$1:$AA$13,$D156))</f>
        <v/>
      </c>
      <c r="AP156" s="26">
        <f>(1-INDEX(Calib!$H$1:$H$13,$D156))*(1-p_alpha)*AC156+AI156</f>
        <v/>
      </c>
      <c r="AQ156" s="26">
        <f>(AE156/O156-1)*100</f>
        <v/>
      </c>
      <c r="AR156" s="26">
        <f>(AE156/AE137-1)*100</f>
        <v/>
      </c>
      <c r="AS156" s="26">
        <f>(O156/O137-1)*100</f>
        <v/>
      </c>
      <c r="AT156" s="26">
        <f>(AN156-X156)*100</f>
        <v/>
      </c>
      <c r="AU156" s="26">
        <f>(AP156/Z156-1)*100</f>
        <v/>
      </c>
      <c r="AV156" s="26">
        <f>(AI156-S156)*100</f>
        <v/>
      </c>
    </row>
    <row r="157">
      <c r="A157" s="25" t="inlineStr">
        <is>
          <t>RWA</t>
        </is>
      </c>
      <c r="B157" s="25" t="n">
        <v>2044</v>
      </c>
      <c r="C157" s="25" t="n">
        <v>20</v>
      </c>
      <c r="D157" s="25" t="n">
        <v>7</v>
      </c>
      <c r="E157" s="25">
        <f>IF(AND(p_dis_year&gt;0,B157=p_dis_year),1,0)</f>
        <v/>
      </c>
      <c r="F157" s="26">
        <f>IF(AND(p_dis_year&gt;0,B157&gt;=p_dis_year),1-p_eps_a*p_rho_a^(B157-p_dis_year),1)</f>
        <v/>
      </c>
      <c r="G157" s="26">
        <f>INDEX(Calib!$N$1:$N$13,$D157)*(1-p_rent_decline*MIN(1,C157/26))</f>
        <v/>
      </c>
      <c r="H157" s="26">
        <f>IF(C157=0,0,SUMIFS(dl_val,dl_iso,$A157,dl_ind,"pub_cap",dl_year,$B157)/100)</f>
        <v/>
      </c>
      <c r="I157" s="26">
        <f>IF(C157=0,0,SUMIFS(dl_val,dl_iso,$A157,dl_ind,"pub_spend",dl_year,$B157)/100)</f>
        <v/>
      </c>
      <c r="J157" s="26">
        <f>IF(C157=0,0,SUMIFS(dl_val,dl_iso,$A157,dl_ind,"rev",dl_year,$B157)/100)</f>
        <v/>
      </c>
      <c r="K157" s="26">
        <f>(1-p_delta_g)*K156*(1-p_eps_g*$E157)+INDEX(Calib!$E$1:$E$13,$D157)*(INDEX(Calib!$G$1:$G$13,$D157)+0*$H157)</f>
        <v/>
      </c>
      <c r="L157" s="26">
        <f>L156*(1-p_eps_k*$E157)+p_lambda_k*(N157-L156*(1-p_eps_k*$E157))</f>
        <v/>
      </c>
      <c r="M157" s="26">
        <f>INDEX(Calib!$R$1:$R$13,$D157)*$F157*(K156*(1-p_eps_g*$E157))^INDEX(Calib!$Q$1:$Q$13,$D157)*(L156*(1-p_eps_k*$E157))^p_alpha</f>
        <v/>
      </c>
      <c r="N157" s="26">
        <f>p_alpha*(1-INDEX(Calib!$H$1:$H$13,$D157))*M157/(INDEX(Calib!$K$1:$K$13,$D157)+p_delta)</f>
        <v/>
      </c>
      <c r="O157" s="26">
        <f>M157+$G157</f>
        <v/>
      </c>
      <c r="P157" s="26">
        <f>0*($H157+$I157)</f>
        <v/>
      </c>
      <c r="Q157" s="26">
        <f>INDEX(Calib!$I$1:$I$13,$D157)+p_sh_grant*P157</f>
        <v/>
      </c>
      <c r="R157" s="26">
        <f>INDEX(Calib!$H$1:$H$13,$D157)*M157+p_gov_take*$G157+Q157+0*p_pricing*$J157</f>
        <v/>
      </c>
      <c r="S157" s="26">
        <f>INDEX(Calib!$Y$1:$Y$13,$D157)-INDEX(Calib!$Z$1:$Z$13,$D157)*(V156/O156-INDEX(Calib!$AA$1:$AA$13,$D157))</f>
        <v/>
      </c>
      <c r="T157" s="26">
        <f>INDEX(Calib!$X$1:$X$13,$D157)+INDEX(Calib!$G$1:$G$13,$D157)+P157+S157-R157</f>
        <v/>
      </c>
      <c r="U157" s="26">
        <f>p_rk*W156+Y156*(V156-W156)</f>
        <v/>
      </c>
      <c r="V157" s="26">
        <f>V156+U157+T157</f>
        <v/>
      </c>
      <c r="W157" s="26">
        <f>INDEX(Calib!$U$1:$U$13,$D157)+(W156-INDEX(Calib!$U$1:$U$13,$D157))*(1-p_amort)+p_sh_conc*P157</f>
        <v/>
      </c>
      <c r="X157" s="26">
        <f>V157/O157</f>
        <v/>
      </c>
      <c r="Y157" s="26">
        <f>INDEX(Calib!$K$1:$K$13,$D157)+p_eta*MAX(0,X157-INDEX(Calib!$AA$1:$AA$13,$D157))</f>
        <v/>
      </c>
      <c r="Z157" s="26">
        <f>(1-INDEX(Calib!$H$1:$H$13,$D157))*(1-p_alpha)*M157+S157</f>
        <v/>
      </c>
      <c r="AA157" s="26">
        <f>(1-p_delta_g)*AA156*(1-p_eps_g*$E157)+INDEX(Calib!$E$1:$E$13,$D157)*(INDEX(Calib!$G$1:$G$13,$D157)+p_programme*$H157)</f>
        <v/>
      </c>
      <c r="AB157" s="26">
        <f>AB156*(1-p_eps_k*$E157)+p_lambda_k*(AD157-AB156*(1-p_eps_k*$E157))</f>
        <v/>
      </c>
      <c r="AC157" s="26">
        <f>INDEX(Calib!$R$1:$R$13,$D157)*$F157*(AA156*(1-p_eps_g*$E157))^INDEX(Calib!$Q$1:$Q$13,$D157)*(AB156*(1-p_eps_k*$E157))^p_alpha</f>
        <v/>
      </c>
      <c r="AD157" s="26">
        <f>p_alpha*(1-INDEX(Calib!$H$1:$H$13,$D157))*AC157/(INDEX(Calib!$K$1:$K$13,$D157)+p_delta)</f>
        <v/>
      </c>
      <c r="AE157" s="26">
        <f>AC157+$G157</f>
        <v/>
      </c>
      <c r="AF157" s="26">
        <f>p_programme*($H157+$I157)</f>
        <v/>
      </c>
      <c r="AG157" s="26">
        <f>INDEX(Calib!$I$1:$I$13,$D157)+p_sh_grant*AF157</f>
        <v/>
      </c>
      <c r="AH157" s="26">
        <f>INDEX(Calib!$H$1:$H$13,$D157)*AC157+p_gov_take*$G157+AG157+p_programme*p_pricing*$J157</f>
        <v/>
      </c>
      <c r="AI157" s="26">
        <f>INDEX(Calib!$Y$1:$Y$13,$D157)-INDEX(Calib!$Z$1:$Z$13,$D157)*(AL156/AE156-INDEX(Calib!$AA$1:$AA$13,$D157))</f>
        <v/>
      </c>
      <c r="AJ157" s="26">
        <f>INDEX(Calib!$X$1:$X$13,$D157)+INDEX(Calib!$G$1:$G$13,$D157)+AF157+AI157-AH157</f>
        <v/>
      </c>
      <c r="AK157" s="26">
        <f>p_rk*AM156+AO156*(AL156-AM156)</f>
        <v/>
      </c>
      <c r="AL157" s="26">
        <f>AL156+AK157+AJ157</f>
        <v/>
      </c>
      <c r="AM157" s="26">
        <f>INDEX(Calib!$U$1:$U$13,$D157)+(AM156-INDEX(Calib!$U$1:$U$13,$D157))*(1-p_amort)+p_sh_conc*AF157</f>
        <v/>
      </c>
      <c r="AN157" s="26">
        <f>AL157/AE157</f>
        <v/>
      </c>
      <c r="AO157" s="26">
        <f>INDEX(Calib!$K$1:$K$13,$D157)+p_eta*MAX(0,AN157-INDEX(Calib!$AA$1:$AA$13,$D157))</f>
        <v/>
      </c>
      <c r="AP157" s="26">
        <f>(1-INDEX(Calib!$H$1:$H$13,$D157))*(1-p_alpha)*AC157+AI157</f>
        <v/>
      </c>
      <c r="AQ157" s="26">
        <f>(AE157/O157-1)*100</f>
        <v/>
      </c>
      <c r="AR157" s="26">
        <f>(AE157/AE137-1)*100</f>
        <v/>
      </c>
      <c r="AS157" s="26">
        <f>(O157/O137-1)*100</f>
        <v/>
      </c>
      <c r="AT157" s="26">
        <f>(AN157-X157)*100</f>
        <v/>
      </c>
      <c r="AU157" s="26">
        <f>(AP157/Z157-1)*100</f>
        <v/>
      </c>
      <c r="AV157" s="26">
        <f>(AI157-S157)*100</f>
        <v/>
      </c>
    </row>
    <row r="158">
      <c r="A158" s="25" t="inlineStr">
        <is>
          <t>RWA</t>
        </is>
      </c>
      <c r="B158" s="25" t="n">
        <v>2045</v>
      </c>
      <c r="C158" s="25" t="n">
        <v>21</v>
      </c>
      <c r="D158" s="25" t="n">
        <v>7</v>
      </c>
      <c r="E158" s="25">
        <f>IF(AND(p_dis_year&gt;0,B158=p_dis_year),1,0)</f>
        <v/>
      </c>
      <c r="F158" s="26">
        <f>IF(AND(p_dis_year&gt;0,B158&gt;=p_dis_year),1-p_eps_a*p_rho_a^(B158-p_dis_year),1)</f>
        <v/>
      </c>
      <c r="G158" s="26">
        <f>INDEX(Calib!$N$1:$N$13,$D158)*(1-p_rent_decline*MIN(1,C158/26))</f>
        <v/>
      </c>
      <c r="H158" s="26">
        <f>IF(C158=0,0,SUMIFS(dl_val,dl_iso,$A158,dl_ind,"pub_cap",dl_year,$B158)/100)</f>
        <v/>
      </c>
      <c r="I158" s="26">
        <f>IF(C158=0,0,SUMIFS(dl_val,dl_iso,$A158,dl_ind,"pub_spend",dl_year,$B158)/100)</f>
        <v/>
      </c>
      <c r="J158" s="26">
        <f>IF(C158=0,0,SUMIFS(dl_val,dl_iso,$A158,dl_ind,"rev",dl_year,$B158)/100)</f>
        <v/>
      </c>
      <c r="K158" s="26">
        <f>(1-p_delta_g)*K157*(1-p_eps_g*$E158)+INDEX(Calib!$E$1:$E$13,$D158)*(INDEX(Calib!$G$1:$G$13,$D158)+0*$H158)</f>
        <v/>
      </c>
      <c r="L158" s="26">
        <f>L157*(1-p_eps_k*$E158)+p_lambda_k*(N158-L157*(1-p_eps_k*$E158))</f>
        <v/>
      </c>
      <c r="M158" s="26">
        <f>INDEX(Calib!$R$1:$R$13,$D158)*$F158*(K157*(1-p_eps_g*$E158))^INDEX(Calib!$Q$1:$Q$13,$D158)*(L157*(1-p_eps_k*$E158))^p_alpha</f>
        <v/>
      </c>
      <c r="N158" s="26">
        <f>p_alpha*(1-INDEX(Calib!$H$1:$H$13,$D158))*M158/(INDEX(Calib!$K$1:$K$13,$D158)+p_delta)</f>
        <v/>
      </c>
      <c r="O158" s="26">
        <f>M158+$G158</f>
        <v/>
      </c>
      <c r="P158" s="26">
        <f>0*($H158+$I158)</f>
        <v/>
      </c>
      <c r="Q158" s="26">
        <f>INDEX(Calib!$I$1:$I$13,$D158)+p_sh_grant*P158</f>
        <v/>
      </c>
      <c r="R158" s="26">
        <f>INDEX(Calib!$H$1:$H$13,$D158)*M158+p_gov_take*$G158+Q158+0*p_pricing*$J158</f>
        <v/>
      </c>
      <c r="S158" s="26">
        <f>INDEX(Calib!$Y$1:$Y$13,$D158)-INDEX(Calib!$Z$1:$Z$13,$D158)*(V157/O157-INDEX(Calib!$AA$1:$AA$13,$D158))</f>
        <v/>
      </c>
      <c r="T158" s="26">
        <f>INDEX(Calib!$X$1:$X$13,$D158)+INDEX(Calib!$G$1:$G$13,$D158)+P158+S158-R158</f>
        <v/>
      </c>
      <c r="U158" s="26">
        <f>p_rk*W157+Y157*(V157-W157)</f>
        <v/>
      </c>
      <c r="V158" s="26">
        <f>V157+U158+T158</f>
        <v/>
      </c>
      <c r="W158" s="26">
        <f>INDEX(Calib!$U$1:$U$13,$D158)+(W157-INDEX(Calib!$U$1:$U$13,$D158))*(1-p_amort)+p_sh_conc*P158</f>
        <v/>
      </c>
      <c r="X158" s="26">
        <f>V158/O158</f>
        <v/>
      </c>
      <c r="Y158" s="26">
        <f>INDEX(Calib!$K$1:$K$13,$D158)+p_eta*MAX(0,X158-INDEX(Calib!$AA$1:$AA$13,$D158))</f>
        <v/>
      </c>
      <c r="Z158" s="26">
        <f>(1-INDEX(Calib!$H$1:$H$13,$D158))*(1-p_alpha)*M158+S158</f>
        <v/>
      </c>
      <c r="AA158" s="26">
        <f>(1-p_delta_g)*AA157*(1-p_eps_g*$E158)+INDEX(Calib!$E$1:$E$13,$D158)*(INDEX(Calib!$G$1:$G$13,$D158)+p_programme*$H158)</f>
        <v/>
      </c>
      <c r="AB158" s="26">
        <f>AB157*(1-p_eps_k*$E158)+p_lambda_k*(AD158-AB157*(1-p_eps_k*$E158))</f>
        <v/>
      </c>
      <c r="AC158" s="26">
        <f>INDEX(Calib!$R$1:$R$13,$D158)*$F158*(AA157*(1-p_eps_g*$E158))^INDEX(Calib!$Q$1:$Q$13,$D158)*(AB157*(1-p_eps_k*$E158))^p_alpha</f>
        <v/>
      </c>
      <c r="AD158" s="26">
        <f>p_alpha*(1-INDEX(Calib!$H$1:$H$13,$D158))*AC158/(INDEX(Calib!$K$1:$K$13,$D158)+p_delta)</f>
        <v/>
      </c>
      <c r="AE158" s="26">
        <f>AC158+$G158</f>
        <v/>
      </c>
      <c r="AF158" s="26">
        <f>p_programme*($H158+$I158)</f>
        <v/>
      </c>
      <c r="AG158" s="26">
        <f>INDEX(Calib!$I$1:$I$13,$D158)+p_sh_grant*AF158</f>
        <v/>
      </c>
      <c r="AH158" s="26">
        <f>INDEX(Calib!$H$1:$H$13,$D158)*AC158+p_gov_take*$G158+AG158+p_programme*p_pricing*$J158</f>
        <v/>
      </c>
      <c r="AI158" s="26">
        <f>INDEX(Calib!$Y$1:$Y$13,$D158)-INDEX(Calib!$Z$1:$Z$13,$D158)*(AL157/AE157-INDEX(Calib!$AA$1:$AA$13,$D158))</f>
        <v/>
      </c>
      <c r="AJ158" s="26">
        <f>INDEX(Calib!$X$1:$X$13,$D158)+INDEX(Calib!$G$1:$G$13,$D158)+AF158+AI158-AH158</f>
        <v/>
      </c>
      <c r="AK158" s="26">
        <f>p_rk*AM157+AO157*(AL157-AM157)</f>
        <v/>
      </c>
      <c r="AL158" s="26">
        <f>AL157+AK158+AJ158</f>
        <v/>
      </c>
      <c r="AM158" s="26">
        <f>INDEX(Calib!$U$1:$U$13,$D158)+(AM157-INDEX(Calib!$U$1:$U$13,$D158))*(1-p_amort)+p_sh_conc*AF158</f>
        <v/>
      </c>
      <c r="AN158" s="26">
        <f>AL158/AE158</f>
        <v/>
      </c>
      <c r="AO158" s="26">
        <f>INDEX(Calib!$K$1:$K$13,$D158)+p_eta*MAX(0,AN158-INDEX(Calib!$AA$1:$AA$13,$D158))</f>
        <v/>
      </c>
      <c r="AP158" s="26">
        <f>(1-INDEX(Calib!$H$1:$H$13,$D158))*(1-p_alpha)*AC158+AI158</f>
        <v/>
      </c>
      <c r="AQ158" s="26">
        <f>(AE158/O158-1)*100</f>
        <v/>
      </c>
      <c r="AR158" s="26">
        <f>(AE158/AE137-1)*100</f>
        <v/>
      </c>
      <c r="AS158" s="26">
        <f>(O158/O137-1)*100</f>
        <v/>
      </c>
      <c r="AT158" s="26">
        <f>(AN158-X158)*100</f>
        <v/>
      </c>
      <c r="AU158" s="26">
        <f>(AP158/Z158-1)*100</f>
        <v/>
      </c>
      <c r="AV158" s="26">
        <f>(AI158-S158)*100</f>
        <v/>
      </c>
    </row>
    <row r="159">
      <c r="A159" s="25" t="inlineStr">
        <is>
          <t>RWA</t>
        </is>
      </c>
      <c r="B159" s="25" t="n">
        <v>2046</v>
      </c>
      <c r="C159" s="25" t="n">
        <v>22</v>
      </c>
      <c r="D159" s="25" t="n">
        <v>7</v>
      </c>
      <c r="E159" s="25">
        <f>IF(AND(p_dis_year&gt;0,B159=p_dis_year),1,0)</f>
        <v/>
      </c>
      <c r="F159" s="26">
        <f>IF(AND(p_dis_year&gt;0,B159&gt;=p_dis_year),1-p_eps_a*p_rho_a^(B159-p_dis_year),1)</f>
        <v/>
      </c>
      <c r="G159" s="26">
        <f>INDEX(Calib!$N$1:$N$13,$D159)*(1-p_rent_decline*MIN(1,C159/26))</f>
        <v/>
      </c>
      <c r="H159" s="26">
        <f>IF(C159=0,0,SUMIFS(dl_val,dl_iso,$A159,dl_ind,"pub_cap",dl_year,$B159)/100)</f>
        <v/>
      </c>
      <c r="I159" s="26">
        <f>IF(C159=0,0,SUMIFS(dl_val,dl_iso,$A159,dl_ind,"pub_spend",dl_year,$B159)/100)</f>
        <v/>
      </c>
      <c r="J159" s="26">
        <f>IF(C159=0,0,SUMIFS(dl_val,dl_iso,$A159,dl_ind,"rev",dl_year,$B159)/100)</f>
        <v/>
      </c>
      <c r="K159" s="26">
        <f>(1-p_delta_g)*K158*(1-p_eps_g*$E159)+INDEX(Calib!$E$1:$E$13,$D159)*(INDEX(Calib!$G$1:$G$13,$D159)+0*$H159)</f>
        <v/>
      </c>
      <c r="L159" s="26">
        <f>L158*(1-p_eps_k*$E159)+p_lambda_k*(N159-L158*(1-p_eps_k*$E159))</f>
        <v/>
      </c>
      <c r="M159" s="26">
        <f>INDEX(Calib!$R$1:$R$13,$D159)*$F159*(K158*(1-p_eps_g*$E159))^INDEX(Calib!$Q$1:$Q$13,$D159)*(L158*(1-p_eps_k*$E159))^p_alpha</f>
        <v/>
      </c>
      <c r="N159" s="26">
        <f>p_alpha*(1-INDEX(Calib!$H$1:$H$13,$D159))*M159/(INDEX(Calib!$K$1:$K$13,$D159)+p_delta)</f>
        <v/>
      </c>
      <c r="O159" s="26">
        <f>M159+$G159</f>
        <v/>
      </c>
      <c r="P159" s="26">
        <f>0*($H159+$I159)</f>
        <v/>
      </c>
      <c r="Q159" s="26">
        <f>INDEX(Calib!$I$1:$I$13,$D159)+p_sh_grant*P159</f>
        <v/>
      </c>
      <c r="R159" s="26">
        <f>INDEX(Calib!$H$1:$H$13,$D159)*M159+p_gov_take*$G159+Q159+0*p_pricing*$J159</f>
        <v/>
      </c>
      <c r="S159" s="26">
        <f>INDEX(Calib!$Y$1:$Y$13,$D159)-INDEX(Calib!$Z$1:$Z$13,$D159)*(V158/O158-INDEX(Calib!$AA$1:$AA$13,$D159))</f>
        <v/>
      </c>
      <c r="T159" s="26">
        <f>INDEX(Calib!$X$1:$X$13,$D159)+INDEX(Calib!$G$1:$G$13,$D159)+P159+S159-R159</f>
        <v/>
      </c>
      <c r="U159" s="26">
        <f>p_rk*W158+Y158*(V158-W158)</f>
        <v/>
      </c>
      <c r="V159" s="26">
        <f>V158+U159+T159</f>
        <v/>
      </c>
      <c r="W159" s="26">
        <f>INDEX(Calib!$U$1:$U$13,$D159)+(W158-INDEX(Calib!$U$1:$U$13,$D159))*(1-p_amort)+p_sh_conc*P159</f>
        <v/>
      </c>
      <c r="X159" s="26">
        <f>V159/O159</f>
        <v/>
      </c>
      <c r="Y159" s="26">
        <f>INDEX(Calib!$K$1:$K$13,$D159)+p_eta*MAX(0,X159-INDEX(Calib!$AA$1:$AA$13,$D159))</f>
        <v/>
      </c>
      <c r="Z159" s="26">
        <f>(1-INDEX(Calib!$H$1:$H$13,$D159))*(1-p_alpha)*M159+S159</f>
        <v/>
      </c>
      <c r="AA159" s="26">
        <f>(1-p_delta_g)*AA158*(1-p_eps_g*$E159)+INDEX(Calib!$E$1:$E$13,$D159)*(INDEX(Calib!$G$1:$G$13,$D159)+p_programme*$H159)</f>
        <v/>
      </c>
      <c r="AB159" s="26">
        <f>AB158*(1-p_eps_k*$E159)+p_lambda_k*(AD159-AB158*(1-p_eps_k*$E159))</f>
        <v/>
      </c>
      <c r="AC159" s="26">
        <f>INDEX(Calib!$R$1:$R$13,$D159)*$F159*(AA158*(1-p_eps_g*$E159))^INDEX(Calib!$Q$1:$Q$13,$D159)*(AB158*(1-p_eps_k*$E159))^p_alpha</f>
        <v/>
      </c>
      <c r="AD159" s="26">
        <f>p_alpha*(1-INDEX(Calib!$H$1:$H$13,$D159))*AC159/(INDEX(Calib!$K$1:$K$13,$D159)+p_delta)</f>
        <v/>
      </c>
      <c r="AE159" s="26">
        <f>AC159+$G159</f>
        <v/>
      </c>
      <c r="AF159" s="26">
        <f>p_programme*($H159+$I159)</f>
        <v/>
      </c>
      <c r="AG159" s="26">
        <f>INDEX(Calib!$I$1:$I$13,$D159)+p_sh_grant*AF159</f>
        <v/>
      </c>
      <c r="AH159" s="26">
        <f>INDEX(Calib!$H$1:$H$13,$D159)*AC159+p_gov_take*$G159+AG159+p_programme*p_pricing*$J159</f>
        <v/>
      </c>
      <c r="AI159" s="26">
        <f>INDEX(Calib!$Y$1:$Y$13,$D159)-INDEX(Calib!$Z$1:$Z$13,$D159)*(AL158/AE158-INDEX(Calib!$AA$1:$AA$13,$D159))</f>
        <v/>
      </c>
      <c r="AJ159" s="26">
        <f>INDEX(Calib!$X$1:$X$13,$D159)+INDEX(Calib!$G$1:$G$13,$D159)+AF159+AI159-AH159</f>
        <v/>
      </c>
      <c r="AK159" s="26">
        <f>p_rk*AM158+AO158*(AL158-AM158)</f>
        <v/>
      </c>
      <c r="AL159" s="26">
        <f>AL158+AK159+AJ159</f>
        <v/>
      </c>
      <c r="AM159" s="26">
        <f>INDEX(Calib!$U$1:$U$13,$D159)+(AM158-INDEX(Calib!$U$1:$U$13,$D159))*(1-p_amort)+p_sh_conc*AF159</f>
        <v/>
      </c>
      <c r="AN159" s="26">
        <f>AL159/AE159</f>
        <v/>
      </c>
      <c r="AO159" s="26">
        <f>INDEX(Calib!$K$1:$K$13,$D159)+p_eta*MAX(0,AN159-INDEX(Calib!$AA$1:$AA$13,$D159))</f>
        <v/>
      </c>
      <c r="AP159" s="26">
        <f>(1-INDEX(Calib!$H$1:$H$13,$D159))*(1-p_alpha)*AC159+AI159</f>
        <v/>
      </c>
      <c r="AQ159" s="26">
        <f>(AE159/O159-1)*100</f>
        <v/>
      </c>
      <c r="AR159" s="26">
        <f>(AE159/AE137-1)*100</f>
        <v/>
      </c>
      <c r="AS159" s="26">
        <f>(O159/O137-1)*100</f>
        <v/>
      </c>
      <c r="AT159" s="26">
        <f>(AN159-X159)*100</f>
        <v/>
      </c>
      <c r="AU159" s="26">
        <f>(AP159/Z159-1)*100</f>
        <v/>
      </c>
      <c r="AV159" s="26">
        <f>(AI159-S159)*100</f>
        <v/>
      </c>
    </row>
    <row r="160">
      <c r="A160" s="25" t="inlineStr">
        <is>
          <t>RWA</t>
        </is>
      </c>
      <c r="B160" s="25" t="n">
        <v>2047</v>
      </c>
      <c r="C160" s="25" t="n">
        <v>23</v>
      </c>
      <c r="D160" s="25" t="n">
        <v>7</v>
      </c>
      <c r="E160" s="25">
        <f>IF(AND(p_dis_year&gt;0,B160=p_dis_year),1,0)</f>
        <v/>
      </c>
      <c r="F160" s="26">
        <f>IF(AND(p_dis_year&gt;0,B160&gt;=p_dis_year),1-p_eps_a*p_rho_a^(B160-p_dis_year),1)</f>
        <v/>
      </c>
      <c r="G160" s="26">
        <f>INDEX(Calib!$N$1:$N$13,$D160)*(1-p_rent_decline*MIN(1,C160/26))</f>
        <v/>
      </c>
      <c r="H160" s="26">
        <f>IF(C160=0,0,SUMIFS(dl_val,dl_iso,$A160,dl_ind,"pub_cap",dl_year,$B160)/100)</f>
        <v/>
      </c>
      <c r="I160" s="26">
        <f>IF(C160=0,0,SUMIFS(dl_val,dl_iso,$A160,dl_ind,"pub_spend",dl_year,$B160)/100)</f>
        <v/>
      </c>
      <c r="J160" s="26">
        <f>IF(C160=0,0,SUMIFS(dl_val,dl_iso,$A160,dl_ind,"rev",dl_year,$B160)/100)</f>
        <v/>
      </c>
      <c r="K160" s="26">
        <f>(1-p_delta_g)*K159*(1-p_eps_g*$E160)+INDEX(Calib!$E$1:$E$13,$D160)*(INDEX(Calib!$G$1:$G$13,$D160)+0*$H160)</f>
        <v/>
      </c>
      <c r="L160" s="26">
        <f>L159*(1-p_eps_k*$E160)+p_lambda_k*(N160-L159*(1-p_eps_k*$E160))</f>
        <v/>
      </c>
      <c r="M160" s="26">
        <f>INDEX(Calib!$R$1:$R$13,$D160)*$F160*(K159*(1-p_eps_g*$E160))^INDEX(Calib!$Q$1:$Q$13,$D160)*(L159*(1-p_eps_k*$E160))^p_alpha</f>
        <v/>
      </c>
      <c r="N160" s="26">
        <f>p_alpha*(1-INDEX(Calib!$H$1:$H$13,$D160))*M160/(INDEX(Calib!$K$1:$K$13,$D160)+p_delta)</f>
        <v/>
      </c>
      <c r="O160" s="26">
        <f>M160+$G160</f>
        <v/>
      </c>
      <c r="P160" s="26">
        <f>0*($H160+$I160)</f>
        <v/>
      </c>
      <c r="Q160" s="26">
        <f>INDEX(Calib!$I$1:$I$13,$D160)+p_sh_grant*P160</f>
        <v/>
      </c>
      <c r="R160" s="26">
        <f>INDEX(Calib!$H$1:$H$13,$D160)*M160+p_gov_take*$G160+Q160+0*p_pricing*$J160</f>
        <v/>
      </c>
      <c r="S160" s="26">
        <f>INDEX(Calib!$Y$1:$Y$13,$D160)-INDEX(Calib!$Z$1:$Z$13,$D160)*(V159/O159-INDEX(Calib!$AA$1:$AA$13,$D160))</f>
        <v/>
      </c>
      <c r="T160" s="26">
        <f>INDEX(Calib!$X$1:$X$13,$D160)+INDEX(Calib!$G$1:$G$13,$D160)+P160+S160-R160</f>
        <v/>
      </c>
      <c r="U160" s="26">
        <f>p_rk*W159+Y159*(V159-W159)</f>
        <v/>
      </c>
      <c r="V160" s="26">
        <f>V159+U160+T160</f>
        <v/>
      </c>
      <c r="W160" s="26">
        <f>INDEX(Calib!$U$1:$U$13,$D160)+(W159-INDEX(Calib!$U$1:$U$13,$D160))*(1-p_amort)+p_sh_conc*P160</f>
        <v/>
      </c>
      <c r="X160" s="26">
        <f>V160/O160</f>
        <v/>
      </c>
      <c r="Y160" s="26">
        <f>INDEX(Calib!$K$1:$K$13,$D160)+p_eta*MAX(0,X160-INDEX(Calib!$AA$1:$AA$13,$D160))</f>
        <v/>
      </c>
      <c r="Z160" s="26">
        <f>(1-INDEX(Calib!$H$1:$H$13,$D160))*(1-p_alpha)*M160+S160</f>
        <v/>
      </c>
      <c r="AA160" s="26">
        <f>(1-p_delta_g)*AA159*(1-p_eps_g*$E160)+INDEX(Calib!$E$1:$E$13,$D160)*(INDEX(Calib!$G$1:$G$13,$D160)+p_programme*$H160)</f>
        <v/>
      </c>
      <c r="AB160" s="26">
        <f>AB159*(1-p_eps_k*$E160)+p_lambda_k*(AD160-AB159*(1-p_eps_k*$E160))</f>
        <v/>
      </c>
      <c r="AC160" s="26">
        <f>INDEX(Calib!$R$1:$R$13,$D160)*$F160*(AA159*(1-p_eps_g*$E160))^INDEX(Calib!$Q$1:$Q$13,$D160)*(AB159*(1-p_eps_k*$E160))^p_alpha</f>
        <v/>
      </c>
      <c r="AD160" s="26">
        <f>p_alpha*(1-INDEX(Calib!$H$1:$H$13,$D160))*AC160/(INDEX(Calib!$K$1:$K$13,$D160)+p_delta)</f>
        <v/>
      </c>
      <c r="AE160" s="26">
        <f>AC160+$G160</f>
        <v/>
      </c>
      <c r="AF160" s="26">
        <f>p_programme*($H160+$I160)</f>
        <v/>
      </c>
      <c r="AG160" s="26">
        <f>INDEX(Calib!$I$1:$I$13,$D160)+p_sh_grant*AF160</f>
        <v/>
      </c>
      <c r="AH160" s="26">
        <f>INDEX(Calib!$H$1:$H$13,$D160)*AC160+p_gov_take*$G160+AG160+p_programme*p_pricing*$J160</f>
        <v/>
      </c>
      <c r="AI160" s="26">
        <f>INDEX(Calib!$Y$1:$Y$13,$D160)-INDEX(Calib!$Z$1:$Z$13,$D160)*(AL159/AE159-INDEX(Calib!$AA$1:$AA$13,$D160))</f>
        <v/>
      </c>
      <c r="AJ160" s="26">
        <f>INDEX(Calib!$X$1:$X$13,$D160)+INDEX(Calib!$G$1:$G$13,$D160)+AF160+AI160-AH160</f>
        <v/>
      </c>
      <c r="AK160" s="26">
        <f>p_rk*AM159+AO159*(AL159-AM159)</f>
        <v/>
      </c>
      <c r="AL160" s="26">
        <f>AL159+AK160+AJ160</f>
        <v/>
      </c>
      <c r="AM160" s="26">
        <f>INDEX(Calib!$U$1:$U$13,$D160)+(AM159-INDEX(Calib!$U$1:$U$13,$D160))*(1-p_amort)+p_sh_conc*AF160</f>
        <v/>
      </c>
      <c r="AN160" s="26">
        <f>AL160/AE160</f>
        <v/>
      </c>
      <c r="AO160" s="26">
        <f>INDEX(Calib!$K$1:$K$13,$D160)+p_eta*MAX(0,AN160-INDEX(Calib!$AA$1:$AA$13,$D160))</f>
        <v/>
      </c>
      <c r="AP160" s="26">
        <f>(1-INDEX(Calib!$H$1:$H$13,$D160))*(1-p_alpha)*AC160+AI160</f>
        <v/>
      </c>
      <c r="AQ160" s="26">
        <f>(AE160/O160-1)*100</f>
        <v/>
      </c>
      <c r="AR160" s="26">
        <f>(AE160/AE137-1)*100</f>
        <v/>
      </c>
      <c r="AS160" s="26">
        <f>(O160/O137-1)*100</f>
        <v/>
      </c>
      <c r="AT160" s="26">
        <f>(AN160-X160)*100</f>
        <v/>
      </c>
      <c r="AU160" s="26">
        <f>(AP160/Z160-1)*100</f>
        <v/>
      </c>
      <c r="AV160" s="26">
        <f>(AI160-S160)*100</f>
        <v/>
      </c>
    </row>
    <row r="161">
      <c r="A161" s="25" t="inlineStr">
        <is>
          <t>RWA</t>
        </is>
      </c>
      <c r="B161" s="25" t="n">
        <v>2048</v>
      </c>
      <c r="C161" s="25" t="n">
        <v>24</v>
      </c>
      <c r="D161" s="25" t="n">
        <v>7</v>
      </c>
      <c r="E161" s="25">
        <f>IF(AND(p_dis_year&gt;0,B161=p_dis_year),1,0)</f>
        <v/>
      </c>
      <c r="F161" s="26">
        <f>IF(AND(p_dis_year&gt;0,B161&gt;=p_dis_year),1-p_eps_a*p_rho_a^(B161-p_dis_year),1)</f>
        <v/>
      </c>
      <c r="G161" s="26">
        <f>INDEX(Calib!$N$1:$N$13,$D161)*(1-p_rent_decline*MIN(1,C161/26))</f>
        <v/>
      </c>
      <c r="H161" s="26">
        <f>IF(C161=0,0,SUMIFS(dl_val,dl_iso,$A161,dl_ind,"pub_cap",dl_year,$B161)/100)</f>
        <v/>
      </c>
      <c r="I161" s="26">
        <f>IF(C161=0,0,SUMIFS(dl_val,dl_iso,$A161,dl_ind,"pub_spend",dl_year,$B161)/100)</f>
        <v/>
      </c>
      <c r="J161" s="26">
        <f>IF(C161=0,0,SUMIFS(dl_val,dl_iso,$A161,dl_ind,"rev",dl_year,$B161)/100)</f>
        <v/>
      </c>
      <c r="K161" s="26">
        <f>(1-p_delta_g)*K160*(1-p_eps_g*$E161)+INDEX(Calib!$E$1:$E$13,$D161)*(INDEX(Calib!$G$1:$G$13,$D161)+0*$H161)</f>
        <v/>
      </c>
      <c r="L161" s="26">
        <f>L160*(1-p_eps_k*$E161)+p_lambda_k*(N161-L160*(1-p_eps_k*$E161))</f>
        <v/>
      </c>
      <c r="M161" s="26">
        <f>INDEX(Calib!$R$1:$R$13,$D161)*$F161*(K160*(1-p_eps_g*$E161))^INDEX(Calib!$Q$1:$Q$13,$D161)*(L160*(1-p_eps_k*$E161))^p_alpha</f>
        <v/>
      </c>
      <c r="N161" s="26">
        <f>p_alpha*(1-INDEX(Calib!$H$1:$H$13,$D161))*M161/(INDEX(Calib!$K$1:$K$13,$D161)+p_delta)</f>
        <v/>
      </c>
      <c r="O161" s="26">
        <f>M161+$G161</f>
        <v/>
      </c>
      <c r="P161" s="26">
        <f>0*($H161+$I161)</f>
        <v/>
      </c>
      <c r="Q161" s="26">
        <f>INDEX(Calib!$I$1:$I$13,$D161)+p_sh_grant*P161</f>
        <v/>
      </c>
      <c r="R161" s="26">
        <f>INDEX(Calib!$H$1:$H$13,$D161)*M161+p_gov_take*$G161+Q161+0*p_pricing*$J161</f>
        <v/>
      </c>
      <c r="S161" s="26">
        <f>INDEX(Calib!$Y$1:$Y$13,$D161)-INDEX(Calib!$Z$1:$Z$13,$D161)*(V160/O160-INDEX(Calib!$AA$1:$AA$13,$D161))</f>
        <v/>
      </c>
      <c r="T161" s="26">
        <f>INDEX(Calib!$X$1:$X$13,$D161)+INDEX(Calib!$G$1:$G$13,$D161)+P161+S161-R161</f>
        <v/>
      </c>
      <c r="U161" s="26">
        <f>p_rk*W160+Y160*(V160-W160)</f>
        <v/>
      </c>
      <c r="V161" s="26">
        <f>V160+U161+T161</f>
        <v/>
      </c>
      <c r="W161" s="26">
        <f>INDEX(Calib!$U$1:$U$13,$D161)+(W160-INDEX(Calib!$U$1:$U$13,$D161))*(1-p_amort)+p_sh_conc*P161</f>
        <v/>
      </c>
      <c r="X161" s="26">
        <f>V161/O161</f>
        <v/>
      </c>
      <c r="Y161" s="26">
        <f>INDEX(Calib!$K$1:$K$13,$D161)+p_eta*MAX(0,X161-INDEX(Calib!$AA$1:$AA$13,$D161))</f>
        <v/>
      </c>
      <c r="Z161" s="26">
        <f>(1-INDEX(Calib!$H$1:$H$13,$D161))*(1-p_alpha)*M161+S161</f>
        <v/>
      </c>
      <c r="AA161" s="26">
        <f>(1-p_delta_g)*AA160*(1-p_eps_g*$E161)+INDEX(Calib!$E$1:$E$13,$D161)*(INDEX(Calib!$G$1:$G$13,$D161)+p_programme*$H161)</f>
        <v/>
      </c>
      <c r="AB161" s="26">
        <f>AB160*(1-p_eps_k*$E161)+p_lambda_k*(AD161-AB160*(1-p_eps_k*$E161))</f>
        <v/>
      </c>
      <c r="AC161" s="26">
        <f>INDEX(Calib!$R$1:$R$13,$D161)*$F161*(AA160*(1-p_eps_g*$E161))^INDEX(Calib!$Q$1:$Q$13,$D161)*(AB160*(1-p_eps_k*$E161))^p_alpha</f>
        <v/>
      </c>
      <c r="AD161" s="26">
        <f>p_alpha*(1-INDEX(Calib!$H$1:$H$13,$D161))*AC161/(INDEX(Calib!$K$1:$K$13,$D161)+p_delta)</f>
        <v/>
      </c>
      <c r="AE161" s="26">
        <f>AC161+$G161</f>
        <v/>
      </c>
      <c r="AF161" s="26">
        <f>p_programme*($H161+$I161)</f>
        <v/>
      </c>
      <c r="AG161" s="26">
        <f>INDEX(Calib!$I$1:$I$13,$D161)+p_sh_grant*AF161</f>
        <v/>
      </c>
      <c r="AH161" s="26">
        <f>INDEX(Calib!$H$1:$H$13,$D161)*AC161+p_gov_take*$G161+AG161+p_programme*p_pricing*$J161</f>
        <v/>
      </c>
      <c r="AI161" s="26">
        <f>INDEX(Calib!$Y$1:$Y$13,$D161)-INDEX(Calib!$Z$1:$Z$13,$D161)*(AL160/AE160-INDEX(Calib!$AA$1:$AA$13,$D161))</f>
        <v/>
      </c>
      <c r="AJ161" s="26">
        <f>INDEX(Calib!$X$1:$X$13,$D161)+INDEX(Calib!$G$1:$G$13,$D161)+AF161+AI161-AH161</f>
        <v/>
      </c>
      <c r="AK161" s="26">
        <f>p_rk*AM160+AO160*(AL160-AM160)</f>
        <v/>
      </c>
      <c r="AL161" s="26">
        <f>AL160+AK161+AJ161</f>
        <v/>
      </c>
      <c r="AM161" s="26">
        <f>INDEX(Calib!$U$1:$U$13,$D161)+(AM160-INDEX(Calib!$U$1:$U$13,$D161))*(1-p_amort)+p_sh_conc*AF161</f>
        <v/>
      </c>
      <c r="AN161" s="26">
        <f>AL161/AE161</f>
        <v/>
      </c>
      <c r="AO161" s="26">
        <f>INDEX(Calib!$K$1:$K$13,$D161)+p_eta*MAX(0,AN161-INDEX(Calib!$AA$1:$AA$13,$D161))</f>
        <v/>
      </c>
      <c r="AP161" s="26">
        <f>(1-INDEX(Calib!$H$1:$H$13,$D161))*(1-p_alpha)*AC161+AI161</f>
        <v/>
      </c>
      <c r="AQ161" s="26">
        <f>(AE161/O161-1)*100</f>
        <v/>
      </c>
      <c r="AR161" s="26">
        <f>(AE161/AE137-1)*100</f>
        <v/>
      </c>
      <c r="AS161" s="26">
        <f>(O161/O137-1)*100</f>
        <v/>
      </c>
      <c r="AT161" s="26">
        <f>(AN161-X161)*100</f>
        <v/>
      </c>
      <c r="AU161" s="26">
        <f>(AP161/Z161-1)*100</f>
        <v/>
      </c>
      <c r="AV161" s="26">
        <f>(AI161-S161)*100</f>
        <v/>
      </c>
    </row>
    <row r="162">
      <c r="A162" s="25" t="inlineStr">
        <is>
          <t>RWA</t>
        </is>
      </c>
      <c r="B162" s="25" t="n">
        <v>2049</v>
      </c>
      <c r="C162" s="25" t="n">
        <v>25</v>
      </c>
      <c r="D162" s="25" t="n">
        <v>7</v>
      </c>
      <c r="E162" s="25">
        <f>IF(AND(p_dis_year&gt;0,B162=p_dis_year),1,0)</f>
        <v/>
      </c>
      <c r="F162" s="26">
        <f>IF(AND(p_dis_year&gt;0,B162&gt;=p_dis_year),1-p_eps_a*p_rho_a^(B162-p_dis_year),1)</f>
        <v/>
      </c>
      <c r="G162" s="26">
        <f>INDEX(Calib!$N$1:$N$13,$D162)*(1-p_rent_decline*MIN(1,C162/26))</f>
        <v/>
      </c>
      <c r="H162" s="26">
        <f>IF(C162=0,0,SUMIFS(dl_val,dl_iso,$A162,dl_ind,"pub_cap",dl_year,$B162)/100)</f>
        <v/>
      </c>
      <c r="I162" s="26">
        <f>IF(C162=0,0,SUMIFS(dl_val,dl_iso,$A162,dl_ind,"pub_spend",dl_year,$B162)/100)</f>
        <v/>
      </c>
      <c r="J162" s="26">
        <f>IF(C162=0,0,SUMIFS(dl_val,dl_iso,$A162,dl_ind,"rev",dl_year,$B162)/100)</f>
        <v/>
      </c>
      <c r="K162" s="26">
        <f>(1-p_delta_g)*K161*(1-p_eps_g*$E162)+INDEX(Calib!$E$1:$E$13,$D162)*(INDEX(Calib!$G$1:$G$13,$D162)+0*$H162)</f>
        <v/>
      </c>
      <c r="L162" s="26">
        <f>L161*(1-p_eps_k*$E162)+p_lambda_k*(N162-L161*(1-p_eps_k*$E162))</f>
        <v/>
      </c>
      <c r="M162" s="26">
        <f>INDEX(Calib!$R$1:$R$13,$D162)*$F162*(K161*(1-p_eps_g*$E162))^INDEX(Calib!$Q$1:$Q$13,$D162)*(L161*(1-p_eps_k*$E162))^p_alpha</f>
        <v/>
      </c>
      <c r="N162" s="26">
        <f>p_alpha*(1-INDEX(Calib!$H$1:$H$13,$D162))*M162/(INDEX(Calib!$K$1:$K$13,$D162)+p_delta)</f>
        <v/>
      </c>
      <c r="O162" s="26">
        <f>M162+$G162</f>
        <v/>
      </c>
      <c r="P162" s="26">
        <f>0*($H162+$I162)</f>
        <v/>
      </c>
      <c r="Q162" s="26">
        <f>INDEX(Calib!$I$1:$I$13,$D162)+p_sh_grant*P162</f>
        <v/>
      </c>
      <c r="R162" s="26">
        <f>INDEX(Calib!$H$1:$H$13,$D162)*M162+p_gov_take*$G162+Q162+0*p_pricing*$J162</f>
        <v/>
      </c>
      <c r="S162" s="26">
        <f>INDEX(Calib!$Y$1:$Y$13,$D162)-INDEX(Calib!$Z$1:$Z$13,$D162)*(V161/O161-INDEX(Calib!$AA$1:$AA$13,$D162))</f>
        <v/>
      </c>
      <c r="T162" s="26">
        <f>INDEX(Calib!$X$1:$X$13,$D162)+INDEX(Calib!$G$1:$G$13,$D162)+P162+S162-R162</f>
        <v/>
      </c>
      <c r="U162" s="26">
        <f>p_rk*W161+Y161*(V161-W161)</f>
        <v/>
      </c>
      <c r="V162" s="26">
        <f>V161+U162+T162</f>
        <v/>
      </c>
      <c r="W162" s="26">
        <f>INDEX(Calib!$U$1:$U$13,$D162)+(W161-INDEX(Calib!$U$1:$U$13,$D162))*(1-p_amort)+p_sh_conc*P162</f>
        <v/>
      </c>
      <c r="X162" s="26">
        <f>V162/O162</f>
        <v/>
      </c>
      <c r="Y162" s="26">
        <f>INDEX(Calib!$K$1:$K$13,$D162)+p_eta*MAX(0,X162-INDEX(Calib!$AA$1:$AA$13,$D162))</f>
        <v/>
      </c>
      <c r="Z162" s="26">
        <f>(1-INDEX(Calib!$H$1:$H$13,$D162))*(1-p_alpha)*M162+S162</f>
        <v/>
      </c>
      <c r="AA162" s="26">
        <f>(1-p_delta_g)*AA161*(1-p_eps_g*$E162)+INDEX(Calib!$E$1:$E$13,$D162)*(INDEX(Calib!$G$1:$G$13,$D162)+p_programme*$H162)</f>
        <v/>
      </c>
      <c r="AB162" s="26">
        <f>AB161*(1-p_eps_k*$E162)+p_lambda_k*(AD162-AB161*(1-p_eps_k*$E162))</f>
        <v/>
      </c>
      <c r="AC162" s="26">
        <f>INDEX(Calib!$R$1:$R$13,$D162)*$F162*(AA161*(1-p_eps_g*$E162))^INDEX(Calib!$Q$1:$Q$13,$D162)*(AB161*(1-p_eps_k*$E162))^p_alpha</f>
        <v/>
      </c>
      <c r="AD162" s="26">
        <f>p_alpha*(1-INDEX(Calib!$H$1:$H$13,$D162))*AC162/(INDEX(Calib!$K$1:$K$13,$D162)+p_delta)</f>
        <v/>
      </c>
      <c r="AE162" s="26">
        <f>AC162+$G162</f>
        <v/>
      </c>
      <c r="AF162" s="26">
        <f>p_programme*($H162+$I162)</f>
        <v/>
      </c>
      <c r="AG162" s="26">
        <f>INDEX(Calib!$I$1:$I$13,$D162)+p_sh_grant*AF162</f>
        <v/>
      </c>
      <c r="AH162" s="26">
        <f>INDEX(Calib!$H$1:$H$13,$D162)*AC162+p_gov_take*$G162+AG162+p_programme*p_pricing*$J162</f>
        <v/>
      </c>
      <c r="AI162" s="26">
        <f>INDEX(Calib!$Y$1:$Y$13,$D162)-INDEX(Calib!$Z$1:$Z$13,$D162)*(AL161/AE161-INDEX(Calib!$AA$1:$AA$13,$D162))</f>
        <v/>
      </c>
      <c r="AJ162" s="26">
        <f>INDEX(Calib!$X$1:$X$13,$D162)+INDEX(Calib!$G$1:$G$13,$D162)+AF162+AI162-AH162</f>
        <v/>
      </c>
      <c r="AK162" s="26">
        <f>p_rk*AM161+AO161*(AL161-AM161)</f>
        <v/>
      </c>
      <c r="AL162" s="26">
        <f>AL161+AK162+AJ162</f>
        <v/>
      </c>
      <c r="AM162" s="26">
        <f>INDEX(Calib!$U$1:$U$13,$D162)+(AM161-INDEX(Calib!$U$1:$U$13,$D162))*(1-p_amort)+p_sh_conc*AF162</f>
        <v/>
      </c>
      <c r="AN162" s="26">
        <f>AL162/AE162</f>
        <v/>
      </c>
      <c r="AO162" s="26">
        <f>INDEX(Calib!$K$1:$K$13,$D162)+p_eta*MAX(0,AN162-INDEX(Calib!$AA$1:$AA$13,$D162))</f>
        <v/>
      </c>
      <c r="AP162" s="26">
        <f>(1-INDEX(Calib!$H$1:$H$13,$D162))*(1-p_alpha)*AC162+AI162</f>
        <v/>
      </c>
      <c r="AQ162" s="26">
        <f>(AE162/O162-1)*100</f>
        <v/>
      </c>
      <c r="AR162" s="26">
        <f>(AE162/AE137-1)*100</f>
        <v/>
      </c>
      <c r="AS162" s="26">
        <f>(O162/O137-1)*100</f>
        <v/>
      </c>
      <c r="AT162" s="26">
        <f>(AN162-X162)*100</f>
        <v/>
      </c>
      <c r="AU162" s="26">
        <f>(AP162/Z162-1)*100</f>
        <v/>
      </c>
      <c r="AV162" s="26">
        <f>(AI162-S162)*100</f>
        <v/>
      </c>
    </row>
    <row r="163">
      <c r="A163" s="25" t="inlineStr">
        <is>
          <t>RWA</t>
        </is>
      </c>
      <c r="B163" s="25" t="n">
        <v>2050</v>
      </c>
      <c r="C163" s="25" t="n">
        <v>26</v>
      </c>
      <c r="D163" s="25" t="n">
        <v>7</v>
      </c>
      <c r="E163" s="25">
        <f>IF(AND(p_dis_year&gt;0,B163=p_dis_year),1,0)</f>
        <v/>
      </c>
      <c r="F163" s="26">
        <f>IF(AND(p_dis_year&gt;0,B163&gt;=p_dis_year),1-p_eps_a*p_rho_a^(B163-p_dis_year),1)</f>
        <v/>
      </c>
      <c r="G163" s="26">
        <f>INDEX(Calib!$N$1:$N$13,$D163)*(1-p_rent_decline*MIN(1,C163/26))</f>
        <v/>
      </c>
      <c r="H163" s="26">
        <f>IF(C163=0,0,SUMIFS(dl_val,dl_iso,$A163,dl_ind,"pub_cap",dl_year,$B163)/100)</f>
        <v/>
      </c>
      <c r="I163" s="26">
        <f>IF(C163=0,0,SUMIFS(dl_val,dl_iso,$A163,dl_ind,"pub_spend",dl_year,$B163)/100)</f>
        <v/>
      </c>
      <c r="J163" s="26">
        <f>IF(C163=0,0,SUMIFS(dl_val,dl_iso,$A163,dl_ind,"rev",dl_year,$B163)/100)</f>
        <v/>
      </c>
      <c r="K163" s="26">
        <f>(1-p_delta_g)*K162*(1-p_eps_g*$E163)+INDEX(Calib!$E$1:$E$13,$D163)*(INDEX(Calib!$G$1:$G$13,$D163)+0*$H163)</f>
        <v/>
      </c>
      <c r="L163" s="26">
        <f>L162*(1-p_eps_k*$E163)+p_lambda_k*(N163-L162*(1-p_eps_k*$E163))</f>
        <v/>
      </c>
      <c r="M163" s="26">
        <f>INDEX(Calib!$R$1:$R$13,$D163)*$F163*(K162*(1-p_eps_g*$E163))^INDEX(Calib!$Q$1:$Q$13,$D163)*(L162*(1-p_eps_k*$E163))^p_alpha</f>
        <v/>
      </c>
      <c r="N163" s="26">
        <f>p_alpha*(1-INDEX(Calib!$H$1:$H$13,$D163))*M163/(INDEX(Calib!$K$1:$K$13,$D163)+p_delta)</f>
        <v/>
      </c>
      <c r="O163" s="26">
        <f>M163+$G163</f>
        <v/>
      </c>
      <c r="P163" s="26">
        <f>0*($H163+$I163)</f>
        <v/>
      </c>
      <c r="Q163" s="26">
        <f>INDEX(Calib!$I$1:$I$13,$D163)+p_sh_grant*P163</f>
        <v/>
      </c>
      <c r="R163" s="26">
        <f>INDEX(Calib!$H$1:$H$13,$D163)*M163+p_gov_take*$G163+Q163+0*p_pricing*$J163</f>
        <v/>
      </c>
      <c r="S163" s="26">
        <f>INDEX(Calib!$Y$1:$Y$13,$D163)-INDEX(Calib!$Z$1:$Z$13,$D163)*(V162/O162-INDEX(Calib!$AA$1:$AA$13,$D163))</f>
        <v/>
      </c>
      <c r="T163" s="26">
        <f>INDEX(Calib!$X$1:$X$13,$D163)+INDEX(Calib!$G$1:$G$13,$D163)+P163+S163-R163</f>
        <v/>
      </c>
      <c r="U163" s="26">
        <f>p_rk*W162+Y162*(V162-W162)</f>
        <v/>
      </c>
      <c r="V163" s="26">
        <f>V162+U163+T163</f>
        <v/>
      </c>
      <c r="W163" s="26">
        <f>INDEX(Calib!$U$1:$U$13,$D163)+(W162-INDEX(Calib!$U$1:$U$13,$D163))*(1-p_amort)+p_sh_conc*P163</f>
        <v/>
      </c>
      <c r="X163" s="26">
        <f>V163/O163</f>
        <v/>
      </c>
      <c r="Y163" s="26">
        <f>INDEX(Calib!$K$1:$K$13,$D163)+p_eta*MAX(0,X163-INDEX(Calib!$AA$1:$AA$13,$D163))</f>
        <v/>
      </c>
      <c r="Z163" s="26">
        <f>(1-INDEX(Calib!$H$1:$H$13,$D163))*(1-p_alpha)*M163+S163</f>
        <v/>
      </c>
      <c r="AA163" s="26">
        <f>(1-p_delta_g)*AA162*(1-p_eps_g*$E163)+INDEX(Calib!$E$1:$E$13,$D163)*(INDEX(Calib!$G$1:$G$13,$D163)+p_programme*$H163)</f>
        <v/>
      </c>
      <c r="AB163" s="26">
        <f>AB162*(1-p_eps_k*$E163)+p_lambda_k*(AD163-AB162*(1-p_eps_k*$E163))</f>
        <v/>
      </c>
      <c r="AC163" s="26">
        <f>INDEX(Calib!$R$1:$R$13,$D163)*$F163*(AA162*(1-p_eps_g*$E163))^INDEX(Calib!$Q$1:$Q$13,$D163)*(AB162*(1-p_eps_k*$E163))^p_alpha</f>
        <v/>
      </c>
      <c r="AD163" s="26">
        <f>p_alpha*(1-INDEX(Calib!$H$1:$H$13,$D163))*AC163/(INDEX(Calib!$K$1:$K$13,$D163)+p_delta)</f>
        <v/>
      </c>
      <c r="AE163" s="26">
        <f>AC163+$G163</f>
        <v/>
      </c>
      <c r="AF163" s="26">
        <f>p_programme*($H163+$I163)</f>
        <v/>
      </c>
      <c r="AG163" s="26">
        <f>INDEX(Calib!$I$1:$I$13,$D163)+p_sh_grant*AF163</f>
        <v/>
      </c>
      <c r="AH163" s="26">
        <f>INDEX(Calib!$H$1:$H$13,$D163)*AC163+p_gov_take*$G163+AG163+p_programme*p_pricing*$J163</f>
        <v/>
      </c>
      <c r="AI163" s="26">
        <f>INDEX(Calib!$Y$1:$Y$13,$D163)-INDEX(Calib!$Z$1:$Z$13,$D163)*(AL162/AE162-INDEX(Calib!$AA$1:$AA$13,$D163))</f>
        <v/>
      </c>
      <c r="AJ163" s="26">
        <f>INDEX(Calib!$X$1:$X$13,$D163)+INDEX(Calib!$G$1:$G$13,$D163)+AF163+AI163-AH163</f>
        <v/>
      </c>
      <c r="AK163" s="26">
        <f>p_rk*AM162+AO162*(AL162-AM162)</f>
        <v/>
      </c>
      <c r="AL163" s="26">
        <f>AL162+AK163+AJ163</f>
        <v/>
      </c>
      <c r="AM163" s="26">
        <f>INDEX(Calib!$U$1:$U$13,$D163)+(AM162-INDEX(Calib!$U$1:$U$13,$D163))*(1-p_amort)+p_sh_conc*AF163</f>
        <v/>
      </c>
      <c r="AN163" s="26">
        <f>AL163/AE163</f>
        <v/>
      </c>
      <c r="AO163" s="26">
        <f>INDEX(Calib!$K$1:$K$13,$D163)+p_eta*MAX(0,AN163-INDEX(Calib!$AA$1:$AA$13,$D163))</f>
        <v/>
      </c>
      <c r="AP163" s="26">
        <f>(1-INDEX(Calib!$H$1:$H$13,$D163))*(1-p_alpha)*AC163+AI163</f>
        <v/>
      </c>
      <c r="AQ163" s="26">
        <f>(AE163/O163-1)*100</f>
        <v/>
      </c>
      <c r="AR163" s="26">
        <f>(AE163/AE137-1)*100</f>
        <v/>
      </c>
      <c r="AS163" s="26">
        <f>(O163/O137-1)*100</f>
        <v/>
      </c>
      <c r="AT163" s="26">
        <f>(AN163-X163)*100</f>
        <v/>
      </c>
      <c r="AU163" s="26">
        <f>(AP163/Z163-1)*100</f>
        <v/>
      </c>
      <c r="AV163" s="26">
        <f>(AI163-S163)*100</f>
        <v/>
      </c>
    </row>
    <row r="164">
      <c r="A164" s="25" t="inlineStr">
        <is>
          <t>MOZ</t>
        </is>
      </c>
      <c r="B164" s="25" t="n">
        <v>2024</v>
      </c>
      <c r="C164" s="25" t="n">
        <v>0</v>
      </c>
      <c r="D164" s="25" t="n">
        <v>8</v>
      </c>
      <c r="E164" s="25">
        <f>IF(AND(p_dis_year&gt;0,B164=p_dis_year),1,0)</f>
        <v/>
      </c>
      <c r="F164" s="26">
        <f>IF(AND(p_dis_year&gt;0,B164&gt;=p_dis_year),1-p_eps_a*p_rho_a^(B164-p_dis_year),1)</f>
        <v/>
      </c>
      <c r="G164" s="26">
        <f>INDEX(Calib!$N$1:$N$13,$D164)*(1-p_rent_decline*MIN(1,C164/26))</f>
        <v/>
      </c>
      <c r="H164" s="26">
        <f>IF(C164=0,0,SUMIFS(dl_val,dl_iso,$A164,dl_ind,"pub_cap",dl_year,$B164)/100)</f>
        <v/>
      </c>
      <c r="I164" s="26">
        <f>IF(C164=0,0,SUMIFS(dl_val,dl_iso,$A164,dl_ind,"pub_spend",dl_year,$B164)/100)</f>
        <v/>
      </c>
      <c r="J164" s="26">
        <f>IF(C164=0,0,SUMIFS(dl_val,dl_iso,$A164,dl_ind,"rev",dl_year,$B164)/100)</f>
        <v/>
      </c>
      <c r="K164" s="26">
        <f>INDEX(Calib!$P$1:$P$13,$D164)</f>
        <v/>
      </c>
      <c r="L164" s="26">
        <f>INDEX(Calib!$O$1:$O$13,$D164)</f>
        <v/>
      </c>
      <c r="M164" s="26">
        <f>1</f>
        <v/>
      </c>
      <c r="N164" s="26">
        <f>INDEX(Calib!$O$1:$O$13,$D164)</f>
        <v/>
      </c>
      <c r="O164" s="26">
        <f>INDEX(Calib!$S$1:$S$13,$D164)</f>
        <v/>
      </c>
      <c r="P164" s="26">
        <f>0</f>
        <v/>
      </c>
      <c r="Q164" s="26">
        <f>INDEX(Calib!$I$1:$I$13,$D164)</f>
        <v/>
      </c>
      <c r="R164" s="26">
        <f>INDEX(Calib!$W$1:$W$13,$D164)</f>
        <v/>
      </c>
      <c r="S164" s="26">
        <f>INDEX(Calib!$Y$1:$Y$13,$D164)</f>
        <v/>
      </c>
      <c r="T164" s="26">
        <f>-INDEX(Calib!$V$1:$V$13,$D164)</f>
        <v/>
      </c>
      <c r="U164" s="26">
        <f>INDEX(Calib!$V$1:$V$13,$D164)</f>
        <v/>
      </c>
      <c r="V164" s="26">
        <f>INDEX(Calib!$T$1:$T$13,$D164)</f>
        <v/>
      </c>
      <c r="W164" s="26">
        <f>INDEX(Calib!$U$1:$U$13,$D164)</f>
        <v/>
      </c>
      <c r="X164" s="26">
        <f>V164/O164</f>
        <v/>
      </c>
      <c r="Y164" s="26">
        <f>INDEX(Calib!$K$1:$K$13,$D164)</f>
        <v/>
      </c>
      <c r="Z164" s="26">
        <f>(1-INDEX(Calib!$H$1:$H$13,$D164))*(1-p_alpha)*M164+S164</f>
        <v/>
      </c>
      <c r="AA164" s="26">
        <f>INDEX(Calib!$P$1:$P$13,$D164)</f>
        <v/>
      </c>
      <c r="AB164" s="26">
        <f>INDEX(Calib!$O$1:$O$13,$D164)</f>
        <v/>
      </c>
      <c r="AC164" s="26">
        <f>1</f>
        <v/>
      </c>
      <c r="AD164" s="26">
        <f>INDEX(Calib!$O$1:$O$13,$D164)</f>
        <v/>
      </c>
      <c r="AE164" s="26">
        <f>INDEX(Calib!$S$1:$S$13,$D164)</f>
        <v/>
      </c>
      <c r="AF164" s="26">
        <f>0</f>
        <v/>
      </c>
      <c r="AG164" s="26">
        <f>INDEX(Calib!$I$1:$I$13,$D164)</f>
        <v/>
      </c>
      <c r="AH164" s="26">
        <f>INDEX(Calib!$W$1:$W$13,$D164)</f>
        <v/>
      </c>
      <c r="AI164" s="26">
        <f>INDEX(Calib!$Y$1:$Y$13,$D164)</f>
        <v/>
      </c>
      <c r="AJ164" s="26">
        <f>-INDEX(Calib!$V$1:$V$13,$D164)</f>
        <v/>
      </c>
      <c r="AK164" s="26">
        <f>INDEX(Calib!$V$1:$V$13,$D164)</f>
        <v/>
      </c>
      <c r="AL164" s="26">
        <f>INDEX(Calib!$T$1:$T$13,$D164)</f>
        <v/>
      </c>
      <c r="AM164" s="26">
        <f>INDEX(Calib!$U$1:$U$13,$D164)</f>
        <v/>
      </c>
      <c r="AN164" s="26">
        <f>AL164/AE164</f>
        <v/>
      </c>
      <c r="AO164" s="26">
        <f>INDEX(Calib!$K$1:$K$13,$D164)</f>
        <v/>
      </c>
      <c r="AP164" s="26">
        <f>(1-INDEX(Calib!$H$1:$H$13,$D164))*(1-p_alpha)*AC164+AI164</f>
        <v/>
      </c>
      <c r="AQ164" s="26">
        <f>(AE164/O164-1)*100</f>
        <v/>
      </c>
      <c r="AR164" s="26">
        <f>(AE164/AE164-1)*100</f>
        <v/>
      </c>
      <c r="AS164" s="26">
        <f>(O164/O164-1)*100</f>
        <v/>
      </c>
      <c r="AT164" s="26">
        <f>(AN164-X164)*100</f>
        <v/>
      </c>
      <c r="AU164" s="26">
        <f>(AP164/Z164-1)*100</f>
        <v/>
      </c>
      <c r="AV164" s="26">
        <f>(AI164-S164)*100</f>
        <v/>
      </c>
    </row>
    <row r="165">
      <c r="A165" s="25" t="inlineStr">
        <is>
          <t>MOZ</t>
        </is>
      </c>
      <c r="B165" s="25" t="n">
        <v>2025</v>
      </c>
      <c r="C165" s="25" t="n">
        <v>1</v>
      </c>
      <c r="D165" s="25" t="n">
        <v>8</v>
      </c>
      <c r="E165" s="25">
        <f>IF(AND(p_dis_year&gt;0,B165=p_dis_year),1,0)</f>
        <v/>
      </c>
      <c r="F165" s="26">
        <f>IF(AND(p_dis_year&gt;0,B165&gt;=p_dis_year),1-p_eps_a*p_rho_a^(B165-p_dis_year),1)</f>
        <v/>
      </c>
      <c r="G165" s="26">
        <f>INDEX(Calib!$N$1:$N$13,$D165)*(1-p_rent_decline*MIN(1,C165/26))</f>
        <v/>
      </c>
      <c r="H165" s="26">
        <f>IF(C165=0,0,SUMIFS(dl_val,dl_iso,$A165,dl_ind,"pub_cap",dl_year,$B165)/100)</f>
        <v/>
      </c>
      <c r="I165" s="26">
        <f>IF(C165=0,0,SUMIFS(dl_val,dl_iso,$A165,dl_ind,"pub_spend",dl_year,$B165)/100)</f>
        <v/>
      </c>
      <c r="J165" s="26">
        <f>IF(C165=0,0,SUMIFS(dl_val,dl_iso,$A165,dl_ind,"rev",dl_year,$B165)/100)</f>
        <v/>
      </c>
      <c r="K165" s="26">
        <f>(1-p_delta_g)*K164*(1-p_eps_g*$E165)+INDEX(Calib!$E$1:$E$13,$D165)*(INDEX(Calib!$G$1:$G$13,$D165)+0*$H165)</f>
        <v/>
      </c>
      <c r="L165" s="26">
        <f>L164*(1-p_eps_k*$E165)+p_lambda_k*(N165-L164*(1-p_eps_k*$E165))</f>
        <v/>
      </c>
      <c r="M165" s="26">
        <f>INDEX(Calib!$R$1:$R$13,$D165)*$F165*(K164*(1-p_eps_g*$E165))^INDEX(Calib!$Q$1:$Q$13,$D165)*(L164*(1-p_eps_k*$E165))^p_alpha</f>
        <v/>
      </c>
      <c r="N165" s="26">
        <f>p_alpha*(1-INDEX(Calib!$H$1:$H$13,$D165))*M165/(INDEX(Calib!$K$1:$K$13,$D165)+p_delta)</f>
        <v/>
      </c>
      <c r="O165" s="26">
        <f>M165+$G165</f>
        <v/>
      </c>
      <c r="P165" s="26">
        <f>0*($H165+$I165)</f>
        <v/>
      </c>
      <c r="Q165" s="26">
        <f>INDEX(Calib!$I$1:$I$13,$D165)+p_sh_grant*P165</f>
        <v/>
      </c>
      <c r="R165" s="26">
        <f>INDEX(Calib!$H$1:$H$13,$D165)*M165+p_gov_take*$G165+Q165+0*p_pricing*$J165</f>
        <v/>
      </c>
      <c r="S165" s="26">
        <f>INDEX(Calib!$Y$1:$Y$13,$D165)-INDEX(Calib!$Z$1:$Z$13,$D165)*(V164/O164-INDEX(Calib!$AA$1:$AA$13,$D165))</f>
        <v/>
      </c>
      <c r="T165" s="26">
        <f>INDEX(Calib!$X$1:$X$13,$D165)+INDEX(Calib!$G$1:$G$13,$D165)+P165+S165-R165</f>
        <v/>
      </c>
      <c r="U165" s="26">
        <f>p_rk*W164+Y164*(V164-W164)</f>
        <v/>
      </c>
      <c r="V165" s="26">
        <f>V164+U165+T165</f>
        <v/>
      </c>
      <c r="W165" s="26">
        <f>INDEX(Calib!$U$1:$U$13,$D165)+(W164-INDEX(Calib!$U$1:$U$13,$D165))*(1-p_amort)+p_sh_conc*P165</f>
        <v/>
      </c>
      <c r="X165" s="26">
        <f>V165/O165</f>
        <v/>
      </c>
      <c r="Y165" s="26">
        <f>INDEX(Calib!$K$1:$K$13,$D165)+p_eta*MAX(0,X165-INDEX(Calib!$AA$1:$AA$13,$D165))</f>
        <v/>
      </c>
      <c r="Z165" s="26">
        <f>(1-INDEX(Calib!$H$1:$H$13,$D165))*(1-p_alpha)*M165+S165</f>
        <v/>
      </c>
      <c r="AA165" s="26">
        <f>(1-p_delta_g)*AA164*(1-p_eps_g*$E165)+INDEX(Calib!$E$1:$E$13,$D165)*(INDEX(Calib!$G$1:$G$13,$D165)+p_programme*$H165)</f>
        <v/>
      </c>
      <c r="AB165" s="26">
        <f>AB164*(1-p_eps_k*$E165)+p_lambda_k*(AD165-AB164*(1-p_eps_k*$E165))</f>
        <v/>
      </c>
      <c r="AC165" s="26">
        <f>INDEX(Calib!$R$1:$R$13,$D165)*$F165*(AA164*(1-p_eps_g*$E165))^INDEX(Calib!$Q$1:$Q$13,$D165)*(AB164*(1-p_eps_k*$E165))^p_alpha</f>
        <v/>
      </c>
      <c r="AD165" s="26">
        <f>p_alpha*(1-INDEX(Calib!$H$1:$H$13,$D165))*AC165/(INDEX(Calib!$K$1:$K$13,$D165)+p_delta)</f>
        <v/>
      </c>
      <c r="AE165" s="26">
        <f>AC165+$G165</f>
        <v/>
      </c>
      <c r="AF165" s="26">
        <f>p_programme*($H165+$I165)</f>
        <v/>
      </c>
      <c r="AG165" s="26">
        <f>INDEX(Calib!$I$1:$I$13,$D165)+p_sh_grant*AF165</f>
        <v/>
      </c>
      <c r="AH165" s="26">
        <f>INDEX(Calib!$H$1:$H$13,$D165)*AC165+p_gov_take*$G165+AG165+p_programme*p_pricing*$J165</f>
        <v/>
      </c>
      <c r="AI165" s="26">
        <f>INDEX(Calib!$Y$1:$Y$13,$D165)-INDEX(Calib!$Z$1:$Z$13,$D165)*(AL164/AE164-INDEX(Calib!$AA$1:$AA$13,$D165))</f>
        <v/>
      </c>
      <c r="AJ165" s="26">
        <f>INDEX(Calib!$X$1:$X$13,$D165)+INDEX(Calib!$G$1:$G$13,$D165)+AF165+AI165-AH165</f>
        <v/>
      </c>
      <c r="AK165" s="26">
        <f>p_rk*AM164+AO164*(AL164-AM164)</f>
        <v/>
      </c>
      <c r="AL165" s="26">
        <f>AL164+AK165+AJ165</f>
        <v/>
      </c>
      <c r="AM165" s="26">
        <f>INDEX(Calib!$U$1:$U$13,$D165)+(AM164-INDEX(Calib!$U$1:$U$13,$D165))*(1-p_amort)+p_sh_conc*AF165</f>
        <v/>
      </c>
      <c r="AN165" s="26">
        <f>AL165/AE165</f>
        <v/>
      </c>
      <c r="AO165" s="26">
        <f>INDEX(Calib!$K$1:$K$13,$D165)+p_eta*MAX(0,AN165-INDEX(Calib!$AA$1:$AA$13,$D165))</f>
        <v/>
      </c>
      <c r="AP165" s="26">
        <f>(1-INDEX(Calib!$H$1:$H$13,$D165))*(1-p_alpha)*AC165+AI165</f>
        <v/>
      </c>
      <c r="AQ165" s="26">
        <f>(AE165/O165-1)*100</f>
        <v/>
      </c>
      <c r="AR165" s="26">
        <f>(AE165/AE164-1)*100</f>
        <v/>
      </c>
      <c r="AS165" s="26">
        <f>(O165/O164-1)*100</f>
        <v/>
      </c>
      <c r="AT165" s="26">
        <f>(AN165-X165)*100</f>
        <v/>
      </c>
      <c r="AU165" s="26">
        <f>(AP165/Z165-1)*100</f>
        <v/>
      </c>
      <c r="AV165" s="26">
        <f>(AI165-S165)*100</f>
        <v/>
      </c>
    </row>
    <row r="166">
      <c r="A166" s="25" t="inlineStr">
        <is>
          <t>MOZ</t>
        </is>
      </c>
      <c r="B166" s="25" t="n">
        <v>2026</v>
      </c>
      <c r="C166" s="25" t="n">
        <v>2</v>
      </c>
      <c r="D166" s="25" t="n">
        <v>8</v>
      </c>
      <c r="E166" s="25">
        <f>IF(AND(p_dis_year&gt;0,B166=p_dis_year),1,0)</f>
        <v/>
      </c>
      <c r="F166" s="26">
        <f>IF(AND(p_dis_year&gt;0,B166&gt;=p_dis_year),1-p_eps_a*p_rho_a^(B166-p_dis_year),1)</f>
        <v/>
      </c>
      <c r="G166" s="26">
        <f>INDEX(Calib!$N$1:$N$13,$D166)*(1-p_rent_decline*MIN(1,C166/26))</f>
        <v/>
      </c>
      <c r="H166" s="26">
        <f>IF(C166=0,0,SUMIFS(dl_val,dl_iso,$A166,dl_ind,"pub_cap",dl_year,$B166)/100)</f>
        <v/>
      </c>
      <c r="I166" s="26">
        <f>IF(C166=0,0,SUMIFS(dl_val,dl_iso,$A166,dl_ind,"pub_spend",dl_year,$B166)/100)</f>
        <v/>
      </c>
      <c r="J166" s="26">
        <f>IF(C166=0,0,SUMIFS(dl_val,dl_iso,$A166,dl_ind,"rev",dl_year,$B166)/100)</f>
        <v/>
      </c>
      <c r="K166" s="26">
        <f>(1-p_delta_g)*K165*(1-p_eps_g*$E166)+INDEX(Calib!$E$1:$E$13,$D166)*(INDEX(Calib!$G$1:$G$13,$D166)+0*$H166)</f>
        <v/>
      </c>
      <c r="L166" s="26">
        <f>L165*(1-p_eps_k*$E166)+p_lambda_k*(N166-L165*(1-p_eps_k*$E166))</f>
        <v/>
      </c>
      <c r="M166" s="26">
        <f>INDEX(Calib!$R$1:$R$13,$D166)*$F166*(K165*(1-p_eps_g*$E166))^INDEX(Calib!$Q$1:$Q$13,$D166)*(L165*(1-p_eps_k*$E166))^p_alpha</f>
        <v/>
      </c>
      <c r="N166" s="26">
        <f>p_alpha*(1-INDEX(Calib!$H$1:$H$13,$D166))*M166/(INDEX(Calib!$K$1:$K$13,$D166)+p_delta)</f>
        <v/>
      </c>
      <c r="O166" s="26">
        <f>M166+$G166</f>
        <v/>
      </c>
      <c r="P166" s="26">
        <f>0*($H166+$I166)</f>
        <v/>
      </c>
      <c r="Q166" s="26">
        <f>INDEX(Calib!$I$1:$I$13,$D166)+p_sh_grant*P166</f>
        <v/>
      </c>
      <c r="R166" s="26">
        <f>INDEX(Calib!$H$1:$H$13,$D166)*M166+p_gov_take*$G166+Q166+0*p_pricing*$J166</f>
        <v/>
      </c>
      <c r="S166" s="26">
        <f>INDEX(Calib!$Y$1:$Y$13,$D166)-INDEX(Calib!$Z$1:$Z$13,$D166)*(V165/O165-INDEX(Calib!$AA$1:$AA$13,$D166))</f>
        <v/>
      </c>
      <c r="T166" s="26">
        <f>INDEX(Calib!$X$1:$X$13,$D166)+INDEX(Calib!$G$1:$G$13,$D166)+P166+S166-R166</f>
        <v/>
      </c>
      <c r="U166" s="26">
        <f>p_rk*W165+Y165*(V165-W165)</f>
        <v/>
      </c>
      <c r="V166" s="26">
        <f>V165+U166+T166</f>
        <v/>
      </c>
      <c r="W166" s="26">
        <f>INDEX(Calib!$U$1:$U$13,$D166)+(W165-INDEX(Calib!$U$1:$U$13,$D166))*(1-p_amort)+p_sh_conc*P166</f>
        <v/>
      </c>
      <c r="X166" s="26">
        <f>V166/O166</f>
        <v/>
      </c>
      <c r="Y166" s="26">
        <f>INDEX(Calib!$K$1:$K$13,$D166)+p_eta*MAX(0,X166-INDEX(Calib!$AA$1:$AA$13,$D166))</f>
        <v/>
      </c>
      <c r="Z166" s="26">
        <f>(1-INDEX(Calib!$H$1:$H$13,$D166))*(1-p_alpha)*M166+S166</f>
        <v/>
      </c>
      <c r="AA166" s="26">
        <f>(1-p_delta_g)*AA165*(1-p_eps_g*$E166)+INDEX(Calib!$E$1:$E$13,$D166)*(INDEX(Calib!$G$1:$G$13,$D166)+p_programme*$H166)</f>
        <v/>
      </c>
      <c r="AB166" s="26">
        <f>AB165*(1-p_eps_k*$E166)+p_lambda_k*(AD166-AB165*(1-p_eps_k*$E166))</f>
        <v/>
      </c>
      <c r="AC166" s="26">
        <f>INDEX(Calib!$R$1:$R$13,$D166)*$F166*(AA165*(1-p_eps_g*$E166))^INDEX(Calib!$Q$1:$Q$13,$D166)*(AB165*(1-p_eps_k*$E166))^p_alpha</f>
        <v/>
      </c>
      <c r="AD166" s="26">
        <f>p_alpha*(1-INDEX(Calib!$H$1:$H$13,$D166))*AC166/(INDEX(Calib!$K$1:$K$13,$D166)+p_delta)</f>
        <v/>
      </c>
      <c r="AE166" s="26">
        <f>AC166+$G166</f>
        <v/>
      </c>
      <c r="AF166" s="26">
        <f>p_programme*($H166+$I166)</f>
        <v/>
      </c>
      <c r="AG166" s="26">
        <f>INDEX(Calib!$I$1:$I$13,$D166)+p_sh_grant*AF166</f>
        <v/>
      </c>
      <c r="AH166" s="26">
        <f>INDEX(Calib!$H$1:$H$13,$D166)*AC166+p_gov_take*$G166+AG166+p_programme*p_pricing*$J166</f>
        <v/>
      </c>
      <c r="AI166" s="26">
        <f>INDEX(Calib!$Y$1:$Y$13,$D166)-INDEX(Calib!$Z$1:$Z$13,$D166)*(AL165/AE165-INDEX(Calib!$AA$1:$AA$13,$D166))</f>
        <v/>
      </c>
      <c r="AJ166" s="26">
        <f>INDEX(Calib!$X$1:$X$13,$D166)+INDEX(Calib!$G$1:$G$13,$D166)+AF166+AI166-AH166</f>
        <v/>
      </c>
      <c r="AK166" s="26">
        <f>p_rk*AM165+AO165*(AL165-AM165)</f>
        <v/>
      </c>
      <c r="AL166" s="26">
        <f>AL165+AK166+AJ166</f>
        <v/>
      </c>
      <c r="AM166" s="26">
        <f>INDEX(Calib!$U$1:$U$13,$D166)+(AM165-INDEX(Calib!$U$1:$U$13,$D166))*(1-p_amort)+p_sh_conc*AF166</f>
        <v/>
      </c>
      <c r="AN166" s="26">
        <f>AL166/AE166</f>
        <v/>
      </c>
      <c r="AO166" s="26">
        <f>INDEX(Calib!$K$1:$K$13,$D166)+p_eta*MAX(0,AN166-INDEX(Calib!$AA$1:$AA$13,$D166))</f>
        <v/>
      </c>
      <c r="AP166" s="26">
        <f>(1-INDEX(Calib!$H$1:$H$13,$D166))*(1-p_alpha)*AC166+AI166</f>
        <v/>
      </c>
      <c r="AQ166" s="26">
        <f>(AE166/O166-1)*100</f>
        <v/>
      </c>
      <c r="AR166" s="26">
        <f>(AE166/AE164-1)*100</f>
        <v/>
      </c>
      <c r="AS166" s="26">
        <f>(O166/O164-1)*100</f>
        <v/>
      </c>
      <c r="AT166" s="26">
        <f>(AN166-X166)*100</f>
        <v/>
      </c>
      <c r="AU166" s="26">
        <f>(AP166/Z166-1)*100</f>
        <v/>
      </c>
      <c r="AV166" s="26">
        <f>(AI166-S166)*100</f>
        <v/>
      </c>
    </row>
    <row r="167">
      <c r="A167" s="25" t="inlineStr">
        <is>
          <t>MOZ</t>
        </is>
      </c>
      <c r="B167" s="25" t="n">
        <v>2027</v>
      </c>
      <c r="C167" s="25" t="n">
        <v>3</v>
      </c>
      <c r="D167" s="25" t="n">
        <v>8</v>
      </c>
      <c r="E167" s="25">
        <f>IF(AND(p_dis_year&gt;0,B167=p_dis_year),1,0)</f>
        <v/>
      </c>
      <c r="F167" s="26">
        <f>IF(AND(p_dis_year&gt;0,B167&gt;=p_dis_year),1-p_eps_a*p_rho_a^(B167-p_dis_year),1)</f>
        <v/>
      </c>
      <c r="G167" s="26">
        <f>INDEX(Calib!$N$1:$N$13,$D167)*(1-p_rent_decline*MIN(1,C167/26))</f>
        <v/>
      </c>
      <c r="H167" s="26">
        <f>IF(C167=0,0,SUMIFS(dl_val,dl_iso,$A167,dl_ind,"pub_cap",dl_year,$B167)/100)</f>
        <v/>
      </c>
      <c r="I167" s="26">
        <f>IF(C167=0,0,SUMIFS(dl_val,dl_iso,$A167,dl_ind,"pub_spend",dl_year,$B167)/100)</f>
        <v/>
      </c>
      <c r="J167" s="26">
        <f>IF(C167=0,0,SUMIFS(dl_val,dl_iso,$A167,dl_ind,"rev",dl_year,$B167)/100)</f>
        <v/>
      </c>
      <c r="K167" s="26">
        <f>(1-p_delta_g)*K166*(1-p_eps_g*$E167)+INDEX(Calib!$E$1:$E$13,$D167)*(INDEX(Calib!$G$1:$G$13,$D167)+0*$H167)</f>
        <v/>
      </c>
      <c r="L167" s="26">
        <f>L166*(1-p_eps_k*$E167)+p_lambda_k*(N167-L166*(1-p_eps_k*$E167))</f>
        <v/>
      </c>
      <c r="M167" s="26">
        <f>INDEX(Calib!$R$1:$R$13,$D167)*$F167*(K166*(1-p_eps_g*$E167))^INDEX(Calib!$Q$1:$Q$13,$D167)*(L166*(1-p_eps_k*$E167))^p_alpha</f>
        <v/>
      </c>
      <c r="N167" s="26">
        <f>p_alpha*(1-INDEX(Calib!$H$1:$H$13,$D167))*M167/(INDEX(Calib!$K$1:$K$13,$D167)+p_delta)</f>
        <v/>
      </c>
      <c r="O167" s="26">
        <f>M167+$G167</f>
        <v/>
      </c>
      <c r="P167" s="26">
        <f>0*($H167+$I167)</f>
        <v/>
      </c>
      <c r="Q167" s="26">
        <f>INDEX(Calib!$I$1:$I$13,$D167)+p_sh_grant*P167</f>
        <v/>
      </c>
      <c r="R167" s="26">
        <f>INDEX(Calib!$H$1:$H$13,$D167)*M167+p_gov_take*$G167+Q167+0*p_pricing*$J167</f>
        <v/>
      </c>
      <c r="S167" s="26">
        <f>INDEX(Calib!$Y$1:$Y$13,$D167)-INDEX(Calib!$Z$1:$Z$13,$D167)*(V166/O166-INDEX(Calib!$AA$1:$AA$13,$D167))</f>
        <v/>
      </c>
      <c r="T167" s="26">
        <f>INDEX(Calib!$X$1:$X$13,$D167)+INDEX(Calib!$G$1:$G$13,$D167)+P167+S167-R167</f>
        <v/>
      </c>
      <c r="U167" s="26">
        <f>p_rk*W166+Y166*(V166-W166)</f>
        <v/>
      </c>
      <c r="V167" s="26">
        <f>V166+U167+T167</f>
        <v/>
      </c>
      <c r="W167" s="26">
        <f>INDEX(Calib!$U$1:$U$13,$D167)+(W166-INDEX(Calib!$U$1:$U$13,$D167))*(1-p_amort)+p_sh_conc*P167</f>
        <v/>
      </c>
      <c r="X167" s="26">
        <f>V167/O167</f>
        <v/>
      </c>
      <c r="Y167" s="26">
        <f>INDEX(Calib!$K$1:$K$13,$D167)+p_eta*MAX(0,X167-INDEX(Calib!$AA$1:$AA$13,$D167))</f>
        <v/>
      </c>
      <c r="Z167" s="26">
        <f>(1-INDEX(Calib!$H$1:$H$13,$D167))*(1-p_alpha)*M167+S167</f>
        <v/>
      </c>
      <c r="AA167" s="26">
        <f>(1-p_delta_g)*AA166*(1-p_eps_g*$E167)+INDEX(Calib!$E$1:$E$13,$D167)*(INDEX(Calib!$G$1:$G$13,$D167)+p_programme*$H167)</f>
        <v/>
      </c>
      <c r="AB167" s="26">
        <f>AB166*(1-p_eps_k*$E167)+p_lambda_k*(AD167-AB166*(1-p_eps_k*$E167))</f>
        <v/>
      </c>
      <c r="AC167" s="26">
        <f>INDEX(Calib!$R$1:$R$13,$D167)*$F167*(AA166*(1-p_eps_g*$E167))^INDEX(Calib!$Q$1:$Q$13,$D167)*(AB166*(1-p_eps_k*$E167))^p_alpha</f>
        <v/>
      </c>
      <c r="AD167" s="26">
        <f>p_alpha*(1-INDEX(Calib!$H$1:$H$13,$D167))*AC167/(INDEX(Calib!$K$1:$K$13,$D167)+p_delta)</f>
        <v/>
      </c>
      <c r="AE167" s="26">
        <f>AC167+$G167</f>
        <v/>
      </c>
      <c r="AF167" s="26">
        <f>p_programme*($H167+$I167)</f>
        <v/>
      </c>
      <c r="AG167" s="26">
        <f>INDEX(Calib!$I$1:$I$13,$D167)+p_sh_grant*AF167</f>
        <v/>
      </c>
      <c r="AH167" s="26">
        <f>INDEX(Calib!$H$1:$H$13,$D167)*AC167+p_gov_take*$G167+AG167+p_programme*p_pricing*$J167</f>
        <v/>
      </c>
      <c r="AI167" s="26">
        <f>INDEX(Calib!$Y$1:$Y$13,$D167)-INDEX(Calib!$Z$1:$Z$13,$D167)*(AL166/AE166-INDEX(Calib!$AA$1:$AA$13,$D167))</f>
        <v/>
      </c>
      <c r="AJ167" s="26">
        <f>INDEX(Calib!$X$1:$X$13,$D167)+INDEX(Calib!$G$1:$G$13,$D167)+AF167+AI167-AH167</f>
        <v/>
      </c>
      <c r="AK167" s="26">
        <f>p_rk*AM166+AO166*(AL166-AM166)</f>
        <v/>
      </c>
      <c r="AL167" s="26">
        <f>AL166+AK167+AJ167</f>
        <v/>
      </c>
      <c r="AM167" s="26">
        <f>INDEX(Calib!$U$1:$U$13,$D167)+(AM166-INDEX(Calib!$U$1:$U$13,$D167))*(1-p_amort)+p_sh_conc*AF167</f>
        <v/>
      </c>
      <c r="AN167" s="26">
        <f>AL167/AE167</f>
        <v/>
      </c>
      <c r="AO167" s="26">
        <f>INDEX(Calib!$K$1:$K$13,$D167)+p_eta*MAX(0,AN167-INDEX(Calib!$AA$1:$AA$13,$D167))</f>
        <v/>
      </c>
      <c r="AP167" s="26">
        <f>(1-INDEX(Calib!$H$1:$H$13,$D167))*(1-p_alpha)*AC167+AI167</f>
        <v/>
      </c>
      <c r="AQ167" s="26">
        <f>(AE167/O167-1)*100</f>
        <v/>
      </c>
      <c r="AR167" s="26">
        <f>(AE167/AE164-1)*100</f>
        <v/>
      </c>
      <c r="AS167" s="26">
        <f>(O167/O164-1)*100</f>
        <v/>
      </c>
      <c r="AT167" s="26">
        <f>(AN167-X167)*100</f>
        <v/>
      </c>
      <c r="AU167" s="26">
        <f>(AP167/Z167-1)*100</f>
        <v/>
      </c>
      <c r="AV167" s="26">
        <f>(AI167-S167)*100</f>
        <v/>
      </c>
    </row>
    <row r="168">
      <c r="A168" s="25" t="inlineStr">
        <is>
          <t>MOZ</t>
        </is>
      </c>
      <c r="B168" s="25" t="n">
        <v>2028</v>
      </c>
      <c r="C168" s="25" t="n">
        <v>4</v>
      </c>
      <c r="D168" s="25" t="n">
        <v>8</v>
      </c>
      <c r="E168" s="25">
        <f>IF(AND(p_dis_year&gt;0,B168=p_dis_year),1,0)</f>
        <v/>
      </c>
      <c r="F168" s="26">
        <f>IF(AND(p_dis_year&gt;0,B168&gt;=p_dis_year),1-p_eps_a*p_rho_a^(B168-p_dis_year),1)</f>
        <v/>
      </c>
      <c r="G168" s="26">
        <f>INDEX(Calib!$N$1:$N$13,$D168)*(1-p_rent_decline*MIN(1,C168/26))</f>
        <v/>
      </c>
      <c r="H168" s="26">
        <f>IF(C168=0,0,SUMIFS(dl_val,dl_iso,$A168,dl_ind,"pub_cap",dl_year,$B168)/100)</f>
        <v/>
      </c>
      <c r="I168" s="26">
        <f>IF(C168=0,0,SUMIFS(dl_val,dl_iso,$A168,dl_ind,"pub_spend",dl_year,$B168)/100)</f>
        <v/>
      </c>
      <c r="J168" s="26">
        <f>IF(C168=0,0,SUMIFS(dl_val,dl_iso,$A168,dl_ind,"rev",dl_year,$B168)/100)</f>
        <v/>
      </c>
      <c r="K168" s="26">
        <f>(1-p_delta_g)*K167*(1-p_eps_g*$E168)+INDEX(Calib!$E$1:$E$13,$D168)*(INDEX(Calib!$G$1:$G$13,$D168)+0*$H168)</f>
        <v/>
      </c>
      <c r="L168" s="26">
        <f>L167*(1-p_eps_k*$E168)+p_lambda_k*(N168-L167*(1-p_eps_k*$E168))</f>
        <v/>
      </c>
      <c r="M168" s="26">
        <f>INDEX(Calib!$R$1:$R$13,$D168)*$F168*(K167*(1-p_eps_g*$E168))^INDEX(Calib!$Q$1:$Q$13,$D168)*(L167*(1-p_eps_k*$E168))^p_alpha</f>
        <v/>
      </c>
      <c r="N168" s="26">
        <f>p_alpha*(1-INDEX(Calib!$H$1:$H$13,$D168))*M168/(INDEX(Calib!$K$1:$K$13,$D168)+p_delta)</f>
        <v/>
      </c>
      <c r="O168" s="26">
        <f>M168+$G168</f>
        <v/>
      </c>
      <c r="P168" s="26">
        <f>0*($H168+$I168)</f>
        <v/>
      </c>
      <c r="Q168" s="26">
        <f>INDEX(Calib!$I$1:$I$13,$D168)+p_sh_grant*P168</f>
        <v/>
      </c>
      <c r="R168" s="26">
        <f>INDEX(Calib!$H$1:$H$13,$D168)*M168+p_gov_take*$G168+Q168+0*p_pricing*$J168</f>
        <v/>
      </c>
      <c r="S168" s="26">
        <f>INDEX(Calib!$Y$1:$Y$13,$D168)-INDEX(Calib!$Z$1:$Z$13,$D168)*(V167/O167-INDEX(Calib!$AA$1:$AA$13,$D168))</f>
        <v/>
      </c>
      <c r="T168" s="26">
        <f>INDEX(Calib!$X$1:$X$13,$D168)+INDEX(Calib!$G$1:$G$13,$D168)+P168+S168-R168</f>
        <v/>
      </c>
      <c r="U168" s="26">
        <f>p_rk*W167+Y167*(V167-W167)</f>
        <v/>
      </c>
      <c r="V168" s="26">
        <f>V167+U168+T168</f>
        <v/>
      </c>
      <c r="W168" s="26">
        <f>INDEX(Calib!$U$1:$U$13,$D168)+(W167-INDEX(Calib!$U$1:$U$13,$D168))*(1-p_amort)+p_sh_conc*P168</f>
        <v/>
      </c>
      <c r="X168" s="26">
        <f>V168/O168</f>
        <v/>
      </c>
      <c r="Y168" s="26">
        <f>INDEX(Calib!$K$1:$K$13,$D168)+p_eta*MAX(0,X168-INDEX(Calib!$AA$1:$AA$13,$D168))</f>
        <v/>
      </c>
      <c r="Z168" s="26">
        <f>(1-INDEX(Calib!$H$1:$H$13,$D168))*(1-p_alpha)*M168+S168</f>
        <v/>
      </c>
      <c r="AA168" s="26">
        <f>(1-p_delta_g)*AA167*(1-p_eps_g*$E168)+INDEX(Calib!$E$1:$E$13,$D168)*(INDEX(Calib!$G$1:$G$13,$D168)+p_programme*$H168)</f>
        <v/>
      </c>
      <c r="AB168" s="26">
        <f>AB167*(1-p_eps_k*$E168)+p_lambda_k*(AD168-AB167*(1-p_eps_k*$E168))</f>
        <v/>
      </c>
      <c r="AC168" s="26">
        <f>INDEX(Calib!$R$1:$R$13,$D168)*$F168*(AA167*(1-p_eps_g*$E168))^INDEX(Calib!$Q$1:$Q$13,$D168)*(AB167*(1-p_eps_k*$E168))^p_alpha</f>
        <v/>
      </c>
      <c r="AD168" s="26">
        <f>p_alpha*(1-INDEX(Calib!$H$1:$H$13,$D168))*AC168/(INDEX(Calib!$K$1:$K$13,$D168)+p_delta)</f>
        <v/>
      </c>
      <c r="AE168" s="26">
        <f>AC168+$G168</f>
        <v/>
      </c>
      <c r="AF168" s="26">
        <f>p_programme*($H168+$I168)</f>
        <v/>
      </c>
      <c r="AG168" s="26">
        <f>INDEX(Calib!$I$1:$I$13,$D168)+p_sh_grant*AF168</f>
        <v/>
      </c>
      <c r="AH168" s="26">
        <f>INDEX(Calib!$H$1:$H$13,$D168)*AC168+p_gov_take*$G168+AG168+p_programme*p_pricing*$J168</f>
        <v/>
      </c>
      <c r="AI168" s="26">
        <f>INDEX(Calib!$Y$1:$Y$13,$D168)-INDEX(Calib!$Z$1:$Z$13,$D168)*(AL167/AE167-INDEX(Calib!$AA$1:$AA$13,$D168))</f>
        <v/>
      </c>
      <c r="AJ168" s="26">
        <f>INDEX(Calib!$X$1:$X$13,$D168)+INDEX(Calib!$G$1:$G$13,$D168)+AF168+AI168-AH168</f>
        <v/>
      </c>
      <c r="AK168" s="26">
        <f>p_rk*AM167+AO167*(AL167-AM167)</f>
        <v/>
      </c>
      <c r="AL168" s="26">
        <f>AL167+AK168+AJ168</f>
        <v/>
      </c>
      <c r="AM168" s="26">
        <f>INDEX(Calib!$U$1:$U$13,$D168)+(AM167-INDEX(Calib!$U$1:$U$13,$D168))*(1-p_amort)+p_sh_conc*AF168</f>
        <v/>
      </c>
      <c r="AN168" s="26">
        <f>AL168/AE168</f>
        <v/>
      </c>
      <c r="AO168" s="26">
        <f>INDEX(Calib!$K$1:$K$13,$D168)+p_eta*MAX(0,AN168-INDEX(Calib!$AA$1:$AA$13,$D168))</f>
        <v/>
      </c>
      <c r="AP168" s="26">
        <f>(1-INDEX(Calib!$H$1:$H$13,$D168))*(1-p_alpha)*AC168+AI168</f>
        <v/>
      </c>
      <c r="AQ168" s="26">
        <f>(AE168/O168-1)*100</f>
        <v/>
      </c>
      <c r="AR168" s="26">
        <f>(AE168/AE164-1)*100</f>
        <v/>
      </c>
      <c r="AS168" s="26">
        <f>(O168/O164-1)*100</f>
        <v/>
      </c>
      <c r="AT168" s="26">
        <f>(AN168-X168)*100</f>
        <v/>
      </c>
      <c r="AU168" s="26">
        <f>(AP168/Z168-1)*100</f>
        <v/>
      </c>
      <c r="AV168" s="26">
        <f>(AI168-S168)*100</f>
        <v/>
      </c>
    </row>
    <row r="169">
      <c r="A169" s="25" t="inlineStr">
        <is>
          <t>MOZ</t>
        </is>
      </c>
      <c r="B169" s="25" t="n">
        <v>2029</v>
      </c>
      <c r="C169" s="25" t="n">
        <v>5</v>
      </c>
      <c r="D169" s="25" t="n">
        <v>8</v>
      </c>
      <c r="E169" s="25">
        <f>IF(AND(p_dis_year&gt;0,B169=p_dis_year),1,0)</f>
        <v/>
      </c>
      <c r="F169" s="26">
        <f>IF(AND(p_dis_year&gt;0,B169&gt;=p_dis_year),1-p_eps_a*p_rho_a^(B169-p_dis_year),1)</f>
        <v/>
      </c>
      <c r="G169" s="26">
        <f>INDEX(Calib!$N$1:$N$13,$D169)*(1-p_rent_decline*MIN(1,C169/26))</f>
        <v/>
      </c>
      <c r="H169" s="26">
        <f>IF(C169=0,0,SUMIFS(dl_val,dl_iso,$A169,dl_ind,"pub_cap",dl_year,$B169)/100)</f>
        <v/>
      </c>
      <c r="I169" s="26">
        <f>IF(C169=0,0,SUMIFS(dl_val,dl_iso,$A169,dl_ind,"pub_spend",dl_year,$B169)/100)</f>
        <v/>
      </c>
      <c r="J169" s="26">
        <f>IF(C169=0,0,SUMIFS(dl_val,dl_iso,$A169,dl_ind,"rev",dl_year,$B169)/100)</f>
        <v/>
      </c>
      <c r="K169" s="26">
        <f>(1-p_delta_g)*K168*(1-p_eps_g*$E169)+INDEX(Calib!$E$1:$E$13,$D169)*(INDEX(Calib!$G$1:$G$13,$D169)+0*$H169)</f>
        <v/>
      </c>
      <c r="L169" s="26">
        <f>L168*(1-p_eps_k*$E169)+p_lambda_k*(N169-L168*(1-p_eps_k*$E169))</f>
        <v/>
      </c>
      <c r="M169" s="26">
        <f>INDEX(Calib!$R$1:$R$13,$D169)*$F169*(K168*(1-p_eps_g*$E169))^INDEX(Calib!$Q$1:$Q$13,$D169)*(L168*(1-p_eps_k*$E169))^p_alpha</f>
        <v/>
      </c>
      <c r="N169" s="26">
        <f>p_alpha*(1-INDEX(Calib!$H$1:$H$13,$D169))*M169/(INDEX(Calib!$K$1:$K$13,$D169)+p_delta)</f>
        <v/>
      </c>
      <c r="O169" s="26">
        <f>M169+$G169</f>
        <v/>
      </c>
      <c r="P169" s="26">
        <f>0*($H169+$I169)</f>
        <v/>
      </c>
      <c r="Q169" s="26">
        <f>INDEX(Calib!$I$1:$I$13,$D169)+p_sh_grant*P169</f>
        <v/>
      </c>
      <c r="R169" s="26">
        <f>INDEX(Calib!$H$1:$H$13,$D169)*M169+p_gov_take*$G169+Q169+0*p_pricing*$J169</f>
        <v/>
      </c>
      <c r="S169" s="26">
        <f>INDEX(Calib!$Y$1:$Y$13,$D169)-INDEX(Calib!$Z$1:$Z$13,$D169)*(V168/O168-INDEX(Calib!$AA$1:$AA$13,$D169))</f>
        <v/>
      </c>
      <c r="T169" s="26">
        <f>INDEX(Calib!$X$1:$X$13,$D169)+INDEX(Calib!$G$1:$G$13,$D169)+P169+S169-R169</f>
        <v/>
      </c>
      <c r="U169" s="26">
        <f>p_rk*W168+Y168*(V168-W168)</f>
        <v/>
      </c>
      <c r="V169" s="26">
        <f>V168+U169+T169</f>
        <v/>
      </c>
      <c r="W169" s="26">
        <f>INDEX(Calib!$U$1:$U$13,$D169)+(W168-INDEX(Calib!$U$1:$U$13,$D169))*(1-p_amort)+p_sh_conc*P169</f>
        <v/>
      </c>
      <c r="X169" s="26">
        <f>V169/O169</f>
        <v/>
      </c>
      <c r="Y169" s="26">
        <f>INDEX(Calib!$K$1:$K$13,$D169)+p_eta*MAX(0,X169-INDEX(Calib!$AA$1:$AA$13,$D169))</f>
        <v/>
      </c>
      <c r="Z169" s="26">
        <f>(1-INDEX(Calib!$H$1:$H$13,$D169))*(1-p_alpha)*M169+S169</f>
        <v/>
      </c>
      <c r="AA169" s="26">
        <f>(1-p_delta_g)*AA168*(1-p_eps_g*$E169)+INDEX(Calib!$E$1:$E$13,$D169)*(INDEX(Calib!$G$1:$G$13,$D169)+p_programme*$H169)</f>
        <v/>
      </c>
      <c r="AB169" s="26">
        <f>AB168*(1-p_eps_k*$E169)+p_lambda_k*(AD169-AB168*(1-p_eps_k*$E169))</f>
        <v/>
      </c>
      <c r="AC169" s="26">
        <f>INDEX(Calib!$R$1:$R$13,$D169)*$F169*(AA168*(1-p_eps_g*$E169))^INDEX(Calib!$Q$1:$Q$13,$D169)*(AB168*(1-p_eps_k*$E169))^p_alpha</f>
        <v/>
      </c>
      <c r="AD169" s="26">
        <f>p_alpha*(1-INDEX(Calib!$H$1:$H$13,$D169))*AC169/(INDEX(Calib!$K$1:$K$13,$D169)+p_delta)</f>
        <v/>
      </c>
      <c r="AE169" s="26">
        <f>AC169+$G169</f>
        <v/>
      </c>
      <c r="AF169" s="26">
        <f>p_programme*($H169+$I169)</f>
        <v/>
      </c>
      <c r="AG169" s="26">
        <f>INDEX(Calib!$I$1:$I$13,$D169)+p_sh_grant*AF169</f>
        <v/>
      </c>
      <c r="AH169" s="26">
        <f>INDEX(Calib!$H$1:$H$13,$D169)*AC169+p_gov_take*$G169+AG169+p_programme*p_pricing*$J169</f>
        <v/>
      </c>
      <c r="AI169" s="26">
        <f>INDEX(Calib!$Y$1:$Y$13,$D169)-INDEX(Calib!$Z$1:$Z$13,$D169)*(AL168/AE168-INDEX(Calib!$AA$1:$AA$13,$D169))</f>
        <v/>
      </c>
      <c r="AJ169" s="26">
        <f>INDEX(Calib!$X$1:$X$13,$D169)+INDEX(Calib!$G$1:$G$13,$D169)+AF169+AI169-AH169</f>
        <v/>
      </c>
      <c r="AK169" s="26">
        <f>p_rk*AM168+AO168*(AL168-AM168)</f>
        <v/>
      </c>
      <c r="AL169" s="26">
        <f>AL168+AK169+AJ169</f>
        <v/>
      </c>
      <c r="AM169" s="26">
        <f>INDEX(Calib!$U$1:$U$13,$D169)+(AM168-INDEX(Calib!$U$1:$U$13,$D169))*(1-p_amort)+p_sh_conc*AF169</f>
        <v/>
      </c>
      <c r="AN169" s="26">
        <f>AL169/AE169</f>
        <v/>
      </c>
      <c r="AO169" s="26">
        <f>INDEX(Calib!$K$1:$K$13,$D169)+p_eta*MAX(0,AN169-INDEX(Calib!$AA$1:$AA$13,$D169))</f>
        <v/>
      </c>
      <c r="AP169" s="26">
        <f>(1-INDEX(Calib!$H$1:$H$13,$D169))*(1-p_alpha)*AC169+AI169</f>
        <v/>
      </c>
      <c r="AQ169" s="26">
        <f>(AE169/O169-1)*100</f>
        <v/>
      </c>
      <c r="AR169" s="26">
        <f>(AE169/AE164-1)*100</f>
        <v/>
      </c>
      <c r="AS169" s="26">
        <f>(O169/O164-1)*100</f>
        <v/>
      </c>
      <c r="AT169" s="26">
        <f>(AN169-X169)*100</f>
        <v/>
      </c>
      <c r="AU169" s="26">
        <f>(AP169/Z169-1)*100</f>
        <v/>
      </c>
      <c r="AV169" s="26">
        <f>(AI169-S169)*100</f>
        <v/>
      </c>
    </row>
    <row r="170">
      <c r="A170" s="25" t="inlineStr">
        <is>
          <t>MOZ</t>
        </is>
      </c>
      <c r="B170" s="25" t="n">
        <v>2030</v>
      </c>
      <c r="C170" s="25" t="n">
        <v>6</v>
      </c>
      <c r="D170" s="25" t="n">
        <v>8</v>
      </c>
      <c r="E170" s="25">
        <f>IF(AND(p_dis_year&gt;0,B170=p_dis_year),1,0)</f>
        <v/>
      </c>
      <c r="F170" s="26">
        <f>IF(AND(p_dis_year&gt;0,B170&gt;=p_dis_year),1-p_eps_a*p_rho_a^(B170-p_dis_year),1)</f>
        <v/>
      </c>
      <c r="G170" s="26">
        <f>INDEX(Calib!$N$1:$N$13,$D170)*(1-p_rent_decline*MIN(1,C170/26))</f>
        <v/>
      </c>
      <c r="H170" s="26">
        <f>IF(C170=0,0,SUMIFS(dl_val,dl_iso,$A170,dl_ind,"pub_cap",dl_year,$B170)/100)</f>
        <v/>
      </c>
      <c r="I170" s="26">
        <f>IF(C170=0,0,SUMIFS(dl_val,dl_iso,$A170,dl_ind,"pub_spend",dl_year,$B170)/100)</f>
        <v/>
      </c>
      <c r="J170" s="26">
        <f>IF(C170=0,0,SUMIFS(dl_val,dl_iso,$A170,dl_ind,"rev",dl_year,$B170)/100)</f>
        <v/>
      </c>
      <c r="K170" s="26">
        <f>(1-p_delta_g)*K169*(1-p_eps_g*$E170)+INDEX(Calib!$E$1:$E$13,$D170)*(INDEX(Calib!$G$1:$G$13,$D170)+0*$H170)</f>
        <v/>
      </c>
      <c r="L170" s="26">
        <f>L169*(1-p_eps_k*$E170)+p_lambda_k*(N170-L169*(1-p_eps_k*$E170))</f>
        <v/>
      </c>
      <c r="M170" s="26">
        <f>INDEX(Calib!$R$1:$R$13,$D170)*$F170*(K169*(1-p_eps_g*$E170))^INDEX(Calib!$Q$1:$Q$13,$D170)*(L169*(1-p_eps_k*$E170))^p_alpha</f>
        <v/>
      </c>
      <c r="N170" s="26">
        <f>p_alpha*(1-INDEX(Calib!$H$1:$H$13,$D170))*M170/(INDEX(Calib!$K$1:$K$13,$D170)+p_delta)</f>
        <v/>
      </c>
      <c r="O170" s="26">
        <f>M170+$G170</f>
        <v/>
      </c>
      <c r="P170" s="26">
        <f>0*($H170+$I170)</f>
        <v/>
      </c>
      <c r="Q170" s="26">
        <f>INDEX(Calib!$I$1:$I$13,$D170)+p_sh_grant*P170</f>
        <v/>
      </c>
      <c r="R170" s="26">
        <f>INDEX(Calib!$H$1:$H$13,$D170)*M170+p_gov_take*$G170+Q170+0*p_pricing*$J170</f>
        <v/>
      </c>
      <c r="S170" s="26">
        <f>INDEX(Calib!$Y$1:$Y$13,$D170)-INDEX(Calib!$Z$1:$Z$13,$D170)*(V169/O169-INDEX(Calib!$AA$1:$AA$13,$D170))</f>
        <v/>
      </c>
      <c r="T170" s="26">
        <f>INDEX(Calib!$X$1:$X$13,$D170)+INDEX(Calib!$G$1:$G$13,$D170)+P170+S170-R170</f>
        <v/>
      </c>
      <c r="U170" s="26">
        <f>p_rk*W169+Y169*(V169-W169)</f>
        <v/>
      </c>
      <c r="V170" s="26">
        <f>V169+U170+T170</f>
        <v/>
      </c>
      <c r="W170" s="26">
        <f>INDEX(Calib!$U$1:$U$13,$D170)+(W169-INDEX(Calib!$U$1:$U$13,$D170))*(1-p_amort)+p_sh_conc*P170</f>
        <v/>
      </c>
      <c r="X170" s="26">
        <f>V170/O170</f>
        <v/>
      </c>
      <c r="Y170" s="26">
        <f>INDEX(Calib!$K$1:$K$13,$D170)+p_eta*MAX(0,X170-INDEX(Calib!$AA$1:$AA$13,$D170))</f>
        <v/>
      </c>
      <c r="Z170" s="26">
        <f>(1-INDEX(Calib!$H$1:$H$13,$D170))*(1-p_alpha)*M170+S170</f>
        <v/>
      </c>
      <c r="AA170" s="26">
        <f>(1-p_delta_g)*AA169*(1-p_eps_g*$E170)+INDEX(Calib!$E$1:$E$13,$D170)*(INDEX(Calib!$G$1:$G$13,$D170)+p_programme*$H170)</f>
        <v/>
      </c>
      <c r="AB170" s="26">
        <f>AB169*(1-p_eps_k*$E170)+p_lambda_k*(AD170-AB169*(1-p_eps_k*$E170))</f>
        <v/>
      </c>
      <c r="AC170" s="26">
        <f>INDEX(Calib!$R$1:$R$13,$D170)*$F170*(AA169*(1-p_eps_g*$E170))^INDEX(Calib!$Q$1:$Q$13,$D170)*(AB169*(1-p_eps_k*$E170))^p_alpha</f>
        <v/>
      </c>
      <c r="AD170" s="26">
        <f>p_alpha*(1-INDEX(Calib!$H$1:$H$13,$D170))*AC170/(INDEX(Calib!$K$1:$K$13,$D170)+p_delta)</f>
        <v/>
      </c>
      <c r="AE170" s="26">
        <f>AC170+$G170</f>
        <v/>
      </c>
      <c r="AF170" s="26">
        <f>p_programme*($H170+$I170)</f>
        <v/>
      </c>
      <c r="AG170" s="26">
        <f>INDEX(Calib!$I$1:$I$13,$D170)+p_sh_grant*AF170</f>
        <v/>
      </c>
      <c r="AH170" s="26">
        <f>INDEX(Calib!$H$1:$H$13,$D170)*AC170+p_gov_take*$G170+AG170+p_programme*p_pricing*$J170</f>
        <v/>
      </c>
      <c r="AI170" s="26">
        <f>INDEX(Calib!$Y$1:$Y$13,$D170)-INDEX(Calib!$Z$1:$Z$13,$D170)*(AL169/AE169-INDEX(Calib!$AA$1:$AA$13,$D170))</f>
        <v/>
      </c>
      <c r="AJ170" s="26">
        <f>INDEX(Calib!$X$1:$X$13,$D170)+INDEX(Calib!$G$1:$G$13,$D170)+AF170+AI170-AH170</f>
        <v/>
      </c>
      <c r="AK170" s="26">
        <f>p_rk*AM169+AO169*(AL169-AM169)</f>
        <v/>
      </c>
      <c r="AL170" s="26">
        <f>AL169+AK170+AJ170</f>
        <v/>
      </c>
      <c r="AM170" s="26">
        <f>INDEX(Calib!$U$1:$U$13,$D170)+(AM169-INDEX(Calib!$U$1:$U$13,$D170))*(1-p_amort)+p_sh_conc*AF170</f>
        <v/>
      </c>
      <c r="AN170" s="26">
        <f>AL170/AE170</f>
        <v/>
      </c>
      <c r="AO170" s="26">
        <f>INDEX(Calib!$K$1:$K$13,$D170)+p_eta*MAX(0,AN170-INDEX(Calib!$AA$1:$AA$13,$D170))</f>
        <v/>
      </c>
      <c r="AP170" s="26">
        <f>(1-INDEX(Calib!$H$1:$H$13,$D170))*(1-p_alpha)*AC170+AI170</f>
        <v/>
      </c>
      <c r="AQ170" s="26">
        <f>(AE170/O170-1)*100</f>
        <v/>
      </c>
      <c r="AR170" s="26">
        <f>(AE170/AE164-1)*100</f>
        <v/>
      </c>
      <c r="AS170" s="26">
        <f>(O170/O164-1)*100</f>
        <v/>
      </c>
      <c r="AT170" s="26">
        <f>(AN170-X170)*100</f>
        <v/>
      </c>
      <c r="AU170" s="26">
        <f>(AP170/Z170-1)*100</f>
        <v/>
      </c>
      <c r="AV170" s="26">
        <f>(AI170-S170)*100</f>
        <v/>
      </c>
    </row>
    <row r="171">
      <c r="A171" s="25" t="inlineStr">
        <is>
          <t>MOZ</t>
        </is>
      </c>
      <c r="B171" s="25" t="n">
        <v>2031</v>
      </c>
      <c r="C171" s="25" t="n">
        <v>7</v>
      </c>
      <c r="D171" s="25" t="n">
        <v>8</v>
      </c>
      <c r="E171" s="25">
        <f>IF(AND(p_dis_year&gt;0,B171=p_dis_year),1,0)</f>
        <v/>
      </c>
      <c r="F171" s="26">
        <f>IF(AND(p_dis_year&gt;0,B171&gt;=p_dis_year),1-p_eps_a*p_rho_a^(B171-p_dis_year),1)</f>
        <v/>
      </c>
      <c r="G171" s="26">
        <f>INDEX(Calib!$N$1:$N$13,$D171)*(1-p_rent_decline*MIN(1,C171/26))</f>
        <v/>
      </c>
      <c r="H171" s="26">
        <f>IF(C171=0,0,SUMIFS(dl_val,dl_iso,$A171,dl_ind,"pub_cap",dl_year,$B171)/100)</f>
        <v/>
      </c>
      <c r="I171" s="26">
        <f>IF(C171=0,0,SUMIFS(dl_val,dl_iso,$A171,dl_ind,"pub_spend",dl_year,$B171)/100)</f>
        <v/>
      </c>
      <c r="J171" s="26">
        <f>IF(C171=0,0,SUMIFS(dl_val,dl_iso,$A171,dl_ind,"rev",dl_year,$B171)/100)</f>
        <v/>
      </c>
      <c r="K171" s="26">
        <f>(1-p_delta_g)*K170*(1-p_eps_g*$E171)+INDEX(Calib!$E$1:$E$13,$D171)*(INDEX(Calib!$G$1:$G$13,$D171)+0*$H171)</f>
        <v/>
      </c>
      <c r="L171" s="26">
        <f>L170*(1-p_eps_k*$E171)+p_lambda_k*(N171-L170*(1-p_eps_k*$E171))</f>
        <v/>
      </c>
      <c r="M171" s="26">
        <f>INDEX(Calib!$R$1:$R$13,$D171)*$F171*(K170*(1-p_eps_g*$E171))^INDEX(Calib!$Q$1:$Q$13,$D171)*(L170*(1-p_eps_k*$E171))^p_alpha</f>
        <v/>
      </c>
      <c r="N171" s="26">
        <f>p_alpha*(1-INDEX(Calib!$H$1:$H$13,$D171))*M171/(INDEX(Calib!$K$1:$K$13,$D171)+p_delta)</f>
        <v/>
      </c>
      <c r="O171" s="26">
        <f>M171+$G171</f>
        <v/>
      </c>
      <c r="P171" s="26">
        <f>0*($H171+$I171)</f>
        <v/>
      </c>
      <c r="Q171" s="26">
        <f>INDEX(Calib!$I$1:$I$13,$D171)+p_sh_grant*P171</f>
        <v/>
      </c>
      <c r="R171" s="26">
        <f>INDEX(Calib!$H$1:$H$13,$D171)*M171+p_gov_take*$G171+Q171+0*p_pricing*$J171</f>
        <v/>
      </c>
      <c r="S171" s="26">
        <f>INDEX(Calib!$Y$1:$Y$13,$D171)-INDEX(Calib!$Z$1:$Z$13,$D171)*(V170/O170-INDEX(Calib!$AA$1:$AA$13,$D171))</f>
        <v/>
      </c>
      <c r="T171" s="26">
        <f>INDEX(Calib!$X$1:$X$13,$D171)+INDEX(Calib!$G$1:$G$13,$D171)+P171+S171-R171</f>
        <v/>
      </c>
      <c r="U171" s="26">
        <f>p_rk*W170+Y170*(V170-W170)</f>
        <v/>
      </c>
      <c r="V171" s="26">
        <f>V170+U171+T171</f>
        <v/>
      </c>
      <c r="W171" s="26">
        <f>INDEX(Calib!$U$1:$U$13,$D171)+(W170-INDEX(Calib!$U$1:$U$13,$D171))*(1-p_amort)+p_sh_conc*P171</f>
        <v/>
      </c>
      <c r="X171" s="26">
        <f>V171/O171</f>
        <v/>
      </c>
      <c r="Y171" s="26">
        <f>INDEX(Calib!$K$1:$K$13,$D171)+p_eta*MAX(0,X171-INDEX(Calib!$AA$1:$AA$13,$D171))</f>
        <v/>
      </c>
      <c r="Z171" s="26">
        <f>(1-INDEX(Calib!$H$1:$H$13,$D171))*(1-p_alpha)*M171+S171</f>
        <v/>
      </c>
      <c r="AA171" s="26">
        <f>(1-p_delta_g)*AA170*(1-p_eps_g*$E171)+INDEX(Calib!$E$1:$E$13,$D171)*(INDEX(Calib!$G$1:$G$13,$D171)+p_programme*$H171)</f>
        <v/>
      </c>
      <c r="AB171" s="26">
        <f>AB170*(1-p_eps_k*$E171)+p_lambda_k*(AD171-AB170*(1-p_eps_k*$E171))</f>
        <v/>
      </c>
      <c r="AC171" s="26">
        <f>INDEX(Calib!$R$1:$R$13,$D171)*$F171*(AA170*(1-p_eps_g*$E171))^INDEX(Calib!$Q$1:$Q$13,$D171)*(AB170*(1-p_eps_k*$E171))^p_alpha</f>
        <v/>
      </c>
      <c r="AD171" s="26">
        <f>p_alpha*(1-INDEX(Calib!$H$1:$H$13,$D171))*AC171/(INDEX(Calib!$K$1:$K$13,$D171)+p_delta)</f>
        <v/>
      </c>
      <c r="AE171" s="26">
        <f>AC171+$G171</f>
        <v/>
      </c>
      <c r="AF171" s="26">
        <f>p_programme*($H171+$I171)</f>
        <v/>
      </c>
      <c r="AG171" s="26">
        <f>INDEX(Calib!$I$1:$I$13,$D171)+p_sh_grant*AF171</f>
        <v/>
      </c>
      <c r="AH171" s="26">
        <f>INDEX(Calib!$H$1:$H$13,$D171)*AC171+p_gov_take*$G171+AG171+p_programme*p_pricing*$J171</f>
        <v/>
      </c>
      <c r="AI171" s="26">
        <f>INDEX(Calib!$Y$1:$Y$13,$D171)-INDEX(Calib!$Z$1:$Z$13,$D171)*(AL170/AE170-INDEX(Calib!$AA$1:$AA$13,$D171))</f>
        <v/>
      </c>
      <c r="AJ171" s="26">
        <f>INDEX(Calib!$X$1:$X$13,$D171)+INDEX(Calib!$G$1:$G$13,$D171)+AF171+AI171-AH171</f>
        <v/>
      </c>
      <c r="AK171" s="26">
        <f>p_rk*AM170+AO170*(AL170-AM170)</f>
        <v/>
      </c>
      <c r="AL171" s="26">
        <f>AL170+AK171+AJ171</f>
        <v/>
      </c>
      <c r="AM171" s="26">
        <f>INDEX(Calib!$U$1:$U$13,$D171)+(AM170-INDEX(Calib!$U$1:$U$13,$D171))*(1-p_amort)+p_sh_conc*AF171</f>
        <v/>
      </c>
      <c r="AN171" s="26">
        <f>AL171/AE171</f>
        <v/>
      </c>
      <c r="AO171" s="26">
        <f>INDEX(Calib!$K$1:$K$13,$D171)+p_eta*MAX(0,AN171-INDEX(Calib!$AA$1:$AA$13,$D171))</f>
        <v/>
      </c>
      <c r="AP171" s="26">
        <f>(1-INDEX(Calib!$H$1:$H$13,$D171))*(1-p_alpha)*AC171+AI171</f>
        <v/>
      </c>
      <c r="AQ171" s="26">
        <f>(AE171/O171-1)*100</f>
        <v/>
      </c>
      <c r="AR171" s="26">
        <f>(AE171/AE164-1)*100</f>
        <v/>
      </c>
      <c r="AS171" s="26">
        <f>(O171/O164-1)*100</f>
        <v/>
      </c>
      <c r="AT171" s="26">
        <f>(AN171-X171)*100</f>
        <v/>
      </c>
      <c r="AU171" s="26">
        <f>(AP171/Z171-1)*100</f>
        <v/>
      </c>
      <c r="AV171" s="26">
        <f>(AI171-S171)*100</f>
        <v/>
      </c>
    </row>
    <row r="172">
      <c r="A172" s="25" t="inlineStr">
        <is>
          <t>MOZ</t>
        </is>
      </c>
      <c r="B172" s="25" t="n">
        <v>2032</v>
      </c>
      <c r="C172" s="25" t="n">
        <v>8</v>
      </c>
      <c r="D172" s="25" t="n">
        <v>8</v>
      </c>
      <c r="E172" s="25">
        <f>IF(AND(p_dis_year&gt;0,B172=p_dis_year),1,0)</f>
        <v/>
      </c>
      <c r="F172" s="26">
        <f>IF(AND(p_dis_year&gt;0,B172&gt;=p_dis_year),1-p_eps_a*p_rho_a^(B172-p_dis_year),1)</f>
        <v/>
      </c>
      <c r="G172" s="26">
        <f>INDEX(Calib!$N$1:$N$13,$D172)*(1-p_rent_decline*MIN(1,C172/26))</f>
        <v/>
      </c>
      <c r="H172" s="26">
        <f>IF(C172=0,0,SUMIFS(dl_val,dl_iso,$A172,dl_ind,"pub_cap",dl_year,$B172)/100)</f>
        <v/>
      </c>
      <c r="I172" s="26">
        <f>IF(C172=0,0,SUMIFS(dl_val,dl_iso,$A172,dl_ind,"pub_spend",dl_year,$B172)/100)</f>
        <v/>
      </c>
      <c r="J172" s="26">
        <f>IF(C172=0,0,SUMIFS(dl_val,dl_iso,$A172,dl_ind,"rev",dl_year,$B172)/100)</f>
        <v/>
      </c>
      <c r="K172" s="26">
        <f>(1-p_delta_g)*K171*(1-p_eps_g*$E172)+INDEX(Calib!$E$1:$E$13,$D172)*(INDEX(Calib!$G$1:$G$13,$D172)+0*$H172)</f>
        <v/>
      </c>
      <c r="L172" s="26">
        <f>L171*(1-p_eps_k*$E172)+p_lambda_k*(N172-L171*(1-p_eps_k*$E172))</f>
        <v/>
      </c>
      <c r="M172" s="26">
        <f>INDEX(Calib!$R$1:$R$13,$D172)*$F172*(K171*(1-p_eps_g*$E172))^INDEX(Calib!$Q$1:$Q$13,$D172)*(L171*(1-p_eps_k*$E172))^p_alpha</f>
        <v/>
      </c>
      <c r="N172" s="26">
        <f>p_alpha*(1-INDEX(Calib!$H$1:$H$13,$D172))*M172/(INDEX(Calib!$K$1:$K$13,$D172)+p_delta)</f>
        <v/>
      </c>
      <c r="O172" s="26">
        <f>M172+$G172</f>
        <v/>
      </c>
      <c r="P172" s="26">
        <f>0*($H172+$I172)</f>
        <v/>
      </c>
      <c r="Q172" s="26">
        <f>INDEX(Calib!$I$1:$I$13,$D172)+p_sh_grant*P172</f>
        <v/>
      </c>
      <c r="R172" s="26">
        <f>INDEX(Calib!$H$1:$H$13,$D172)*M172+p_gov_take*$G172+Q172+0*p_pricing*$J172</f>
        <v/>
      </c>
      <c r="S172" s="26">
        <f>INDEX(Calib!$Y$1:$Y$13,$D172)-INDEX(Calib!$Z$1:$Z$13,$D172)*(V171/O171-INDEX(Calib!$AA$1:$AA$13,$D172))</f>
        <v/>
      </c>
      <c r="T172" s="26">
        <f>INDEX(Calib!$X$1:$X$13,$D172)+INDEX(Calib!$G$1:$G$13,$D172)+P172+S172-R172</f>
        <v/>
      </c>
      <c r="U172" s="26">
        <f>p_rk*W171+Y171*(V171-W171)</f>
        <v/>
      </c>
      <c r="V172" s="26">
        <f>V171+U172+T172</f>
        <v/>
      </c>
      <c r="W172" s="26">
        <f>INDEX(Calib!$U$1:$U$13,$D172)+(W171-INDEX(Calib!$U$1:$U$13,$D172))*(1-p_amort)+p_sh_conc*P172</f>
        <v/>
      </c>
      <c r="X172" s="26">
        <f>V172/O172</f>
        <v/>
      </c>
      <c r="Y172" s="26">
        <f>INDEX(Calib!$K$1:$K$13,$D172)+p_eta*MAX(0,X172-INDEX(Calib!$AA$1:$AA$13,$D172))</f>
        <v/>
      </c>
      <c r="Z172" s="26">
        <f>(1-INDEX(Calib!$H$1:$H$13,$D172))*(1-p_alpha)*M172+S172</f>
        <v/>
      </c>
      <c r="AA172" s="26">
        <f>(1-p_delta_g)*AA171*(1-p_eps_g*$E172)+INDEX(Calib!$E$1:$E$13,$D172)*(INDEX(Calib!$G$1:$G$13,$D172)+p_programme*$H172)</f>
        <v/>
      </c>
      <c r="AB172" s="26">
        <f>AB171*(1-p_eps_k*$E172)+p_lambda_k*(AD172-AB171*(1-p_eps_k*$E172))</f>
        <v/>
      </c>
      <c r="AC172" s="26">
        <f>INDEX(Calib!$R$1:$R$13,$D172)*$F172*(AA171*(1-p_eps_g*$E172))^INDEX(Calib!$Q$1:$Q$13,$D172)*(AB171*(1-p_eps_k*$E172))^p_alpha</f>
        <v/>
      </c>
      <c r="AD172" s="26">
        <f>p_alpha*(1-INDEX(Calib!$H$1:$H$13,$D172))*AC172/(INDEX(Calib!$K$1:$K$13,$D172)+p_delta)</f>
        <v/>
      </c>
      <c r="AE172" s="26">
        <f>AC172+$G172</f>
        <v/>
      </c>
      <c r="AF172" s="26">
        <f>p_programme*($H172+$I172)</f>
        <v/>
      </c>
      <c r="AG172" s="26">
        <f>INDEX(Calib!$I$1:$I$13,$D172)+p_sh_grant*AF172</f>
        <v/>
      </c>
      <c r="AH172" s="26">
        <f>INDEX(Calib!$H$1:$H$13,$D172)*AC172+p_gov_take*$G172+AG172+p_programme*p_pricing*$J172</f>
        <v/>
      </c>
      <c r="AI172" s="26">
        <f>INDEX(Calib!$Y$1:$Y$13,$D172)-INDEX(Calib!$Z$1:$Z$13,$D172)*(AL171/AE171-INDEX(Calib!$AA$1:$AA$13,$D172))</f>
        <v/>
      </c>
      <c r="AJ172" s="26">
        <f>INDEX(Calib!$X$1:$X$13,$D172)+INDEX(Calib!$G$1:$G$13,$D172)+AF172+AI172-AH172</f>
        <v/>
      </c>
      <c r="AK172" s="26">
        <f>p_rk*AM171+AO171*(AL171-AM171)</f>
        <v/>
      </c>
      <c r="AL172" s="26">
        <f>AL171+AK172+AJ172</f>
        <v/>
      </c>
      <c r="AM172" s="26">
        <f>INDEX(Calib!$U$1:$U$13,$D172)+(AM171-INDEX(Calib!$U$1:$U$13,$D172))*(1-p_amort)+p_sh_conc*AF172</f>
        <v/>
      </c>
      <c r="AN172" s="26">
        <f>AL172/AE172</f>
        <v/>
      </c>
      <c r="AO172" s="26">
        <f>INDEX(Calib!$K$1:$K$13,$D172)+p_eta*MAX(0,AN172-INDEX(Calib!$AA$1:$AA$13,$D172))</f>
        <v/>
      </c>
      <c r="AP172" s="26">
        <f>(1-INDEX(Calib!$H$1:$H$13,$D172))*(1-p_alpha)*AC172+AI172</f>
        <v/>
      </c>
      <c r="AQ172" s="26">
        <f>(AE172/O172-1)*100</f>
        <v/>
      </c>
      <c r="AR172" s="26">
        <f>(AE172/AE164-1)*100</f>
        <v/>
      </c>
      <c r="AS172" s="26">
        <f>(O172/O164-1)*100</f>
        <v/>
      </c>
      <c r="AT172" s="26">
        <f>(AN172-X172)*100</f>
        <v/>
      </c>
      <c r="AU172" s="26">
        <f>(AP172/Z172-1)*100</f>
        <v/>
      </c>
      <c r="AV172" s="26">
        <f>(AI172-S172)*100</f>
        <v/>
      </c>
    </row>
    <row r="173">
      <c r="A173" s="25" t="inlineStr">
        <is>
          <t>MOZ</t>
        </is>
      </c>
      <c r="B173" s="25" t="n">
        <v>2033</v>
      </c>
      <c r="C173" s="25" t="n">
        <v>9</v>
      </c>
      <c r="D173" s="25" t="n">
        <v>8</v>
      </c>
      <c r="E173" s="25">
        <f>IF(AND(p_dis_year&gt;0,B173=p_dis_year),1,0)</f>
        <v/>
      </c>
      <c r="F173" s="26">
        <f>IF(AND(p_dis_year&gt;0,B173&gt;=p_dis_year),1-p_eps_a*p_rho_a^(B173-p_dis_year),1)</f>
        <v/>
      </c>
      <c r="G173" s="26">
        <f>INDEX(Calib!$N$1:$N$13,$D173)*(1-p_rent_decline*MIN(1,C173/26))</f>
        <v/>
      </c>
      <c r="H173" s="26">
        <f>IF(C173=0,0,SUMIFS(dl_val,dl_iso,$A173,dl_ind,"pub_cap",dl_year,$B173)/100)</f>
        <v/>
      </c>
      <c r="I173" s="26">
        <f>IF(C173=0,0,SUMIFS(dl_val,dl_iso,$A173,dl_ind,"pub_spend",dl_year,$B173)/100)</f>
        <v/>
      </c>
      <c r="J173" s="26">
        <f>IF(C173=0,0,SUMIFS(dl_val,dl_iso,$A173,dl_ind,"rev",dl_year,$B173)/100)</f>
        <v/>
      </c>
      <c r="K173" s="26">
        <f>(1-p_delta_g)*K172*(1-p_eps_g*$E173)+INDEX(Calib!$E$1:$E$13,$D173)*(INDEX(Calib!$G$1:$G$13,$D173)+0*$H173)</f>
        <v/>
      </c>
      <c r="L173" s="26">
        <f>L172*(1-p_eps_k*$E173)+p_lambda_k*(N173-L172*(1-p_eps_k*$E173))</f>
        <v/>
      </c>
      <c r="M173" s="26">
        <f>INDEX(Calib!$R$1:$R$13,$D173)*$F173*(K172*(1-p_eps_g*$E173))^INDEX(Calib!$Q$1:$Q$13,$D173)*(L172*(1-p_eps_k*$E173))^p_alpha</f>
        <v/>
      </c>
      <c r="N173" s="26">
        <f>p_alpha*(1-INDEX(Calib!$H$1:$H$13,$D173))*M173/(INDEX(Calib!$K$1:$K$13,$D173)+p_delta)</f>
        <v/>
      </c>
      <c r="O173" s="26">
        <f>M173+$G173</f>
        <v/>
      </c>
      <c r="P173" s="26">
        <f>0*($H173+$I173)</f>
        <v/>
      </c>
      <c r="Q173" s="26">
        <f>INDEX(Calib!$I$1:$I$13,$D173)+p_sh_grant*P173</f>
        <v/>
      </c>
      <c r="R173" s="26">
        <f>INDEX(Calib!$H$1:$H$13,$D173)*M173+p_gov_take*$G173+Q173+0*p_pricing*$J173</f>
        <v/>
      </c>
      <c r="S173" s="26">
        <f>INDEX(Calib!$Y$1:$Y$13,$D173)-INDEX(Calib!$Z$1:$Z$13,$D173)*(V172/O172-INDEX(Calib!$AA$1:$AA$13,$D173))</f>
        <v/>
      </c>
      <c r="T173" s="26">
        <f>INDEX(Calib!$X$1:$X$13,$D173)+INDEX(Calib!$G$1:$G$13,$D173)+P173+S173-R173</f>
        <v/>
      </c>
      <c r="U173" s="26">
        <f>p_rk*W172+Y172*(V172-W172)</f>
        <v/>
      </c>
      <c r="V173" s="26">
        <f>V172+U173+T173</f>
        <v/>
      </c>
      <c r="W173" s="26">
        <f>INDEX(Calib!$U$1:$U$13,$D173)+(W172-INDEX(Calib!$U$1:$U$13,$D173))*(1-p_amort)+p_sh_conc*P173</f>
        <v/>
      </c>
      <c r="X173" s="26">
        <f>V173/O173</f>
        <v/>
      </c>
      <c r="Y173" s="26">
        <f>INDEX(Calib!$K$1:$K$13,$D173)+p_eta*MAX(0,X173-INDEX(Calib!$AA$1:$AA$13,$D173))</f>
        <v/>
      </c>
      <c r="Z173" s="26">
        <f>(1-INDEX(Calib!$H$1:$H$13,$D173))*(1-p_alpha)*M173+S173</f>
        <v/>
      </c>
      <c r="AA173" s="26">
        <f>(1-p_delta_g)*AA172*(1-p_eps_g*$E173)+INDEX(Calib!$E$1:$E$13,$D173)*(INDEX(Calib!$G$1:$G$13,$D173)+p_programme*$H173)</f>
        <v/>
      </c>
      <c r="AB173" s="26">
        <f>AB172*(1-p_eps_k*$E173)+p_lambda_k*(AD173-AB172*(1-p_eps_k*$E173))</f>
        <v/>
      </c>
      <c r="AC173" s="26">
        <f>INDEX(Calib!$R$1:$R$13,$D173)*$F173*(AA172*(1-p_eps_g*$E173))^INDEX(Calib!$Q$1:$Q$13,$D173)*(AB172*(1-p_eps_k*$E173))^p_alpha</f>
        <v/>
      </c>
      <c r="AD173" s="26">
        <f>p_alpha*(1-INDEX(Calib!$H$1:$H$13,$D173))*AC173/(INDEX(Calib!$K$1:$K$13,$D173)+p_delta)</f>
        <v/>
      </c>
      <c r="AE173" s="26">
        <f>AC173+$G173</f>
        <v/>
      </c>
      <c r="AF173" s="26">
        <f>p_programme*($H173+$I173)</f>
        <v/>
      </c>
      <c r="AG173" s="26">
        <f>INDEX(Calib!$I$1:$I$13,$D173)+p_sh_grant*AF173</f>
        <v/>
      </c>
      <c r="AH173" s="26">
        <f>INDEX(Calib!$H$1:$H$13,$D173)*AC173+p_gov_take*$G173+AG173+p_programme*p_pricing*$J173</f>
        <v/>
      </c>
      <c r="AI173" s="26">
        <f>INDEX(Calib!$Y$1:$Y$13,$D173)-INDEX(Calib!$Z$1:$Z$13,$D173)*(AL172/AE172-INDEX(Calib!$AA$1:$AA$13,$D173))</f>
        <v/>
      </c>
      <c r="AJ173" s="26">
        <f>INDEX(Calib!$X$1:$X$13,$D173)+INDEX(Calib!$G$1:$G$13,$D173)+AF173+AI173-AH173</f>
        <v/>
      </c>
      <c r="AK173" s="26">
        <f>p_rk*AM172+AO172*(AL172-AM172)</f>
        <v/>
      </c>
      <c r="AL173" s="26">
        <f>AL172+AK173+AJ173</f>
        <v/>
      </c>
      <c r="AM173" s="26">
        <f>INDEX(Calib!$U$1:$U$13,$D173)+(AM172-INDEX(Calib!$U$1:$U$13,$D173))*(1-p_amort)+p_sh_conc*AF173</f>
        <v/>
      </c>
      <c r="AN173" s="26">
        <f>AL173/AE173</f>
        <v/>
      </c>
      <c r="AO173" s="26">
        <f>INDEX(Calib!$K$1:$K$13,$D173)+p_eta*MAX(0,AN173-INDEX(Calib!$AA$1:$AA$13,$D173))</f>
        <v/>
      </c>
      <c r="AP173" s="26">
        <f>(1-INDEX(Calib!$H$1:$H$13,$D173))*(1-p_alpha)*AC173+AI173</f>
        <v/>
      </c>
      <c r="AQ173" s="26">
        <f>(AE173/O173-1)*100</f>
        <v/>
      </c>
      <c r="AR173" s="26">
        <f>(AE173/AE164-1)*100</f>
        <v/>
      </c>
      <c r="AS173" s="26">
        <f>(O173/O164-1)*100</f>
        <v/>
      </c>
      <c r="AT173" s="26">
        <f>(AN173-X173)*100</f>
        <v/>
      </c>
      <c r="AU173" s="26">
        <f>(AP173/Z173-1)*100</f>
        <v/>
      </c>
      <c r="AV173" s="26">
        <f>(AI173-S173)*100</f>
        <v/>
      </c>
    </row>
    <row r="174">
      <c r="A174" s="25" t="inlineStr">
        <is>
          <t>MOZ</t>
        </is>
      </c>
      <c r="B174" s="25" t="n">
        <v>2034</v>
      </c>
      <c r="C174" s="25" t="n">
        <v>10</v>
      </c>
      <c r="D174" s="25" t="n">
        <v>8</v>
      </c>
      <c r="E174" s="25">
        <f>IF(AND(p_dis_year&gt;0,B174=p_dis_year),1,0)</f>
        <v/>
      </c>
      <c r="F174" s="26">
        <f>IF(AND(p_dis_year&gt;0,B174&gt;=p_dis_year),1-p_eps_a*p_rho_a^(B174-p_dis_year),1)</f>
        <v/>
      </c>
      <c r="G174" s="26">
        <f>INDEX(Calib!$N$1:$N$13,$D174)*(1-p_rent_decline*MIN(1,C174/26))</f>
        <v/>
      </c>
      <c r="H174" s="26">
        <f>IF(C174=0,0,SUMIFS(dl_val,dl_iso,$A174,dl_ind,"pub_cap",dl_year,$B174)/100)</f>
        <v/>
      </c>
      <c r="I174" s="26">
        <f>IF(C174=0,0,SUMIFS(dl_val,dl_iso,$A174,dl_ind,"pub_spend",dl_year,$B174)/100)</f>
        <v/>
      </c>
      <c r="J174" s="26">
        <f>IF(C174=0,0,SUMIFS(dl_val,dl_iso,$A174,dl_ind,"rev",dl_year,$B174)/100)</f>
        <v/>
      </c>
      <c r="K174" s="26">
        <f>(1-p_delta_g)*K173*(1-p_eps_g*$E174)+INDEX(Calib!$E$1:$E$13,$D174)*(INDEX(Calib!$G$1:$G$13,$D174)+0*$H174)</f>
        <v/>
      </c>
      <c r="L174" s="26">
        <f>L173*(1-p_eps_k*$E174)+p_lambda_k*(N174-L173*(1-p_eps_k*$E174))</f>
        <v/>
      </c>
      <c r="M174" s="26">
        <f>INDEX(Calib!$R$1:$R$13,$D174)*$F174*(K173*(1-p_eps_g*$E174))^INDEX(Calib!$Q$1:$Q$13,$D174)*(L173*(1-p_eps_k*$E174))^p_alpha</f>
        <v/>
      </c>
      <c r="N174" s="26">
        <f>p_alpha*(1-INDEX(Calib!$H$1:$H$13,$D174))*M174/(INDEX(Calib!$K$1:$K$13,$D174)+p_delta)</f>
        <v/>
      </c>
      <c r="O174" s="26">
        <f>M174+$G174</f>
        <v/>
      </c>
      <c r="P174" s="26">
        <f>0*($H174+$I174)</f>
        <v/>
      </c>
      <c r="Q174" s="26">
        <f>INDEX(Calib!$I$1:$I$13,$D174)+p_sh_grant*P174</f>
        <v/>
      </c>
      <c r="R174" s="26">
        <f>INDEX(Calib!$H$1:$H$13,$D174)*M174+p_gov_take*$G174+Q174+0*p_pricing*$J174</f>
        <v/>
      </c>
      <c r="S174" s="26">
        <f>INDEX(Calib!$Y$1:$Y$13,$D174)-INDEX(Calib!$Z$1:$Z$13,$D174)*(V173/O173-INDEX(Calib!$AA$1:$AA$13,$D174))</f>
        <v/>
      </c>
      <c r="T174" s="26">
        <f>INDEX(Calib!$X$1:$X$13,$D174)+INDEX(Calib!$G$1:$G$13,$D174)+P174+S174-R174</f>
        <v/>
      </c>
      <c r="U174" s="26">
        <f>p_rk*W173+Y173*(V173-W173)</f>
        <v/>
      </c>
      <c r="V174" s="26">
        <f>V173+U174+T174</f>
        <v/>
      </c>
      <c r="W174" s="26">
        <f>INDEX(Calib!$U$1:$U$13,$D174)+(W173-INDEX(Calib!$U$1:$U$13,$D174))*(1-p_amort)+p_sh_conc*P174</f>
        <v/>
      </c>
      <c r="X174" s="26">
        <f>V174/O174</f>
        <v/>
      </c>
      <c r="Y174" s="26">
        <f>INDEX(Calib!$K$1:$K$13,$D174)+p_eta*MAX(0,X174-INDEX(Calib!$AA$1:$AA$13,$D174))</f>
        <v/>
      </c>
      <c r="Z174" s="26">
        <f>(1-INDEX(Calib!$H$1:$H$13,$D174))*(1-p_alpha)*M174+S174</f>
        <v/>
      </c>
      <c r="AA174" s="26">
        <f>(1-p_delta_g)*AA173*(1-p_eps_g*$E174)+INDEX(Calib!$E$1:$E$13,$D174)*(INDEX(Calib!$G$1:$G$13,$D174)+p_programme*$H174)</f>
        <v/>
      </c>
      <c r="AB174" s="26">
        <f>AB173*(1-p_eps_k*$E174)+p_lambda_k*(AD174-AB173*(1-p_eps_k*$E174))</f>
        <v/>
      </c>
      <c r="AC174" s="26">
        <f>INDEX(Calib!$R$1:$R$13,$D174)*$F174*(AA173*(1-p_eps_g*$E174))^INDEX(Calib!$Q$1:$Q$13,$D174)*(AB173*(1-p_eps_k*$E174))^p_alpha</f>
        <v/>
      </c>
      <c r="AD174" s="26">
        <f>p_alpha*(1-INDEX(Calib!$H$1:$H$13,$D174))*AC174/(INDEX(Calib!$K$1:$K$13,$D174)+p_delta)</f>
        <v/>
      </c>
      <c r="AE174" s="26">
        <f>AC174+$G174</f>
        <v/>
      </c>
      <c r="AF174" s="26">
        <f>p_programme*($H174+$I174)</f>
        <v/>
      </c>
      <c r="AG174" s="26">
        <f>INDEX(Calib!$I$1:$I$13,$D174)+p_sh_grant*AF174</f>
        <v/>
      </c>
      <c r="AH174" s="26">
        <f>INDEX(Calib!$H$1:$H$13,$D174)*AC174+p_gov_take*$G174+AG174+p_programme*p_pricing*$J174</f>
        <v/>
      </c>
      <c r="AI174" s="26">
        <f>INDEX(Calib!$Y$1:$Y$13,$D174)-INDEX(Calib!$Z$1:$Z$13,$D174)*(AL173/AE173-INDEX(Calib!$AA$1:$AA$13,$D174))</f>
        <v/>
      </c>
      <c r="AJ174" s="26">
        <f>INDEX(Calib!$X$1:$X$13,$D174)+INDEX(Calib!$G$1:$G$13,$D174)+AF174+AI174-AH174</f>
        <v/>
      </c>
      <c r="AK174" s="26">
        <f>p_rk*AM173+AO173*(AL173-AM173)</f>
        <v/>
      </c>
      <c r="AL174" s="26">
        <f>AL173+AK174+AJ174</f>
        <v/>
      </c>
      <c r="AM174" s="26">
        <f>INDEX(Calib!$U$1:$U$13,$D174)+(AM173-INDEX(Calib!$U$1:$U$13,$D174))*(1-p_amort)+p_sh_conc*AF174</f>
        <v/>
      </c>
      <c r="AN174" s="26">
        <f>AL174/AE174</f>
        <v/>
      </c>
      <c r="AO174" s="26">
        <f>INDEX(Calib!$K$1:$K$13,$D174)+p_eta*MAX(0,AN174-INDEX(Calib!$AA$1:$AA$13,$D174))</f>
        <v/>
      </c>
      <c r="AP174" s="26">
        <f>(1-INDEX(Calib!$H$1:$H$13,$D174))*(1-p_alpha)*AC174+AI174</f>
        <v/>
      </c>
      <c r="AQ174" s="26">
        <f>(AE174/O174-1)*100</f>
        <v/>
      </c>
      <c r="AR174" s="26">
        <f>(AE174/AE164-1)*100</f>
        <v/>
      </c>
      <c r="AS174" s="26">
        <f>(O174/O164-1)*100</f>
        <v/>
      </c>
      <c r="AT174" s="26">
        <f>(AN174-X174)*100</f>
        <v/>
      </c>
      <c r="AU174" s="26">
        <f>(AP174/Z174-1)*100</f>
        <v/>
      </c>
      <c r="AV174" s="26">
        <f>(AI174-S174)*100</f>
        <v/>
      </c>
    </row>
    <row r="175">
      <c r="A175" s="25" t="inlineStr">
        <is>
          <t>MOZ</t>
        </is>
      </c>
      <c r="B175" s="25" t="n">
        <v>2035</v>
      </c>
      <c r="C175" s="25" t="n">
        <v>11</v>
      </c>
      <c r="D175" s="25" t="n">
        <v>8</v>
      </c>
      <c r="E175" s="25">
        <f>IF(AND(p_dis_year&gt;0,B175=p_dis_year),1,0)</f>
        <v/>
      </c>
      <c r="F175" s="26">
        <f>IF(AND(p_dis_year&gt;0,B175&gt;=p_dis_year),1-p_eps_a*p_rho_a^(B175-p_dis_year),1)</f>
        <v/>
      </c>
      <c r="G175" s="26">
        <f>INDEX(Calib!$N$1:$N$13,$D175)*(1-p_rent_decline*MIN(1,C175/26))</f>
        <v/>
      </c>
      <c r="H175" s="26">
        <f>IF(C175=0,0,SUMIFS(dl_val,dl_iso,$A175,dl_ind,"pub_cap",dl_year,$B175)/100)</f>
        <v/>
      </c>
      <c r="I175" s="26">
        <f>IF(C175=0,0,SUMIFS(dl_val,dl_iso,$A175,dl_ind,"pub_spend",dl_year,$B175)/100)</f>
        <v/>
      </c>
      <c r="J175" s="26">
        <f>IF(C175=0,0,SUMIFS(dl_val,dl_iso,$A175,dl_ind,"rev",dl_year,$B175)/100)</f>
        <v/>
      </c>
      <c r="K175" s="26">
        <f>(1-p_delta_g)*K174*(1-p_eps_g*$E175)+INDEX(Calib!$E$1:$E$13,$D175)*(INDEX(Calib!$G$1:$G$13,$D175)+0*$H175)</f>
        <v/>
      </c>
      <c r="L175" s="26">
        <f>L174*(1-p_eps_k*$E175)+p_lambda_k*(N175-L174*(1-p_eps_k*$E175))</f>
        <v/>
      </c>
      <c r="M175" s="26">
        <f>INDEX(Calib!$R$1:$R$13,$D175)*$F175*(K174*(1-p_eps_g*$E175))^INDEX(Calib!$Q$1:$Q$13,$D175)*(L174*(1-p_eps_k*$E175))^p_alpha</f>
        <v/>
      </c>
      <c r="N175" s="26">
        <f>p_alpha*(1-INDEX(Calib!$H$1:$H$13,$D175))*M175/(INDEX(Calib!$K$1:$K$13,$D175)+p_delta)</f>
        <v/>
      </c>
      <c r="O175" s="26">
        <f>M175+$G175</f>
        <v/>
      </c>
      <c r="P175" s="26">
        <f>0*($H175+$I175)</f>
        <v/>
      </c>
      <c r="Q175" s="26">
        <f>INDEX(Calib!$I$1:$I$13,$D175)+p_sh_grant*P175</f>
        <v/>
      </c>
      <c r="R175" s="26">
        <f>INDEX(Calib!$H$1:$H$13,$D175)*M175+p_gov_take*$G175+Q175+0*p_pricing*$J175</f>
        <v/>
      </c>
      <c r="S175" s="26">
        <f>INDEX(Calib!$Y$1:$Y$13,$D175)-INDEX(Calib!$Z$1:$Z$13,$D175)*(V174/O174-INDEX(Calib!$AA$1:$AA$13,$D175))</f>
        <v/>
      </c>
      <c r="T175" s="26">
        <f>INDEX(Calib!$X$1:$X$13,$D175)+INDEX(Calib!$G$1:$G$13,$D175)+P175+S175-R175</f>
        <v/>
      </c>
      <c r="U175" s="26">
        <f>p_rk*W174+Y174*(V174-W174)</f>
        <v/>
      </c>
      <c r="V175" s="26">
        <f>V174+U175+T175</f>
        <v/>
      </c>
      <c r="W175" s="26">
        <f>INDEX(Calib!$U$1:$U$13,$D175)+(W174-INDEX(Calib!$U$1:$U$13,$D175))*(1-p_amort)+p_sh_conc*P175</f>
        <v/>
      </c>
      <c r="X175" s="26">
        <f>V175/O175</f>
        <v/>
      </c>
      <c r="Y175" s="26">
        <f>INDEX(Calib!$K$1:$K$13,$D175)+p_eta*MAX(0,X175-INDEX(Calib!$AA$1:$AA$13,$D175))</f>
        <v/>
      </c>
      <c r="Z175" s="26">
        <f>(1-INDEX(Calib!$H$1:$H$13,$D175))*(1-p_alpha)*M175+S175</f>
        <v/>
      </c>
      <c r="AA175" s="26">
        <f>(1-p_delta_g)*AA174*(1-p_eps_g*$E175)+INDEX(Calib!$E$1:$E$13,$D175)*(INDEX(Calib!$G$1:$G$13,$D175)+p_programme*$H175)</f>
        <v/>
      </c>
      <c r="AB175" s="26">
        <f>AB174*(1-p_eps_k*$E175)+p_lambda_k*(AD175-AB174*(1-p_eps_k*$E175))</f>
        <v/>
      </c>
      <c r="AC175" s="26">
        <f>INDEX(Calib!$R$1:$R$13,$D175)*$F175*(AA174*(1-p_eps_g*$E175))^INDEX(Calib!$Q$1:$Q$13,$D175)*(AB174*(1-p_eps_k*$E175))^p_alpha</f>
        <v/>
      </c>
      <c r="AD175" s="26">
        <f>p_alpha*(1-INDEX(Calib!$H$1:$H$13,$D175))*AC175/(INDEX(Calib!$K$1:$K$13,$D175)+p_delta)</f>
        <v/>
      </c>
      <c r="AE175" s="26">
        <f>AC175+$G175</f>
        <v/>
      </c>
      <c r="AF175" s="26">
        <f>p_programme*($H175+$I175)</f>
        <v/>
      </c>
      <c r="AG175" s="26">
        <f>INDEX(Calib!$I$1:$I$13,$D175)+p_sh_grant*AF175</f>
        <v/>
      </c>
      <c r="AH175" s="26">
        <f>INDEX(Calib!$H$1:$H$13,$D175)*AC175+p_gov_take*$G175+AG175+p_programme*p_pricing*$J175</f>
        <v/>
      </c>
      <c r="AI175" s="26">
        <f>INDEX(Calib!$Y$1:$Y$13,$D175)-INDEX(Calib!$Z$1:$Z$13,$D175)*(AL174/AE174-INDEX(Calib!$AA$1:$AA$13,$D175))</f>
        <v/>
      </c>
      <c r="AJ175" s="26">
        <f>INDEX(Calib!$X$1:$X$13,$D175)+INDEX(Calib!$G$1:$G$13,$D175)+AF175+AI175-AH175</f>
        <v/>
      </c>
      <c r="AK175" s="26">
        <f>p_rk*AM174+AO174*(AL174-AM174)</f>
        <v/>
      </c>
      <c r="AL175" s="26">
        <f>AL174+AK175+AJ175</f>
        <v/>
      </c>
      <c r="AM175" s="26">
        <f>INDEX(Calib!$U$1:$U$13,$D175)+(AM174-INDEX(Calib!$U$1:$U$13,$D175))*(1-p_amort)+p_sh_conc*AF175</f>
        <v/>
      </c>
      <c r="AN175" s="26">
        <f>AL175/AE175</f>
        <v/>
      </c>
      <c r="AO175" s="26">
        <f>INDEX(Calib!$K$1:$K$13,$D175)+p_eta*MAX(0,AN175-INDEX(Calib!$AA$1:$AA$13,$D175))</f>
        <v/>
      </c>
      <c r="AP175" s="26">
        <f>(1-INDEX(Calib!$H$1:$H$13,$D175))*(1-p_alpha)*AC175+AI175</f>
        <v/>
      </c>
      <c r="AQ175" s="26">
        <f>(AE175/O175-1)*100</f>
        <v/>
      </c>
      <c r="AR175" s="26">
        <f>(AE175/AE164-1)*100</f>
        <v/>
      </c>
      <c r="AS175" s="26">
        <f>(O175/O164-1)*100</f>
        <v/>
      </c>
      <c r="AT175" s="26">
        <f>(AN175-X175)*100</f>
        <v/>
      </c>
      <c r="AU175" s="26">
        <f>(AP175/Z175-1)*100</f>
        <v/>
      </c>
      <c r="AV175" s="26">
        <f>(AI175-S175)*100</f>
        <v/>
      </c>
    </row>
    <row r="176">
      <c r="A176" s="25" t="inlineStr">
        <is>
          <t>MOZ</t>
        </is>
      </c>
      <c r="B176" s="25" t="n">
        <v>2036</v>
      </c>
      <c r="C176" s="25" t="n">
        <v>12</v>
      </c>
      <c r="D176" s="25" t="n">
        <v>8</v>
      </c>
      <c r="E176" s="25">
        <f>IF(AND(p_dis_year&gt;0,B176=p_dis_year),1,0)</f>
        <v/>
      </c>
      <c r="F176" s="26">
        <f>IF(AND(p_dis_year&gt;0,B176&gt;=p_dis_year),1-p_eps_a*p_rho_a^(B176-p_dis_year),1)</f>
        <v/>
      </c>
      <c r="G176" s="26">
        <f>INDEX(Calib!$N$1:$N$13,$D176)*(1-p_rent_decline*MIN(1,C176/26))</f>
        <v/>
      </c>
      <c r="H176" s="26">
        <f>IF(C176=0,0,SUMIFS(dl_val,dl_iso,$A176,dl_ind,"pub_cap",dl_year,$B176)/100)</f>
        <v/>
      </c>
      <c r="I176" s="26">
        <f>IF(C176=0,0,SUMIFS(dl_val,dl_iso,$A176,dl_ind,"pub_spend",dl_year,$B176)/100)</f>
        <v/>
      </c>
      <c r="J176" s="26">
        <f>IF(C176=0,0,SUMIFS(dl_val,dl_iso,$A176,dl_ind,"rev",dl_year,$B176)/100)</f>
        <v/>
      </c>
      <c r="K176" s="26">
        <f>(1-p_delta_g)*K175*(1-p_eps_g*$E176)+INDEX(Calib!$E$1:$E$13,$D176)*(INDEX(Calib!$G$1:$G$13,$D176)+0*$H176)</f>
        <v/>
      </c>
      <c r="L176" s="26">
        <f>L175*(1-p_eps_k*$E176)+p_lambda_k*(N176-L175*(1-p_eps_k*$E176))</f>
        <v/>
      </c>
      <c r="M176" s="26">
        <f>INDEX(Calib!$R$1:$R$13,$D176)*$F176*(K175*(1-p_eps_g*$E176))^INDEX(Calib!$Q$1:$Q$13,$D176)*(L175*(1-p_eps_k*$E176))^p_alpha</f>
        <v/>
      </c>
      <c r="N176" s="26">
        <f>p_alpha*(1-INDEX(Calib!$H$1:$H$13,$D176))*M176/(INDEX(Calib!$K$1:$K$13,$D176)+p_delta)</f>
        <v/>
      </c>
      <c r="O176" s="26">
        <f>M176+$G176</f>
        <v/>
      </c>
      <c r="P176" s="26">
        <f>0*($H176+$I176)</f>
        <v/>
      </c>
      <c r="Q176" s="26">
        <f>INDEX(Calib!$I$1:$I$13,$D176)+p_sh_grant*P176</f>
        <v/>
      </c>
      <c r="R176" s="26">
        <f>INDEX(Calib!$H$1:$H$13,$D176)*M176+p_gov_take*$G176+Q176+0*p_pricing*$J176</f>
        <v/>
      </c>
      <c r="S176" s="26">
        <f>INDEX(Calib!$Y$1:$Y$13,$D176)-INDEX(Calib!$Z$1:$Z$13,$D176)*(V175/O175-INDEX(Calib!$AA$1:$AA$13,$D176))</f>
        <v/>
      </c>
      <c r="T176" s="26">
        <f>INDEX(Calib!$X$1:$X$13,$D176)+INDEX(Calib!$G$1:$G$13,$D176)+P176+S176-R176</f>
        <v/>
      </c>
      <c r="U176" s="26">
        <f>p_rk*W175+Y175*(V175-W175)</f>
        <v/>
      </c>
      <c r="V176" s="26">
        <f>V175+U176+T176</f>
        <v/>
      </c>
      <c r="W176" s="26">
        <f>INDEX(Calib!$U$1:$U$13,$D176)+(W175-INDEX(Calib!$U$1:$U$13,$D176))*(1-p_amort)+p_sh_conc*P176</f>
        <v/>
      </c>
      <c r="X176" s="26">
        <f>V176/O176</f>
        <v/>
      </c>
      <c r="Y176" s="26">
        <f>INDEX(Calib!$K$1:$K$13,$D176)+p_eta*MAX(0,X176-INDEX(Calib!$AA$1:$AA$13,$D176))</f>
        <v/>
      </c>
      <c r="Z176" s="26">
        <f>(1-INDEX(Calib!$H$1:$H$13,$D176))*(1-p_alpha)*M176+S176</f>
        <v/>
      </c>
      <c r="AA176" s="26">
        <f>(1-p_delta_g)*AA175*(1-p_eps_g*$E176)+INDEX(Calib!$E$1:$E$13,$D176)*(INDEX(Calib!$G$1:$G$13,$D176)+p_programme*$H176)</f>
        <v/>
      </c>
      <c r="AB176" s="26">
        <f>AB175*(1-p_eps_k*$E176)+p_lambda_k*(AD176-AB175*(1-p_eps_k*$E176))</f>
        <v/>
      </c>
      <c r="AC176" s="26">
        <f>INDEX(Calib!$R$1:$R$13,$D176)*$F176*(AA175*(1-p_eps_g*$E176))^INDEX(Calib!$Q$1:$Q$13,$D176)*(AB175*(1-p_eps_k*$E176))^p_alpha</f>
        <v/>
      </c>
      <c r="AD176" s="26">
        <f>p_alpha*(1-INDEX(Calib!$H$1:$H$13,$D176))*AC176/(INDEX(Calib!$K$1:$K$13,$D176)+p_delta)</f>
        <v/>
      </c>
      <c r="AE176" s="26">
        <f>AC176+$G176</f>
        <v/>
      </c>
      <c r="AF176" s="26">
        <f>p_programme*($H176+$I176)</f>
        <v/>
      </c>
      <c r="AG176" s="26">
        <f>INDEX(Calib!$I$1:$I$13,$D176)+p_sh_grant*AF176</f>
        <v/>
      </c>
      <c r="AH176" s="26">
        <f>INDEX(Calib!$H$1:$H$13,$D176)*AC176+p_gov_take*$G176+AG176+p_programme*p_pricing*$J176</f>
        <v/>
      </c>
      <c r="AI176" s="26">
        <f>INDEX(Calib!$Y$1:$Y$13,$D176)-INDEX(Calib!$Z$1:$Z$13,$D176)*(AL175/AE175-INDEX(Calib!$AA$1:$AA$13,$D176))</f>
        <v/>
      </c>
      <c r="AJ176" s="26">
        <f>INDEX(Calib!$X$1:$X$13,$D176)+INDEX(Calib!$G$1:$G$13,$D176)+AF176+AI176-AH176</f>
        <v/>
      </c>
      <c r="AK176" s="26">
        <f>p_rk*AM175+AO175*(AL175-AM175)</f>
        <v/>
      </c>
      <c r="AL176" s="26">
        <f>AL175+AK176+AJ176</f>
        <v/>
      </c>
      <c r="AM176" s="26">
        <f>INDEX(Calib!$U$1:$U$13,$D176)+(AM175-INDEX(Calib!$U$1:$U$13,$D176))*(1-p_amort)+p_sh_conc*AF176</f>
        <v/>
      </c>
      <c r="AN176" s="26">
        <f>AL176/AE176</f>
        <v/>
      </c>
      <c r="AO176" s="26">
        <f>INDEX(Calib!$K$1:$K$13,$D176)+p_eta*MAX(0,AN176-INDEX(Calib!$AA$1:$AA$13,$D176))</f>
        <v/>
      </c>
      <c r="AP176" s="26">
        <f>(1-INDEX(Calib!$H$1:$H$13,$D176))*(1-p_alpha)*AC176+AI176</f>
        <v/>
      </c>
      <c r="AQ176" s="26">
        <f>(AE176/O176-1)*100</f>
        <v/>
      </c>
      <c r="AR176" s="26">
        <f>(AE176/AE164-1)*100</f>
        <v/>
      </c>
      <c r="AS176" s="26">
        <f>(O176/O164-1)*100</f>
        <v/>
      </c>
      <c r="AT176" s="26">
        <f>(AN176-X176)*100</f>
        <v/>
      </c>
      <c r="AU176" s="26">
        <f>(AP176/Z176-1)*100</f>
        <v/>
      </c>
      <c r="AV176" s="26">
        <f>(AI176-S176)*100</f>
        <v/>
      </c>
    </row>
    <row r="177">
      <c r="A177" s="25" t="inlineStr">
        <is>
          <t>MOZ</t>
        </is>
      </c>
      <c r="B177" s="25" t="n">
        <v>2037</v>
      </c>
      <c r="C177" s="25" t="n">
        <v>13</v>
      </c>
      <c r="D177" s="25" t="n">
        <v>8</v>
      </c>
      <c r="E177" s="25">
        <f>IF(AND(p_dis_year&gt;0,B177=p_dis_year),1,0)</f>
        <v/>
      </c>
      <c r="F177" s="26">
        <f>IF(AND(p_dis_year&gt;0,B177&gt;=p_dis_year),1-p_eps_a*p_rho_a^(B177-p_dis_year),1)</f>
        <v/>
      </c>
      <c r="G177" s="26">
        <f>INDEX(Calib!$N$1:$N$13,$D177)*(1-p_rent_decline*MIN(1,C177/26))</f>
        <v/>
      </c>
      <c r="H177" s="26">
        <f>IF(C177=0,0,SUMIFS(dl_val,dl_iso,$A177,dl_ind,"pub_cap",dl_year,$B177)/100)</f>
        <v/>
      </c>
      <c r="I177" s="26">
        <f>IF(C177=0,0,SUMIFS(dl_val,dl_iso,$A177,dl_ind,"pub_spend",dl_year,$B177)/100)</f>
        <v/>
      </c>
      <c r="J177" s="26">
        <f>IF(C177=0,0,SUMIFS(dl_val,dl_iso,$A177,dl_ind,"rev",dl_year,$B177)/100)</f>
        <v/>
      </c>
      <c r="K177" s="26">
        <f>(1-p_delta_g)*K176*(1-p_eps_g*$E177)+INDEX(Calib!$E$1:$E$13,$D177)*(INDEX(Calib!$G$1:$G$13,$D177)+0*$H177)</f>
        <v/>
      </c>
      <c r="L177" s="26">
        <f>L176*(1-p_eps_k*$E177)+p_lambda_k*(N177-L176*(1-p_eps_k*$E177))</f>
        <v/>
      </c>
      <c r="M177" s="26">
        <f>INDEX(Calib!$R$1:$R$13,$D177)*$F177*(K176*(1-p_eps_g*$E177))^INDEX(Calib!$Q$1:$Q$13,$D177)*(L176*(1-p_eps_k*$E177))^p_alpha</f>
        <v/>
      </c>
      <c r="N177" s="26">
        <f>p_alpha*(1-INDEX(Calib!$H$1:$H$13,$D177))*M177/(INDEX(Calib!$K$1:$K$13,$D177)+p_delta)</f>
        <v/>
      </c>
      <c r="O177" s="26">
        <f>M177+$G177</f>
        <v/>
      </c>
      <c r="P177" s="26">
        <f>0*($H177+$I177)</f>
        <v/>
      </c>
      <c r="Q177" s="26">
        <f>INDEX(Calib!$I$1:$I$13,$D177)+p_sh_grant*P177</f>
        <v/>
      </c>
      <c r="R177" s="26">
        <f>INDEX(Calib!$H$1:$H$13,$D177)*M177+p_gov_take*$G177+Q177+0*p_pricing*$J177</f>
        <v/>
      </c>
      <c r="S177" s="26">
        <f>INDEX(Calib!$Y$1:$Y$13,$D177)-INDEX(Calib!$Z$1:$Z$13,$D177)*(V176/O176-INDEX(Calib!$AA$1:$AA$13,$D177))</f>
        <v/>
      </c>
      <c r="T177" s="26">
        <f>INDEX(Calib!$X$1:$X$13,$D177)+INDEX(Calib!$G$1:$G$13,$D177)+P177+S177-R177</f>
        <v/>
      </c>
      <c r="U177" s="26">
        <f>p_rk*W176+Y176*(V176-W176)</f>
        <v/>
      </c>
      <c r="V177" s="26">
        <f>V176+U177+T177</f>
        <v/>
      </c>
      <c r="W177" s="26">
        <f>INDEX(Calib!$U$1:$U$13,$D177)+(W176-INDEX(Calib!$U$1:$U$13,$D177))*(1-p_amort)+p_sh_conc*P177</f>
        <v/>
      </c>
      <c r="X177" s="26">
        <f>V177/O177</f>
        <v/>
      </c>
      <c r="Y177" s="26">
        <f>INDEX(Calib!$K$1:$K$13,$D177)+p_eta*MAX(0,X177-INDEX(Calib!$AA$1:$AA$13,$D177))</f>
        <v/>
      </c>
      <c r="Z177" s="26">
        <f>(1-INDEX(Calib!$H$1:$H$13,$D177))*(1-p_alpha)*M177+S177</f>
        <v/>
      </c>
      <c r="AA177" s="26">
        <f>(1-p_delta_g)*AA176*(1-p_eps_g*$E177)+INDEX(Calib!$E$1:$E$13,$D177)*(INDEX(Calib!$G$1:$G$13,$D177)+p_programme*$H177)</f>
        <v/>
      </c>
      <c r="AB177" s="26">
        <f>AB176*(1-p_eps_k*$E177)+p_lambda_k*(AD177-AB176*(1-p_eps_k*$E177))</f>
        <v/>
      </c>
      <c r="AC177" s="26">
        <f>INDEX(Calib!$R$1:$R$13,$D177)*$F177*(AA176*(1-p_eps_g*$E177))^INDEX(Calib!$Q$1:$Q$13,$D177)*(AB176*(1-p_eps_k*$E177))^p_alpha</f>
        <v/>
      </c>
      <c r="AD177" s="26">
        <f>p_alpha*(1-INDEX(Calib!$H$1:$H$13,$D177))*AC177/(INDEX(Calib!$K$1:$K$13,$D177)+p_delta)</f>
        <v/>
      </c>
      <c r="AE177" s="26">
        <f>AC177+$G177</f>
        <v/>
      </c>
      <c r="AF177" s="26">
        <f>p_programme*($H177+$I177)</f>
        <v/>
      </c>
      <c r="AG177" s="26">
        <f>INDEX(Calib!$I$1:$I$13,$D177)+p_sh_grant*AF177</f>
        <v/>
      </c>
      <c r="AH177" s="26">
        <f>INDEX(Calib!$H$1:$H$13,$D177)*AC177+p_gov_take*$G177+AG177+p_programme*p_pricing*$J177</f>
        <v/>
      </c>
      <c r="AI177" s="26">
        <f>INDEX(Calib!$Y$1:$Y$13,$D177)-INDEX(Calib!$Z$1:$Z$13,$D177)*(AL176/AE176-INDEX(Calib!$AA$1:$AA$13,$D177))</f>
        <v/>
      </c>
      <c r="AJ177" s="26">
        <f>INDEX(Calib!$X$1:$X$13,$D177)+INDEX(Calib!$G$1:$G$13,$D177)+AF177+AI177-AH177</f>
        <v/>
      </c>
      <c r="AK177" s="26">
        <f>p_rk*AM176+AO176*(AL176-AM176)</f>
        <v/>
      </c>
      <c r="AL177" s="26">
        <f>AL176+AK177+AJ177</f>
        <v/>
      </c>
      <c r="AM177" s="26">
        <f>INDEX(Calib!$U$1:$U$13,$D177)+(AM176-INDEX(Calib!$U$1:$U$13,$D177))*(1-p_amort)+p_sh_conc*AF177</f>
        <v/>
      </c>
      <c r="AN177" s="26">
        <f>AL177/AE177</f>
        <v/>
      </c>
      <c r="AO177" s="26">
        <f>INDEX(Calib!$K$1:$K$13,$D177)+p_eta*MAX(0,AN177-INDEX(Calib!$AA$1:$AA$13,$D177))</f>
        <v/>
      </c>
      <c r="AP177" s="26">
        <f>(1-INDEX(Calib!$H$1:$H$13,$D177))*(1-p_alpha)*AC177+AI177</f>
        <v/>
      </c>
      <c r="AQ177" s="26">
        <f>(AE177/O177-1)*100</f>
        <v/>
      </c>
      <c r="AR177" s="26">
        <f>(AE177/AE164-1)*100</f>
        <v/>
      </c>
      <c r="AS177" s="26">
        <f>(O177/O164-1)*100</f>
        <v/>
      </c>
      <c r="AT177" s="26">
        <f>(AN177-X177)*100</f>
        <v/>
      </c>
      <c r="AU177" s="26">
        <f>(AP177/Z177-1)*100</f>
        <v/>
      </c>
      <c r="AV177" s="26">
        <f>(AI177-S177)*100</f>
        <v/>
      </c>
    </row>
    <row r="178">
      <c r="A178" s="25" t="inlineStr">
        <is>
          <t>MOZ</t>
        </is>
      </c>
      <c r="B178" s="25" t="n">
        <v>2038</v>
      </c>
      <c r="C178" s="25" t="n">
        <v>14</v>
      </c>
      <c r="D178" s="25" t="n">
        <v>8</v>
      </c>
      <c r="E178" s="25">
        <f>IF(AND(p_dis_year&gt;0,B178=p_dis_year),1,0)</f>
        <v/>
      </c>
      <c r="F178" s="26">
        <f>IF(AND(p_dis_year&gt;0,B178&gt;=p_dis_year),1-p_eps_a*p_rho_a^(B178-p_dis_year),1)</f>
        <v/>
      </c>
      <c r="G178" s="26">
        <f>INDEX(Calib!$N$1:$N$13,$D178)*(1-p_rent_decline*MIN(1,C178/26))</f>
        <v/>
      </c>
      <c r="H178" s="26">
        <f>IF(C178=0,0,SUMIFS(dl_val,dl_iso,$A178,dl_ind,"pub_cap",dl_year,$B178)/100)</f>
        <v/>
      </c>
      <c r="I178" s="26">
        <f>IF(C178=0,0,SUMIFS(dl_val,dl_iso,$A178,dl_ind,"pub_spend",dl_year,$B178)/100)</f>
        <v/>
      </c>
      <c r="J178" s="26">
        <f>IF(C178=0,0,SUMIFS(dl_val,dl_iso,$A178,dl_ind,"rev",dl_year,$B178)/100)</f>
        <v/>
      </c>
      <c r="K178" s="26">
        <f>(1-p_delta_g)*K177*(1-p_eps_g*$E178)+INDEX(Calib!$E$1:$E$13,$D178)*(INDEX(Calib!$G$1:$G$13,$D178)+0*$H178)</f>
        <v/>
      </c>
      <c r="L178" s="26">
        <f>L177*(1-p_eps_k*$E178)+p_lambda_k*(N178-L177*(1-p_eps_k*$E178))</f>
        <v/>
      </c>
      <c r="M178" s="26">
        <f>INDEX(Calib!$R$1:$R$13,$D178)*$F178*(K177*(1-p_eps_g*$E178))^INDEX(Calib!$Q$1:$Q$13,$D178)*(L177*(1-p_eps_k*$E178))^p_alpha</f>
        <v/>
      </c>
      <c r="N178" s="26">
        <f>p_alpha*(1-INDEX(Calib!$H$1:$H$13,$D178))*M178/(INDEX(Calib!$K$1:$K$13,$D178)+p_delta)</f>
        <v/>
      </c>
      <c r="O178" s="26">
        <f>M178+$G178</f>
        <v/>
      </c>
      <c r="P178" s="26">
        <f>0*($H178+$I178)</f>
        <v/>
      </c>
      <c r="Q178" s="26">
        <f>INDEX(Calib!$I$1:$I$13,$D178)+p_sh_grant*P178</f>
        <v/>
      </c>
      <c r="R178" s="26">
        <f>INDEX(Calib!$H$1:$H$13,$D178)*M178+p_gov_take*$G178+Q178+0*p_pricing*$J178</f>
        <v/>
      </c>
      <c r="S178" s="26">
        <f>INDEX(Calib!$Y$1:$Y$13,$D178)-INDEX(Calib!$Z$1:$Z$13,$D178)*(V177/O177-INDEX(Calib!$AA$1:$AA$13,$D178))</f>
        <v/>
      </c>
      <c r="T178" s="26">
        <f>INDEX(Calib!$X$1:$X$13,$D178)+INDEX(Calib!$G$1:$G$13,$D178)+P178+S178-R178</f>
        <v/>
      </c>
      <c r="U178" s="26">
        <f>p_rk*W177+Y177*(V177-W177)</f>
        <v/>
      </c>
      <c r="V178" s="26">
        <f>V177+U178+T178</f>
        <v/>
      </c>
      <c r="W178" s="26">
        <f>INDEX(Calib!$U$1:$U$13,$D178)+(W177-INDEX(Calib!$U$1:$U$13,$D178))*(1-p_amort)+p_sh_conc*P178</f>
        <v/>
      </c>
      <c r="X178" s="26">
        <f>V178/O178</f>
        <v/>
      </c>
      <c r="Y178" s="26">
        <f>INDEX(Calib!$K$1:$K$13,$D178)+p_eta*MAX(0,X178-INDEX(Calib!$AA$1:$AA$13,$D178))</f>
        <v/>
      </c>
      <c r="Z178" s="26">
        <f>(1-INDEX(Calib!$H$1:$H$13,$D178))*(1-p_alpha)*M178+S178</f>
        <v/>
      </c>
      <c r="AA178" s="26">
        <f>(1-p_delta_g)*AA177*(1-p_eps_g*$E178)+INDEX(Calib!$E$1:$E$13,$D178)*(INDEX(Calib!$G$1:$G$13,$D178)+p_programme*$H178)</f>
        <v/>
      </c>
      <c r="AB178" s="26">
        <f>AB177*(1-p_eps_k*$E178)+p_lambda_k*(AD178-AB177*(1-p_eps_k*$E178))</f>
        <v/>
      </c>
      <c r="AC178" s="26">
        <f>INDEX(Calib!$R$1:$R$13,$D178)*$F178*(AA177*(1-p_eps_g*$E178))^INDEX(Calib!$Q$1:$Q$13,$D178)*(AB177*(1-p_eps_k*$E178))^p_alpha</f>
        <v/>
      </c>
      <c r="AD178" s="26">
        <f>p_alpha*(1-INDEX(Calib!$H$1:$H$13,$D178))*AC178/(INDEX(Calib!$K$1:$K$13,$D178)+p_delta)</f>
        <v/>
      </c>
      <c r="AE178" s="26">
        <f>AC178+$G178</f>
        <v/>
      </c>
      <c r="AF178" s="26">
        <f>p_programme*($H178+$I178)</f>
        <v/>
      </c>
      <c r="AG178" s="26">
        <f>INDEX(Calib!$I$1:$I$13,$D178)+p_sh_grant*AF178</f>
        <v/>
      </c>
      <c r="AH178" s="26">
        <f>INDEX(Calib!$H$1:$H$13,$D178)*AC178+p_gov_take*$G178+AG178+p_programme*p_pricing*$J178</f>
        <v/>
      </c>
      <c r="AI178" s="26">
        <f>INDEX(Calib!$Y$1:$Y$13,$D178)-INDEX(Calib!$Z$1:$Z$13,$D178)*(AL177/AE177-INDEX(Calib!$AA$1:$AA$13,$D178))</f>
        <v/>
      </c>
      <c r="AJ178" s="26">
        <f>INDEX(Calib!$X$1:$X$13,$D178)+INDEX(Calib!$G$1:$G$13,$D178)+AF178+AI178-AH178</f>
        <v/>
      </c>
      <c r="AK178" s="26">
        <f>p_rk*AM177+AO177*(AL177-AM177)</f>
        <v/>
      </c>
      <c r="AL178" s="26">
        <f>AL177+AK178+AJ178</f>
        <v/>
      </c>
      <c r="AM178" s="26">
        <f>INDEX(Calib!$U$1:$U$13,$D178)+(AM177-INDEX(Calib!$U$1:$U$13,$D178))*(1-p_amort)+p_sh_conc*AF178</f>
        <v/>
      </c>
      <c r="AN178" s="26">
        <f>AL178/AE178</f>
        <v/>
      </c>
      <c r="AO178" s="26">
        <f>INDEX(Calib!$K$1:$K$13,$D178)+p_eta*MAX(0,AN178-INDEX(Calib!$AA$1:$AA$13,$D178))</f>
        <v/>
      </c>
      <c r="AP178" s="26">
        <f>(1-INDEX(Calib!$H$1:$H$13,$D178))*(1-p_alpha)*AC178+AI178</f>
        <v/>
      </c>
      <c r="AQ178" s="26">
        <f>(AE178/O178-1)*100</f>
        <v/>
      </c>
      <c r="AR178" s="26">
        <f>(AE178/AE164-1)*100</f>
        <v/>
      </c>
      <c r="AS178" s="26">
        <f>(O178/O164-1)*100</f>
        <v/>
      </c>
      <c r="AT178" s="26">
        <f>(AN178-X178)*100</f>
        <v/>
      </c>
      <c r="AU178" s="26">
        <f>(AP178/Z178-1)*100</f>
        <v/>
      </c>
      <c r="AV178" s="26">
        <f>(AI178-S178)*100</f>
        <v/>
      </c>
    </row>
    <row r="179">
      <c r="A179" s="25" t="inlineStr">
        <is>
          <t>MOZ</t>
        </is>
      </c>
      <c r="B179" s="25" t="n">
        <v>2039</v>
      </c>
      <c r="C179" s="25" t="n">
        <v>15</v>
      </c>
      <c r="D179" s="25" t="n">
        <v>8</v>
      </c>
      <c r="E179" s="25">
        <f>IF(AND(p_dis_year&gt;0,B179=p_dis_year),1,0)</f>
        <v/>
      </c>
      <c r="F179" s="26">
        <f>IF(AND(p_dis_year&gt;0,B179&gt;=p_dis_year),1-p_eps_a*p_rho_a^(B179-p_dis_year),1)</f>
        <v/>
      </c>
      <c r="G179" s="26">
        <f>INDEX(Calib!$N$1:$N$13,$D179)*(1-p_rent_decline*MIN(1,C179/26))</f>
        <v/>
      </c>
      <c r="H179" s="26">
        <f>IF(C179=0,0,SUMIFS(dl_val,dl_iso,$A179,dl_ind,"pub_cap",dl_year,$B179)/100)</f>
        <v/>
      </c>
      <c r="I179" s="26">
        <f>IF(C179=0,0,SUMIFS(dl_val,dl_iso,$A179,dl_ind,"pub_spend",dl_year,$B179)/100)</f>
        <v/>
      </c>
      <c r="J179" s="26">
        <f>IF(C179=0,0,SUMIFS(dl_val,dl_iso,$A179,dl_ind,"rev",dl_year,$B179)/100)</f>
        <v/>
      </c>
      <c r="K179" s="26">
        <f>(1-p_delta_g)*K178*(1-p_eps_g*$E179)+INDEX(Calib!$E$1:$E$13,$D179)*(INDEX(Calib!$G$1:$G$13,$D179)+0*$H179)</f>
        <v/>
      </c>
      <c r="L179" s="26">
        <f>L178*(1-p_eps_k*$E179)+p_lambda_k*(N179-L178*(1-p_eps_k*$E179))</f>
        <v/>
      </c>
      <c r="M179" s="26">
        <f>INDEX(Calib!$R$1:$R$13,$D179)*$F179*(K178*(1-p_eps_g*$E179))^INDEX(Calib!$Q$1:$Q$13,$D179)*(L178*(1-p_eps_k*$E179))^p_alpha</f>
        <v/>
      </c>
      <c r="N179" s="26">
        <f>p_alpha*(1-INDEX(Calib!$H$1:$H$13,$D179))*M179/(INDEX(Calib!$K$1:$K$13,$D179)+p_delta)</f>
        <v/>
      </c>
      <c r="O179" s="26">
        <f>M179+$G179</f>
        <v/>
      </c>
      <c r="P179" s="26">
        <f>0*($H179+$I179)</f>
        <v/>
      </c>
      <c r="Q179" s="26">
        <f>INDEX(Calib!$I$1:$I$13,$D179)+p_sh_grant*P179</f>
        <v/>
      </c>
      <c r="R179" s="26">
        <f>INDEX(Calib!$H$1:$H$13,$D179)*M179+p_gov_take*$G179+Q179+0*p_pricing*$J179</f>
        <v/>
      </c>
      <c r="S179" s="26">
        <f>INDEX(Calib!$Y$1:$Y$13,$D179)-INDEX(Calib!$Z$1:$Z$13,$D179)*(V178/O178-INDEX(Calib!$AA$1:$AA$13,$D179))</f>
        <v/>
      </c>
      <c r="T179" s="26">
        <f>INDEX(Calib!$X$1:$X$13,$D179)+INDEX(Calib!$G$1:$G$13,$D179)+P179+S179-R179</f>
        <v/>
      </c>
      <c r="U179" s="26">
        <f>p_rk*W178+Y178*(V178-W178)</f>
        <v/>
      </c>
      <c r="V179" s="26">
        <f>V178+U179+T179</f>
        <v/>
      </c>
      <c r="W179" s="26">
        <f>INDEX(Calib!$U$1:$U$13,$D179)+(W178-INDEX(Calib!$U$1:$U$13,$D179))*(1-p_amort)+p_sh_conc*P179</f>
        <v/>
      </c>
      <c r="X179" s="26">
        <f>V179/O179</f>
        <v/>
      </c>
      <c r="Y179" s="26">
        <f>INDEX(Calib!$K$1:$K$13,$D179)+p_eta*MAX(0,X179-INDEX(Calib!$AA$1:$AA$13,$D179))</f>
        <v/>
      </c>
      <c r="Z179" s="26">
        <f>(1-INDEX(Calib!$H$1:$H$13,$D179))*(1-p_alpha)*M179+S179</f>
        <v/>
      </c>
      <c r="AA179" s="26">
        <f>(1-p_delta_g)*AA178*(1-p_eps_g*$E179)+INDEX(Calib!$E$1:$E$13,$D179)*(INDEX(Calib!$G$1:$G$13,$D179)+p_programme*$H179)</f>
        <v/>
      </c>
      <c r="AB179" s="26">
        <f>AB178*(1-p_eps_k*$E179)+p_lambda_k*(AD179-AB178*(1-p_eps_k*$E179))</f>
        <v/>
      </c>
      <c r="AC179" s="26">
        <f>INDEX(Calib!$R$1:$R$13,$D179)*$F179*(AA178*(1-p_eps_g*$E179))^INDEX(Calib!$Q$1:$Q$13,$D179)*(AB178*(1-p_eps_k*$E179))^p_alpha</f>
        <v/>
      </c>
      <c r="AD179" s="26">
        <f>p_alpha*(1-INDEX(Calib!$H$1:$H$13,$D179))*AC179/(INDEX(Calib!$K$1:$K$13,$D179)+p_delta)</f>
        <v/>
      </c>
      <c r="AE179" s="26">
        <f>AC179+$G179</f>
        <v/>
      </c>
      <c r="AF179" s="26">
        <f>p_programme*($H179+$I179)</f>
        <v/>
      </c>
      <c r="AG179" s="26">
        <f>INDEX(Calib!$I$1:$I$13,$D179)+p_sh_grant*AF179</f>
        <v/>
      </c>
      <c r="AH179" s="26">
        <f>INDEX(Calib!$H$1:$H$13,$D179)*AC179+p_gov_take*$G179+AG179+p_programme*p_pricing*$J179</f>
        <v/>
      </c>
      <c r="AI179" s="26">
        <f>INDEX(Calib!$Y$1:$Y$13,$D179)-INDEX(Calib!$Z$1:$Z$13,$D179)*(AL178/AE178-INDEX(Calib!$AA$1:$AA$13,$D179))</f>
        <v/>
      </c>
      <c r="AJ179" s="26">
        <f>INDEX(Calib!$X$1:$X$13,$D179)+INDEX(Calib!$G$1:$G$13,$D179)+AF179+AI179-AH179</f>
        <v/>
      </c>
      <c r="AK179" s="26">
        <f>p_rk*AM178+AO178*(AL178-AM178)</f>
        <v/>
      </c>
      <c r="AL179" s="26">
        <f>AL178+AK179+AJ179</f>
        <v/>
      </c>
      <c r="AM179" s="26">
        <f>INDEX(Calib!$U$1:$U$13,$D179)+(AM178-INDEX(Calib!$U$1:$U$13,$D179))*(1-p_amort)+p_sh_conc*AF179</f>
        <v/>
      </c>
      <c r="AN179" s="26">
        <f>AL179/AE179</f>
        <v/>
      </c>
      <c r="AO179" s="26">
        <f>INDEX(Calib!$K$1:$K$13,$D179)+p_eta*MAX(0,AN179-INDEX(Calib!$AA$1:$AA$13,$D179))</f>
        <v/>
      </c>
      <c r="AP179" s="26">
        <f>(1-INDEX(Calib!$H$1:$H$13,$D179))*(1-p_alpha)*AC179+AI179</f>
        <v/>
      </c>
      <c r="AQ179" s="26">
        <f>(AE179/O179-1)*100</f>
        <v/>
      </c>
      <c r="AR179" s="26">
        <f>(AE179/AE164-1)*100</f>
        <v/>
      </c>
      <c r="AS179" s="26">
        <f>(O179/O164-1)*100</f>
        <v/>
      </c>
      <c r="AT179" s="26">
        <f>(AN179-X179)*100</f>
        <v/>
      </c>
      <c r="AU179" s="26">
        <f>(AP179/Z179-1)*100</f>
        <v/>
      </c>
      <c r="AV179" s="26">
        <f>(AI179-S179)*100</f>
        <v/>
      </c>
    </row>
    <row r="180">
      <c r="A180" s="25" t="inlineStr">
        <is>
          <t>MOZ</t>
        </is>
      </c>
      <c r="B180" s="25" t="n">
        <v>2040</v>
      </c>
      <c r="C180" s="25" t="n">
        <v>16</v>
      </c>
      <c r="D180" s="25" t="n">
        <v>8</v>
      </c>
      <c r="E180" s="25">
        <f>IF(AND(p_dis_year&gt;0,B180=p_dis_year),1,0)</f>
        <v/>
      </c>
      <c r="F180" s="26">
        <f>IF(AND(p_dis_year&gt;0,B180&gt;=p_dis_year),1-p_eps_a*p_rho_a^(B180-p_dis_year),1)</f>
        <v/>
      </c>
      <c r="G180" s="26">
        <f>INDEX(Calib!$N$1:$N$13,$D180)*(1-p_rent_decline*MIN(1,C180/26))</f>
        <v/>
      </c>
      <c r="H180" s="26">
        <f>IF(C180=0,0,SUMIFS(dl_val,dl_iso,$A180,dl_ind,"pub_cap",dl_year,$B180)/100)</f>
        <v/>
      </c>
      <c r="I180" s="26">
        <f>IF(C180=0,0,SUMIFS(dl_val,dl_iso,$A180,dl_ind,"pub_spend",dl_year,$B180)/100)</f>
        <v/>
      </c>
      <c r="J180" s="26">
        <f>IF(C180=0,0,SUMIFS(dl_val,dl_iso,$A180,dl_ind,"rev",dl_year,$B180)/100)</f>
        <v/>
      </c>
      <c r="K180" s="26">
        <f>(1-p_delta_g)*K179*(1-p_eps_g*$E180)+INDEX(Calib!$E$1:$E$13,$D180)*(INDEX(Calib!$G$1:$G$13,$D180)+0*$H180)</f>
        <v/>
      </c>
      <c r="L180" s="26">
        <f>L179*(1-p_eps_k*$E180)+p_lambda_k*(N180-L179*(1-p_eps_k*$E180))</f>
        <v/>
      </c>
      <c r="M180" s="26">
        <f>INDEX(Calib!$R$1:$R$13,$D180)*$F180*(K179*(1-p_eps_g*$E180))^INDEX(Calib!$Q$1:$Q$13,$D180)*(L179*(1-p_eps_k*$E180))^p_alpha</f>
        <v/>
      </c>
      <c r="N180" s="26">
        <f>p_alpha*(1-INDEX(Calib!$H$1:$H$13,$D180))*M180/(INDEX(Calib!$K$1:$K$13,$D180)+p_delta)</f>
        <v/>
      </c>
      <c r="O180" s="26">
        <f>M180+$G180</f>
        <v/>
      </c>
      <c r="P180" s="26">
        <f>0*($H180+$I180)</f>
        <v/>
      </c>
      <c r="Q180" s="26">
        <f>INDEX(Calib!$I$1:$I$13,$D180)+p_sh_grant*P180</f>
        <v/>
      </c>
      <c r="R180" s="26">
        <f>INDEX(Calib!$H$1:$H$13,$D180)*M180+p_gov_take*$G180+Q180+0*p_pricing*$J180</f>
        <v/>
      </c>
      <c r="S180" s="26">
        <f>INDEX(Calib!$Y$1:$Y$13,$D180)-INDEX(Calib!$Z$1:$Z$13,$D180)*(V179/O179-INDEX(Calib!$AA$1:$AA$13,$D180))</f>
        <v/>
      </c>
      <c r="T180" s="26">
        <f>INDEX(Calib!$X$1:$X$13,$D180)+INDEX(Calib!$G$1:$G$13,$D180)+P180+S180-R180</f>
        <v/>
      </c>
      <c r="U180" s="26">
        <f>p_rk*W179+Y179*(V179-W179)</f>
        <v/>
      </c>
      <c r="V180" s="26">
        <f>V179+U180+T180</f>
        <v/>
      </c>
      <c r="W180" s="26">
        <f>INDEX(Calib!$U$1:$U$13,$D180)+(W179-INDEX(Calib!$U$1:$U$13,$D180))*(1-p_amort)+p_sh_conc*P180</f>
        <v/>
      </c>
      <c r="X180" s="26">
        <f>V180/O180</f>
        <v/>
      </c>
      <c r="Y180" s="26">
        <f>INDEX(Calib!$K$1:$K$13,$D180)+p_eta*MAX(0,X180-INDEX(Calib!$AA$1:$AA$13,$D180))</f>
        <v/>
      </c>
      <c r="Z180" s="26">
        <f>(1-INDEX(Calib!$H$1:$H$13,$D180))*(1-p_alpha)*M180+S180</f>
        <v/>
      </c>
      <c r="AA180" s="26">
        <f>(1-p_delta_g)*AA179*(1-p_eps_g*$E180)+INDEX(Calib!$E$1:$E$13,$D180)*(INDEX(Calib!$G$1:$G$13,$D180)+p_programme*$H180)</f>
        <v/>
      </c>
      <c r="AB180" s="26">
        <f>AB179*(1-p_eps_k*$E180)+p_lambda_k*(AD180-AB179*(1-p_eps_k*$E180))</f>
        <v/>
      </c>
      <c r="AC180" s="26">
        <f>INDEX(Calib!$R$1:$R$13,$D180)*$F180*(AA179*(1-p_eps_g*$E180))^INDEX(Calib!$Q$1:$Q$13,$D180)*(AB179*(1-p_eps_k*$E180))^p_alpha</f>
        <v/>
      </c>
      <c r="AD180" s="26">
        <f>p_alpha*(1-INDEX(Calib!$H$1:$H$13,$D180))*AC180/(INDEX(Calib!$K$1:$K$13,$D180)+p_delta)</f>
        <v/>
      </c>
      <c r="AE180" s="26">
        <f>AC180+$G180</f>
        <v/>
      </c>
      <c r="AF180" s="26">
        <f>p_programme*($H180+$I180)</f>
        <v/>
      </c>
      <c r="AG180" s="26">
        <f>INDEX(Calib!$I$1:$I$13,$D180)+p_sh_grant*AF180</f>
        <v/>
      </c>
      <c r="AH180" s="26">
        <f>INDEX(Calib!$H$1:$H$13,$D180)*AC180+p_gov_take*$G180+AG180+p_programme*p_pricing*$J180</f>
        <v/>
      </c>
      <c r="AI180" s="26">
        <f>INDEX(Calib!$Y$1:$Y$13,$D180)-INDEX(Calib!$Z$1:$Z$13,$D180)*(AL179/AE179-INDEX(Calib!$AA$1:$AA$13,$D180))</f>
        <v/>
      </c>
      <c r="AJ180" s="26">
        <f>INDEX(Calib!$X$1:$X$13,$D180)+INDEX(Calib!$G$1:$G$13,$D180)+AF180+AI180-AH180</f>
        <v/>
      </c>
      <c r="AK180" s="26">
        <f>p_rk*AM179+AO179*(AL179-AM179)</f>
        <v/>
      </c>
      <c r="AL180" s="26">
        <f>AL179+AK180+AJ180</f>
        <v/>
      </c>
      <c r="AM180" s="26">
        <f>INDEX(Calib!$U$1:$U$13,$D180)+(AM179-INDEX(Calib!$U$1:$U$13,$D180))*(1-p_amort)+p_sh_conc*AF180</f>
        <v/>
      </c>
      <c r="AN180" s="26">
        <f>AL180/AE180</f>
        <v/>
      </c>
      <c r="AO180" s="26">
        <f>INDEX(Calib!$K$1:$K$13,$D180)+p_eta*MAX(0,AN180-INDEX(Calib!$AA$1:$AA$13,$D180))</f>
        <v/>
      </c>
      <c r="AP180" s="26">
        <f>(1-INDEX(Calib!$H$1:$H$13,$D180))*(1-p_alpha)*AC180+AI180</f>
        <v/>
      </c>
      <c r="AQ180" s="26">
        <f>(AE180/O180-1)*100</f>
        <v/>
      </c>
      <c r="AR180" s="26">
        <f>(AE180/AE164-1)*100</f>
        <v/>
      </c>
      <c r="AS180" s="26">
        <f>(O180/O164-1)*100</f>
        <v/>
      </c>
      <c r="AT180" s="26">
        <f>(AN180-X180)*100</f>
        <v/>
      </c>
      <c r="AU180" s="26">
        <f>(AP180/Z180-1)*100</f>
        <v/>
      </c>
      <c r="AV180" s="26">
        <f>(AI180-S180)*100</f>
        <v/>
      </c>
    </row>
    <row r="181">
      <c r="A181" s="25" t="inlineStr">
        <is>
          <t>MOZ</t>
        </is>
      </c>
      <c r="B181" s="25" t="n">
        <v>2041</v>
      </c>
      <c r="C181" s="25" t="n">
        <v>17</v>
      </c>
      <c r="D181" s="25" t="n">
        <v>8</v>
      </c>
      <c r="E181" s="25">
        <f>IF(AND(p_dis_year&gt;0,B181=p_dis_year),1,0)</f>
        <v/>
      </c>
      <c r="F181" s="26">
        <f>IF(AND(p_dis_year&gt;0,B181&gt;=p_dis_year),1-p_eps_a*p_rho_a^(B181-p_dis_year),1)</f>
        <v/>
      </c>
      <c r="G181" s="26">
        <f>INDEX(Calib!$N$1:$N$13,$D181)*(1-p_rent_decline*MIN(1,C181/26))</f>
        <v/>
      </c>
      <c r="H181" s="26">
        <f>IF(C181=0,0,SUMIFS(dl_val,dl_iso,$A181,dl_ind,"pub_cap",dl_year,$B181)/100)</f>
        <v/>
      </c>
      <c r="I181" s="26">
        <f>IF(C181=0,0,SUMIFS(dl_val,dl_iso,$A181,dl_ind,"pub_spend",dl_year,$B181)/100)</f>
        <v/>
      </c>
      <c r="J181" s="26">
        <f>IF(C181=0,0,SUMIFS(dl_val,dl_iso,$A181,dl_ind,"rev",dl_year,$B181)/100)</f>
        <v/>
      </c>
      <c r="K181" s="26">
        <f>(1-p_delta_g)*K180*(1-p_eps_g*$E181)+INDEX(Calib!$E$1:$E$13,$D181)*(INDEX(Calib!$G$1:$G$13,$D181)+0*$H181)</f>
        <v/>
      </c>
      <c r="L181" s="26">
        <f>L180*(1-p_eps_k*$E181)+p_lambda_k*(N181-L180*(1-p_eps_k*$E181))</f>
        <v/>
      </c>
      <c r="M181" s="26">
        <f>INDEX(Calib!$R$1:$R$13,$D181)*$F181*(K180*(1-p_eps_g*$E181))^INDEX(Calib!$Q$1:$Q$13,$D181)*(L180*(1-p_eps_k*$E181))^p_alpha</f>
        <v/>
      </c>
      <c r="N181" s="26">
        <f>p_alpha*(1-INDEX(Calib!$H$1:$H$13,$D181))*M181/(INDEX(Calib!$K$1:$K$13,$D181)+p_delta)</f>
        <v/>
      </c>
      <c r="O181" s="26">
        <f>M181+$G181</f>
        <v/>
      </c>
      <c r="P181" s="26">
        <f>0*($H181+$I181)</f>
        <v/>
      </c>
      <c r="Q181" s="26">
        <f>INDEX(Calib!$I$1:$I$13,$D181)+p_sh_grant*P181</f>
        <v/>
      </c>
      <c r="R181" s="26">
        <f>INDEX(Calib!$H$1:$H$13,$D181)*M181+p_gov_take*$G181+Q181+0*p_pricing*$J181</f>
        <v/>
      </c>
      <c r="S181" s="26">
        <f>INDEX(Calib!$Y$1:$Y$13,$D181)-INDEX(Calib!$Z$1:$Z$13,$D181)*(V180/O180-INDEX(Calib!$AA$1:$AA$13,$D181))</f>
        <v/>
      </c>
      <c r="T181" s="26">
        <f>INDEX(Calib!$X$1:$X$13,$D181)+INDEX(Calib!$G$1:$G$13,$D181)+P181+S181-R181</f>
        <v/>
      </c>
      <c r="U181" s="26">
        <f>p_rk*W180+Y180*(V180-W180)</f>
        <v/>
      </c>
      <c r="V181" s="26">
        <f>V180+U181+T181</f>
        <v/>
      </c>
      <c r="W181" s="26">
        <f>INDEX(Calib!$U$1:$U$13,$D181)+(W180-INDEX(Calib!$U$1:$U$13,$D181))*(1-p_amort)+p_sh_conc*P181</f>
        <v/>
      </c>
      <c r="X181" s="26">
        <f>V181/O181</f>
        <v/>
      </c>
      <c r="Y181" s="26">
        <f>INDEX(Calib!$K$1:$K$13,$D181)+p_eta*MAX(0,X181-INDEX(Calib!$AA$1:$AA$13,$D181))</f>
        <v/>
      </c>
      <c r="Z181" s="26">
        <f>(1-INDEX(Calib!$H$1:$H$13,$D181))*(1-p_alpha)*M181+S181</f>
        <v/>
      </c>
      <c r="AA181" s="26">
        <f>(1-p_delta_g)*AA180*(1-p_eps_g*$E181)+INDEX(Calib!$E$1:$E$13,$D181)*(INDEX(Calib!$G$1:$G$13,$D181)+p_programme*$H181)</f>
        <v/>
      </c>
      <c r="AB181" s="26">
        <f>AB180*(1-p_eps_k*$E181)+p_lambda_k*(AD181-AB180*(1-p_eps_k*$E181))</f>
        <v/>
      </c>
      <c r="AC181" s="26">
        <f>INDEX(Calib!$R$1:$R$13,$D181)*$F181*(AA180*(1-p_eps_g*$E181))^INDEX(Calib!$Q$1:$Q$13,$D181)*(AB180*(1-p_eps_k*$E181))^p_alpha</f>
        <v/>
      </c>
      <c r="AD181" s="26">
        <f>p_alpha*(1-INDEX(Calib!$H$1:$H$13,$D181))*AC181/(INDEX(Calib!$K$1:$K$13,$D181)+p_delta)</f>
        <v/>
      </c>
      <c r="AE181" s="26">
        <f>AC181+$G181</f>
        <v/>
      </c>
      <c r="AF181" s="26">
        <f>p_programme*($H181+$I181)</f>
        <v/>
      </c>
      <c r="AG181" s="26">
        <f>INDEX(Calib!$I$1:$I$13,$D181)+p_sh_grant*AF181</f>
        <v/>
      </c>
      <c r="AH181" s="26">
        <f>INDEX(Calib!$H$1:$H$13,$D181)*AC181+p_gov_take*$G181+AG181+p_programme*p_pricing*$J181</f>
        <v/>
      </c>
      <c r="AI181" s="26">
        <f>INDEX(Calib!$Y$1:$Y$13,$D181)-INDEX(Calib!$Z$1:$Z$13,$D181)*(AL180/AE180-INDEX(Calib!$AA$1:$AA$13,$D181))</f>
        <v/>
      </c>
      <c r="AJ181" s="26">
        <f>INDEX(Calib!$X$1:$X$13,$D181)+INDEX(Calib!$G$1:$G$13,$D181)+AF181+AI181-AH181</f>
        <v/>
      </c>
      <c r="AK181" s="26">
        <f>p_rk*AM180+AO180*(AL180-AM180)</f>
        <v/>
      </c>
      <c r="AL181" s="26">
        <f>AL180+AK181+AJ181</f>
        <v/>
      </c>
      <c r="AM181" s="26">
        <f>INDEX(Calib!$U$1:$U$13,$D181)+(AM180-INDEX(Calib!$U$1:$U$13,$D181))*(1-p_amort)+p_sh_conc*AF181</f>
        <v/>
      </c>
      <c r="AN181" s="26">
        <f>AL181/AE181</f>
        <v/>
      </c>
      <c r="AO181" s="26">
        <f>INDEX(Calib!$K$1:$K$13,$D181)+p_eta*MAX(0,AN181-INDEX(Calib!$AA$1:$AA$13,$D181))</f>
        <v/>
      </c>
      <c r="AP181" s="26">
        <f>(1-INDEX(Calib!$H$1:$H$13,$D181))*(1-p_alpha)*AC181+AI181</f>
        <v/>
      </c>
      <c r="AQ181" s="26">
        <f>(AE181/O181-1)*100</f>
        <v/>
      </c>
      <c r="AR181" s="26">
        <f>(AE181/AE164-1)*100</f>
        <v/>
      </c>
      <c r="AS181" s="26">
        <f>(O181/O164-1)*100</f>
        <v/>
      </c>
      <c r="AT181" s="26">
        <f>(AN181-X181)*100</f>
        <v/>
      </c>
      <c r="AU181" s="26">
        <f>(AP181/Z181-1)*100</f>
        <v/>
      </c>
      <c r="AV181" s="26">
        <f>(AI181-S181)*100</f>
        <v/>
      </c>
    </row>
    <row r="182">
      <c r="A182" s="25" t="inlineStr">
        <is>
          <t>MOZ</t>
        </is>
      </c>
      <c r="B182" s="25" t="n">
        <v>2042</v>
      </c>
      <c r="C182" s="25" t="n">
        <v>18</v>
      </c>
      <c r="D182" s="25" t="n">
        <v>8</v>
      </c>
      <c r="E182" s="25">
        <f>IF(AND(p_dis_year&gt;0,B182=p_dis_year),1,0)</f>
        <v/>
      </c>
      <c r="F182" s="26">
        <f>IF(AND(p_dis_year&gt;0,B182&gt;=p_dis_year),1-p_eps_a*p_rho_a^(B182-p_dis_year),1)</f>
        <v/>
      </c>
      <c r="G182" s="26">
        <f>INDEX(Calib!$N$1:$N$13,$D182)*(1-p_rent_decline*MIN(1,C182/26))</f>
        <v/>
      </c>
      <c r="H182" s="26">
        <f>IF(C182=0,0,SUMIFS(dl_val,dl_iso,$A182,dl_ind,"pub_cap",dl_year,$B182)/100)</f>
        <v/>
      </c>
      <c r="I182" s="26">
        <f>IF(C182=0,0,SUMIFS(dl_val,dl_iso,$A182,dl_ind,"pub_spend",dl_year,$B182)/100)</f>
        <v/>
      </c>
      <c r="J182" s="26">
        <f>IF(C182=0,0,SUMIFS(dl_val,dl_iso,$A182,dl_ind,"rev",dl_year,$B182)/100)</f>
        <v/>
      </c>
      <c r="K182" s="26">
        <f>(1-p_delta_g)*K181*(1-p_eps_g*$E182)+INDEX(Calib!$E$1:$E$13,$D182)*(INDEX(Calib!$G$1:$G$13,$D182)+0*$H182)</f>
        <v/>
      </c>
      <c r="L182" s="26">
        <f>L181*(1-p_eps_k*$E182)+p_lambda_k*(N182-L181*(1-p_eps_k*$E182))</f>
        <v/>
      </c>
      <c r="M182" s="26">
        <f>INDEX(Calib!$R$1:$R$13,$D182)*$F182*(K181*(1-p_eps_g*$E182))^INDEX(Calib!$Q$1:$Q$13,$D182)*(L181*(1-p_eps_k*$E182))^p_alpha</f>
        <v/>
      </c>
      <c r="N182" s="26">
        <f>p_alpha*(1-INDEX(Calib!$H$1:$H$13,$D182))*M182/(INDEX(Calib!$K$1:$K$13,$D182)+p_delta)</f>
        <v/>
      </c>
      <c r="O182" s="26">
        <f>M182+$G182</f>
        <v/>
      </c>
      <c r="P182" s="26">
        <f>0*($H182+$I182)</f>
        <v/>
      </c>
      <c r="Q182" s="26">
        <f>INDEX(Calib!$I$1:$I$13,$D182)+p_sh_grant*P182</f>
        <v/>
      </c>
      <c r="R182" s="26">
        <f>INDEX(Calib!$H$1:$H$13,$D182)*M182+p_gov_take*$G182+Q182+0*p_pricing*$J182</f>
        <v/>
      </c>
      <c r="S182" s="26">
        <f>INDEX(Calib!$Y$1:$Y$13,$D182)-INDEX(Calib!$Z$1:$Z$13,$D182)*(V181/O181-INDEX(Calib!$AA$1:$AA$13,$D182))</f>
        <v/>
      </c>
      <c r="T182" s="26">
        <f>INDEX(Calib!$X$1:$X$13,$D182)+INDEX(Calib!$G$1:$G$13,$D182)+P182+S182-R182</f>
        <v/>
      </c>
      <c r="U182" s="26">
        <f>p_rk*W181+Y181*(V181-W181)</f>
        <v/>
      </c>
      <c r="V182" s="26">
        <f>V181+U182+T182</f>
        <v/>
      </c>
      <c r="W182" s="26">
        <f>INDEX(Calib!$U$1:$U$13,$D182)+(W181-INDEX(Calib!$U$1:$U$13,$D182))*(1-p_amort)+p_sh_conc*P182</f>
        <v/>
      </c>
      <c r="X182" s="26">
        <f>V182/O182</f>
        <v/>
      </c>
      <c r="Y182" s="26">
        <f>INDEX(Calib!$K$1:$K$13,$D182)+p_eta*MAX(0,X182-INDEX(Calib!$AA$1:$AA$13,$D182))</f>
        <v/>
      </c>
      <c r="Z182" s="26">
        <f>(1-INDEX(Calib!$H$1:$H$13,$D182))*(1-p_alpha)*M182+S182</f>
        <v/>
      </c>
      <c r="AA182" s="26">
        <f>(1-p_delta_g)*AA181*(1-p_eps_g*$E182)+INDEX(Calib!$E$1:$E$13,$D182)*(INDEX(Calib!$G$1:$G$13,$D182)+p_programme*$H182)</f>
        <v/>
      </c>
      <c r="AB182" s="26">
        <f>AB181*(1-p_eps_k*$E182)+p_lambda_k*(AD182-AB181*(1-p_eps_k*$E182))</f>
        <v/>
      </c>
      <c r="AC182" s="26">
        <f>INDEX(Calib!$R$1:$R$13,$D182)*$F182*(AA181*(1-p_eps_g*$E182))^INDEX(Calib!$Q$1:$Q$13,$D182)*(AB181*(1-p_eps_k*$E182))^p_alpha</f>
        <v/>
      </c>
      <c r="AD182" s="26">
        <f>p_alpha*(1-INDEX(Calib!$H$1:$H$13,$D182))*AC182/(INDEX(Calib!$K$1:$K$13,$D182)+p_delta)</f>
        <v/>
      </c>
      <c r="AE182" s="26">
        <f>AC182+$G182</f>
        <v/>
      </c>
      <c r="AF182" s="26">
        <f>p_programme*($H182+$I182)</f>
        <v/>
      </c>
      <c r="AG182" s="26">
        <f>INDEX(Calib!$I$1:$I$13,$D182)+p_sh_grant*AF182</f>
        <v/>
      </c>
      <c r="AH182" s="26">
        <f>INDEX(Calib!$H$1:$H$13,$D182)*AC182+p_gov_take*$G182+AG182+p_programme*p_pricing*$J182</f>
        <v/>
      </c>
      <c r="AI182" s="26">
        <f>INDEX(Calib!$Y$1:$Y$13,$D182)-INDEX(Calib!$Z$1:$Z$13,$D182)*(AL181/AE181-INDEX(Calib!$AA$1:$AA$13,$D182))</f>
        <v/>
      </c>
      <c r="AJ182" s="26">
        <f>INDEX(Calib!$X$1:$X$13,$D182)+INDEX(Calib!$G$1:$G$13,$D182)+AF182+AI182-AH182</f>
        <v/>
      </c>
      <c r="AK182" s="26">
        <f>p_rk*AM181+AO181*(AL181-AM181)</f>
        <v/>
      </c>
      <c r="AL182" s="26">
        <f>AL181+AK182+AJ182</f>
        <v/>
      </c>
      <c r="AM182" s="26">
        <f>INDEX(Calib!$U$1:$U$13,$D182)+(AM181-INDEX(Calib!$U$1:$U$13,$D182))*(1-p_amort)+p_sh_conc*AF182</f>
        <v/>
      </c>
      <c r="AN182" s="26">
        <f>AL182/AE182</f>
        <v/>
      </c>
      <c r="AO182" s="26">
        <f>INDEX(Calib!$K$1:$K$13,$D182)+p_eta*MAX(0,AN182-INDEX(Calib!$AA$1:$AA$13,$D182))</f>
        <v/>
      </c>
      <c r="AP182" s="26">
        <f>(1-INDEX(Calib!$H$1:$H$13,$D182))*(1-p_alpha)*AC182+AI182</f>
        <v/>
      </c>
      <c r="AQ182" s="26">
        <f>(AE182/O182-1)*100</f>
        <v/>
      </c>
      <c r="AR182" s="26">
        <f>(AE182/AE164-1)*100</f>
        <v/>
      </c>
      <c r="AS182" s="26">
        <f>(O182/O164-1)*100</f>
        <v/>
      </c>
      <c r="AT182" s="26">
        <f>(AN182-X182)*100</f>
        <v/>
      </c>
      <c r="AU182" s="26">
        <f>(AP182/Z182-1)*100</f>
        <v/>
      </c>
      <c r="AV182" s="26">
        <f>(AI182-S182)*100</f>
        <v/>
      </c>
    </row>
    <row r="183">
      <c r="A183" s="25" t="inlineStr">
        <is>
          <t>MOZ</t>
        </is>
      </c>
      <c r="B183" s="25" t="n">
        <v>2043</v>
      </c>
      <c r="C183" s="25" t="n">
        <v>19</v>
      </c>
      <c r="D183" s="25" t="n">
        <v>8</v>
      </c>
      <c r="E183" s="25">
        <f>IF(AND(p_dis_year&gt;0,B183=p_dis_year),1,0)</f>
        <v/>
      </c>
      <c r="F183" s="26">
        <f>IF(AND(p_dis_year&gt;0,B183&gt;=p_dis_year),1-p_eps_a*p_rho_a^(B183-p_dis_year),1)</f>
        <v/>
      </c>
      <c r="G183" s="26">
        <f>INDEX(Calib!$N$1:$N$13,$D183)*(1-p_rent_decline*MIN(1,C183/26))</f>
        <v/>
      </c>
      <c r="H183" s="26">
        <f>IF(C183=0,0,SUMIFS(dl_val,dl_iso,$A183,dl_ind,"pub_cap",dl_year,$B183)/100)</f>
        <v/>
      </c>
      <c r="I183" s="26">
        <f>IF(C183=0,0,SUMIFS(dl_val,dl_iso,$A183,dl_ind,"pub_spend",dl_year,$B183)/100)</f>
        <v/>
      </c>
      <c r="J183" s="26">
        <f>IF(C183=0,0,SUMIFS(dl_val,dl_iso,$A183,dl_ind,"rev",dl_year,$B183)/100)</f>
        <v/>
      </c>
      <c r="K183" s="26">
        <f>(1-p_delta_g)*K182*(1-p_eps_g*$E183)+INDEX(Calib!$E$1:$E$13,$D183)*(INDEX(Calib!$G$1:$G$13,$D183)+0*$H183)</f>
        <v/>
      </c>
      <c r="L183" s="26">
        <f>L182*(1-p_eps_k*$E183)+p_lambda_k*(N183-L182*(1-p_eps_k*$E183))</f>
        <v/>
      </c>
      <c r="M183" s="26">
        <f>INDEX(Calib!$R$1:$R$13,$D183)*$F183*(K182*(1-p_eps_g*$E183))^INDEX(Calib!$Q$1:$Q$13,$D183)*(L182*(1-p_eps_k*$E183))^p_alpha</f>
        <v/>
      </c>
      <c r="N183" s="26">
        <f>p_alpha*(1-INDEX(Calib!$H$1:$H$13,$D183))*M183/(INDEX(Calib!$K$1:$K$13,$D183)+p_delta)</f>
        <v/>
      </c>
      <c r="O183" s="26">
        <f>M183+$G183</f>
        <v/>
      </c>
      <c r="P183" s="26">
        <f>0*($H183+$I183)</f>
        <v/>
      </c>
      <c r="Q183" s="26">
        <f>INDEX(Calib!$I$1:$I$13,$D183)+p_sh_grant*P183</f>
        <v/>
      </c>
      <c r="R183" s="26">
        <f>INDEX(Calib!$H$1:$H$13,$D183)*M183+p_gov_take*$G183+Q183+0*p_pricing*$J183</f>
        <v/>
      </c>
      <c r="S183" s="26">
        <f>INDEX(Calib!$Y$1:$Y$13,$D183)-INDEX(Calib!$Z$1:$Z$13,$D183)*(V182/O182-INDEX(Calib!$AA$1:$AA$13,$D183))</f>
        <v/>
      </c>
      <c r="T183" s="26">
        <f>INDEX(Calib!$X$1:$X$13,$D183)+INDEX(Calib!$G$1:$G$13,$D183)+P183+S183-R183</f>
        <v/>
      </c>
      <c r="U183" s="26">
        <f>p_rk*W182+Y182*(V182-W182)</f>
        <v/>
      </c>
      <c r="V183" s="26">
        <f>V182+U183+T183</f>
        <v/>
      </c>
      <c r="W183" s="26">
        <f>INDEX(Calib!$U$1:$U$13,$D183)+(W182-INDEX(Calib!$U$1:$U$13,$D183))*(1-p_amort)+p_sh_conc*P183</f>
        <v/>
      </c>
      <c r="X183" s="26">
        <f>V183/O183</f>
        <v/>
      </c>
      <c r="Y183" s="26">
        <f>INDEX(Calib!$K$1:$K$13,$D183)+p_eta*MAX(0,X183-INDEX(Calib!$AA$1:$AA$13,$D183))</f>
        <v/>
      </c>
      <c r="Z183" s="26">
        <f>(1-INDEX(Calib!$H$1:$H$13,$D183))*(1-p_alpha)*M183+S183</f>
        <v/>
      </c>
      <c r="AA183" s="26">
        <f>(1-p_delta_g)*AA182*(1-p_eps_g*$E183)+INDEX(Calib!$E$1:$E$13,$D183)*(INDEX(Calib!$G$1:$G$13,$D183)+p_programme*$H183)</f>
        <v/>
      </c>
      <c r="AB183" s="26">
        <f>AB182*(1-p_eps_k*$E183)+p_lambda_k*(AD183-AB182*(1-p_eps_k*$E183))</f>
        <v/>
      </c>
      <c r="AC183" s="26">
        <f>INDEX(Calib!$R$1:$R$13,$D183)*$F183*(AA182*(1-p_eps_g*$E183))^INDEX(Calib!$Q$1:$Q$13,$D183)*(AB182*(1-p_eps_k*$E183))^p_alpha</f>
        <v/>
      </c>
      <c r="AD183" s="26">
        <f>p_alpha*(1-INDEX(Calib!$H$1:$H$13,$D183))*AC183/(INDEX(Calib!$K$1:$K$13,$D183)+p_delta)</f>
        <v/>
      </c>
      <c r="AE183" s="26">
        <f>AC183+$G183</f>
        <v/>
      </c>
      <c r="AF183" s="26">
        <f>p_programme*($H183+$I183)</f>
        <v/>
      </c>
      <c r="AG183" s="26">
        <f>INDEX(Calib!$I$1:$I$13,$D183)+p_sh_grant*AF183</f>
        <v/>
      </c>
      <c r="AH183" s="26">
        <f>INDEX(Calib!$H$1:$H$13,$D183)*AC183+p_gov_take*$G183+AG183+p_programme*p_pricing*$J183</f>
        <v/>
      </c>
      <c r="AI183" s="26">
        <f>INDEX(Calib!$Y$1:$Y$13,$D183)-INDEX(Calib!$Z$1:$Z$13,$D183)*(AL182/AE182-INDEX(Calib!$AA$1:$AA$13,$D183))</f>
        <v/>
      </c>
      <c r="AJ183" s="26">
        <f>INDEX(Calib!$X$1:$X$13,$D183)+INDEX(Calib!$G$1:$G$13,$D183)+AF183+AI183-AH183</f>
        <v/>
      </c>
      <c r="AK183" s="26">
        <f>p_rk*AM182+AO182*(AL182-AM182)</f>
        <v/>
      </c>
      <c r="AL183" s="26">
        <f>AL182+AK183+AJ183</f>
        <v/>
      </c>
      <c r="AM183" s="26">
        <f>INDEX(Calib!$U$1:$U$13,$D183)+(AM182-INDEX(Calib!$U$1:$U$13,$D183))*(1-p_amort)+p_sh_conc*AF183</f>
        <v/>
      </c>
      <c r="AN183" s="26">
        <f>AL183/AE183</f>
        <v/>
      </c>
      <c r="AO183" s="26">
        <f>INDEX(Calib!$K$1:$K$13,$D183)+p_eta*MAX(0,AN183-INDEX(Calib!$AA$1:$AA$13,$D183))</f>
        <v/>
      </c>
      <c r="AP183" s="26">
        <f>(1-INDEX(Calib!$H$1:$H$13,$D183))*(1-p_alpha)*AC183+AI183</f>
        <v/>
      </c>
      <c r="AQ183" s="26">
        <f>(AE183/O183-1)*100</f>
        <v/>
      </c>
      <c r="AR183" s="26">
        <f>(AE183/AE164-1)*100</f>
        <v/>
      </c>
      <c r="AS183" s="26">
        <f>(O183/O164-1)*100</f>
        <v/>
      </c>
      <c r="AT183" s="26">
        <f>(AN183-X183)*100</f>
        <v/>
      </c>
      <c r="AU183" s="26">
        <f>(AP183/Z183-1)*100</f>
        <v/>
      </c>
      <c r="AV183" s="26">
        <f>(AI183-S183)*100</f>
        <v/>
      </c>
    </row>
    <row r="184">
      <c r="A184" s="25" t="inlineStr">
        <is>
          <t>MOZ</t>
        </is>
      </c>
      <c r="B184" s="25" t="n">
        <v>2044</v>
      </c>
      <c r="C184" s="25" t="n">
        <v>20</v>
      </c>
      <c r="D184" s="25" t="n">
        <v>8</v>
      </c>
      <c r="E184" s="25">
        <f>IF(AND(p_dis_year&gt;0,B184=p_dis_year),1,0)</f>
        <v/>
      </c>
      <c r="F184" s="26">
        <f>IF(AND(p_dis_year&gt;0,B184&gt;=p_dis_year),1-p_eps_a*p_rho_a^(B184-p_dis_year),1)</f>
        <v/>
      </c>
      <c r="G184" s="26">
        <f>INDEX(Calib!$N$1:$N$13,$D184)*(1-p_rent_decline*MIN(1,C184/26))</f>
        <v/>
      </c>
      <c r="H184" s="26">
        <f>IF(C184=0,0,SUMIFS(dl_val,dl_iso,$A184,dl_ind,"pub_cap",dl_year,$B184)/100)</f>
        <v/>
      </c>
      <c r="I184" s="26">
        <f>IF(C184=0,0,SUMIFS(dl_val,dl_iso,$A184,dl_ind,"pub_spend",dl_year,$B184)/100)</f>
        <v/>
      </c>
      <c r="J184" s="26">
        <f>IF(C184=0,0,SUMIFS(dl_val,dl_iso,$A184,dl_ind,"rev",dl_year,$B184)/100)</f>
        <v/>
      </c>
      <c r="K184" s="26">
        <f>(1-p_delta_g)*K183*(1-p_eps_g*$E184)+INDEX(Calib!$E$1:$E$13,$D184)*(INDEX(Calib!$G$1:$G$13,$D184)+0*$H184)</f>
        <v/>
      </c>
      <c r="L184" s="26">
        <f>L183*(1-p_eps_k*$E184)+p_lambda_k*(N184-L183*(1-p_eps_k*$E184))</f>
        <v/>
      </c>
      <c r="M184" s="26">
        <f>INDEX(Calib!$R$1:$R$13,$D184)*$F184*(K183*(1-p_eps_g*$E184))^INDEX(Calib!$Q$1:$Q$13,$D184)*(L183*(1-p_eps_k*$E184))^p_alpha</f>
        <v/>
      </c>
      <c r="N184" s="26">
        <f>p_alpha*(1-INDEX(Calib!$H$1:$H$13,$D184))*M184/(INDEX(Calib!$K$1:$K$13,$D184)+p_delta)</f>
        <v/>
      </c>
      <c r="O184" s="26">
        <f>M184+$G184</f>
        <v/>
      </c>
      <c r="P184" s="26">
        <f>0*($H184+$I184)</f>
        <v/>
      </c>
      <c r="Q184" s="26">
        <f>INDEX(Calib!$I$1:$I$13,$D184)+p_sh_grant*P184</f>
        <v/>
      </c>
      <c r="R184" s="26">
        <f>INDEX(Calib!$H$1:$H$13,$D184)*M184+p_gov_take*$G184+Q184+0*p_pricing*$J184</f>
        <v/>
      </c>
      <c r="S184" s="26">
        <f>INDEX(Calib!$Y$1:$Y$13,$D184)-INDEX(Calib!$Z$1:$Z$13,$D184)*(V183/O183-INDEX(Calib!$AA$1:$AA$13,$D184))</f>
        <v/>
      </c>
      <c r="T184" s="26">
        <f>INDEX(Calib!$X$1:$X$13,$D184)+INDEX(Calib!$G$1:$G$13,$D184)+P184+S184-R184</f>
        <v/>
      </c>
      <c r="U184" s="26">
        <f>p_rk*W183+Y183*(V183-W183)</f>
        <v/>
      </c>
      <c r="V184" s="26">
        <f>V183+U184+T184</f>
        <v/>
      </c>
      <c r="W184" s="26">
        <f>INDEX(Calib!$U$1:$U$13,$D184)+(W183-INDEX(Calib!$U$1:$U$13,$D184))*(1-p_amort)+p_sh_conc*P184</f>
        <v/>
      </c>
      <c r="X184" s="26">
        <f>V184/O184</f>
        <v/>
      </c>
      <c r="Y184" s="26">
        <f>INDEX(Calib!$K$1:$K$13,$D184)+p_eta*MAX(0,X184-INDEX(Calib!$AA$1:$AA$13,$D184))</f>
        <v/>
      </c>
      <c r="Z184" s="26">
        <f>(1-INDEX(Calib!$H$1:$H$13,$D184))*(1-p_alpha)*M184+S184</f>
        <v/>
      </c>
      <c r="AA184" s="26">
        <f>(1-p_delta_g)*AA183*(1-p_eps_g*$E184)+INDEX(Calib!$E$1:$E$13,$D184)*(INDEX(Calib!$G$1:$G$13,$D184)+p_programme*$H184)</f>
        <v/>
      </c>
      <c r="AB184" s="26">
        <f>AB183*(1-p_eps_k*$E184)+p_lambda_k*(AD184-AB183*(1-p_eps_k*$E184))</f>
        <v/>
      </c>
      <c r="AC184" s="26">
        <f>INDEX(Calib!$R$1:$R$13,$D184)*$F184*(AA183*(1-p_eps_g*$E184))^INDEX(Calib!$Q$1:$Q$13,$D184)*(AB183*(1-p_eps_k*$E184))^p_alpha</f>
        <v/>
      </c>
      <c r="AD184" s="26">
        <f>p_alpha*(1-INDEX(Calib!$H$1:$H$13,$D184))*AC184/(INDEX(Calib!$K$1:$K$13,$D184)+p_delta)</f>
        <v/>
      </c>
      <c r="AE184" s="26">
        <f>AC184+$G184</f>
        <v/>
      </c>
      <c r="AF184" s="26">
        <f>p_programme*($H184+$I184)</f>
        <v/>
      </c>
      <c r="AG184" s="26">
        <f>INDEX(Calib!$I$1:$I$13,$D184)+p_sh_grant*AF184</f>
        <v/>
      </c>
      <c r="AH184" s="26">
        <f>INDEX(Calib!$H$1:$H$13,$D184)*AC184+p_gov_take*$G184+AG184+p_programme*p_pricing*$J184</f>
        <v/>
      </c>
      <c r="AI184" s="26">
        <f>INDEX(Calib!$Y$1:$Y$13,$D184)-INDEX(Calib!$Z$1:$Z$13,$D184)*(AL183/AE183-INDEX(Calib!$AA$1:$AA$13,$D184))</f>
        <v/>
      </c>
      <c r="AJ184" s="26">
        <f>INDEX(Calib!$X$1:$X$13,$D184)+INDEX(Calib!$G$1:$G$13,$D184)+AF184+AI184-AH184</f>
        <v/>
      </c>
      <c r="AK184" s="26">
        <f>p_rk*AM183+AO183*(AL183-AM183)</f>
        <v/>
      </c>
      <c r="AL184" s="26">
        <f>AL183+AK184+AJ184</f>
        <v/>
      </c>
      <c r="AM184" s="26">
        <f>INDEX(Calib!$U$1:$U$13,$D184)+(AM183-INDEX(Calib!$U$1:$U$13,$D184))*(1-p_amort)+p_sh_conc*AF184</f>
        <v/>
      </c>
      <c r="AN184" s="26">
        <f>AL184/AE184</f>
        <v/>
      </c>
      <c r="AO184" s="26">
        <f>INDEX(Calib!$K$1:$K$13,$D184)+p_eta*MAX(0,AN184-INDEX(Calib!$AA$1:$AA$13,$D184))</f>
        <v/>
      </c>
      <c r="AP184" s="26">
        <f>(1-INDEX(Calib!$H$1:$H$13,$D184))*(1-p_alpha)*AC184+AI184</f>
        <v/>
      </c>
      <c r="AQ184" s="26">
        <f>(AE184/O184-1)*100</f>
        <v/>
      </c>
      <c r="AR184" s="26">
        <f>(AE184/AE164-1)*100</f>
        <v/>
      </c>
      <c r="AS184" s="26">
        <f>(O184/O164-1)*100</f>
        <v/>
      </c>
      <c r="AT184" s="26">
        <f>(AN184-X184)*100</f>
        <v/>
      </c>
      <c r="AU184" s="26">
        <f>(AP184/Z184-1)*100</f>
        <v/>
      </c>
      <c r="AV184" s="26">
        <f>(AI184-S184)*100</f>
        <v/>
      </c>
    </row>
    <row r="185">
      <c r="A185" s="25" t="inlineStr">
        <is>
          <t>MOZ</t>
        </is>
      </c>
      <c r="B185" s="25" t="n">
        <v>2045</v>
      </c>
      <c r="C185" s="25" t="n">
        <v>21</v>
      </c>
      <c r="D185" s="25" t="n">
        <v>8</v>
      </c>
      <c r="E185" s="25">
        <f>IF(AND(p_dis_year&gt;0,B185=p_dis_year),1,0)</f>
        <v/>
      </c>
      <c r="F185" s="26">
        <f>IF(AND(p_dis_year&gt;0,B185&gt;=p_dis_year),1-p_eps_a*p_rho_a^(B185-p_dis_year),1)</f>
        <v/>
      </c>
      <c r="G185" s="26">
        <f>INDEX(Calib!$N$1:$N$13,$D185)*(1-p_rent_decline*MIN(1,C185/26))</f>
        <v/>
      </c>
      <c r="H185" s="26">
        <f>IF(C185=0,0,SUMIFS(dl_val,dl_iso,$A185,dl_ind,"pub_cap",dl_year,$B185)/100)</f>
        <v/>
      </c>
      <c r="I185" s="26">
        <f>IF(C185=0,0,SUMIFS(dl_val,dl_iso,$A185,dl_ind,"pub_spend",dl_year,$B185)/100)</f>
        <v/>
      </c>
      <c r="J185" s="26">
        <f>IF(C185=0,0,SUMIFS(dl_val,dl_iso,$A185,dl_ind,"rev",dl_year,$B185)/100)</f>
        <v/>
      </c>
      <c r="K185" s="26">
        <f>(1-p_delta_g)*K184*(1-p_eps_g*$E185)+INDEX(Calib!$E$1:$E$13,$D185)*(INDEX(Calib!$G$1:$G$13,$D185)+0*$H185)</f>
        <v/>
      </c>
      <c r="L185" s="26">
        <f>L184*(1-p_eps_k*$E185)+p_lambda_k*(N185-L184*(1-p_eps_k*$E185))</f>
        <v/>
      </c>
      <c r="M185" s="26">
        <f>INDEX(Calib!$R$1:$R$13,$D185)*$F185*(K184*(1-p_eps_g*$E185))^INDEX(Calib!$Q$1:$Q$13,$D185)*(L184*(1-p_eps_k*$E185))^p_alpha</f>
        <v/>
      </c>
      <c r="N185" s="26">
        <f>p_alpha*(1-INDEX(Calib!$H$1:$H$13,$D185))*M185/(INDEX(Calib!$K$1:$K$13,$D185)+p_delta)</f>
        <v/>
      </c>
      <c r="O185" s="26">
        <f>M185+$G185</f>
        <v/>
      </c>
      <c r="P185" s="26">
        <f>0*($H185+$I185)</f>
        <v/>
      </c>
      <c r="Q185" s="26">
        <f>INDEX(Calib!$I$1:$I$13,$D185)+p_sh_grant*P185</f>
        <v/>
      </c>
      <c r="R185" s="26">
        <f>INDEX(Calib!$H$1:$H$13,$D185)*M185+p_gov_take*$G185+Q185+0*p_pricing*$J185</f>
        <v/>
      </c>
      <c r="S185" s="26">
        <f>INDEX(Calib!$Y$1:$Y$13,$D185)-INDEX(Calib!$Z$1:$Z$13,$D185)*(V184/O184-INDEX(Calib!$AA$1:$AA$13,$D185))</f>
        <v/>
      </c>
      <c r="T185" s="26">
        <f>INDEX(Calib!$X$1:$X$13,$D185)+INDEX(Calib!$G$1:$G$13,$D185)+P185+S185-R185</f>
        <v/>
      </c>
      <c r="U185" s="26">
        <f>p_rk*W184+Y184*(V184-W184)</f>
        <v/>
      </c>
      <c r="V185" s="26">
        <f>V184+U185+T185</f>
        <v/>
      </c>
      <c r="W185" s="26">
        <f>INDEX(Calib!$U$1:$U$13,$D185)+(W184-INDEX(Calib!$U$1:$U$13,$D185))*(1-p_amort)+p_sh_conc*P185</f>
        <v/>
      </c>
      <c r="X185" s="26">
        <f>V185/O185</f>
        <v/>
      </c>
      <c r="Y185" s="26">
        <f>INDEX(Calib!$K$1:$K$13,$D185)+p_eta*MAX(0,X185-INDEX(Calib!$AA$1:$AA$13,$D185))</f>
        <v/>
      </c>
      <c r="Z185" s="26">
        <f>(1-INDEX(Calib!$H$1:$H$13,$D185))*(1-p_alpha)*M185+S185</f>
        <v/>
      </c>
      <c r="AA185" s="26">
        <f>(1-p_delta_g)*AA184*(1-p_eps_g*$E185)+INDEX(Calib!$E$1:$E$13,$D185)*(INDEX(Calib!$G$1:$G$13,$D185)+p_programme*$H185)</f>
        <v/>
      </c>
      <c r="AB185" s="26">
        <f>AB184*(1-p_eps_k*$E185)+p_lambda_k*(AD185-AB184*(1-p_eps_k*$E185))</f>
        <v/>
      </c>
      <c r="AC185" s="26">
        <f>INDEX(Calib!$R$1:$R$13,$D185)*$F185*(AA184*(1-p_eps_g*$E185))^INDEX(Calib!$Q$1:$Q$13,$D185)*(AB184*(1-p_eps_k*$E185))^p_alpha</f>
        <v/>
      </c>
      <c r="AD185" s="26">
        <f>p_alpha*(1-INDEX(Calib!$H$1:$H$13,$D185))*AC185/(INDEX(Calib!$K$1:$K$13,$D185)+p_delta)</f>
        <v/>
      </c>
      <c r="AE185" s="26">
        <f>AC185+$G185</f>
        <v/>
      </c>
      <c r="AF185" s="26">
        <f>p_programme*($H185+$I185)</f>
        <v/>
      </c>
      <c r="AG185" s="26">
        <f>INDEX(Calib!$I$1:$I$13,$D185)+p_sh_grant*AF185</f>
        <v/>
      </c>
      <c r="AH185" s="26">
        <f>INDEX(Calib!$H$1:$H$13,$D185)*AC185+p_gov_take*$G185+AG185+p_programme*p_pricing*$J185</f>
        <v/>
      </c>
      <c r="AI185" s="26">
        <f>INDEX(Calib!$Y$1:$Y$13,$D185)-INDEX(Calib!$Z$1:$Z$13,$D185)*(AL184/AE184-INDEX(Calib!$AA$1:$AA$13,$D185))</f>
        <v/>
      </c>
      <c r="AJ185" s="26">
        <f>INDEX(Calib!$X$1:$X$13,$D185)+INDEX(Calib!$G$1:$G$13,$D185)+AF185+AI185-AH185</f>
        <v/>
      </c>
      <c r="AK185" s="26">
        <f>p_rk*AM184+AO184*(AL184-AM184)</f>
        <v/>
      </c>
      <c r="AL185" s="26">
        <f>AL184+AK185+AJ185</f>
        <v/>
      </c>
      <c r="AM185" s="26">
        <f>INDEX(Calib!$U$1:$U$13,$D185)+(AM184-INDEX(Calib!$U$1:$U$13,$D185))*(1-p_amort)+p_sh_conc*AF185</f>
        <v/>
      </c>
      <c r="AN185" s="26">
        <f>AL185/AE185</f>
        <v/>
      </c>
      <c r="AO185" s="26">
        <f>INDEX(Calib!$K$1:$K$13,$D185)+p_eta*MAX(0,AN185-INDEX(Calib!$AA$1:$AA$13,$D185))</f>
        <v/>
      </c>
      <c r="AP185" s="26">
        <f>(1-INDEX(Calib!$H$1:$H$13,$D185))*(1-p_alpha)*AC185+AI185</f>
        <v/>
      </c>
      <c r="AQ185" s="26">
        <f>(AE185/O185-1)*100</f>
        <v/>
      </c>
      <c r="AR185" s="26">
        <f>(AE185/AE164-1)*100</f>
        <v/>
      </c>
      <c r="AS185" s="26">
        <f>(O185/O164-1)*100</f>
        <v/>
      </c>
      <c r="AT185" s="26">
        <f>(AN185-X185)*100</f>
        <v/>
      </c>
      <c r="AU185" s="26">
        <f>(AP185/Z185-1)*100</f>
        <v/>
      </c>
      <c r="AV185" s="26">
        <f>(AI185-S185)*100</f>
        <v/>
      </c>
    </row>
    <row r="186">
      <c r="A186" s="25" t="inlineStr">
        <is>
          <t>MOZ</t>
        </is>
      </c>
      <c r="B186" s="25" t="n">
        <v>2046</v>
      </c>
      <c r="C186" s="25" t="n">
        <v>22</v>
      </c>
      <c r="D186" s="25" t="n">
        <v>8</v>
      </c>
      <c r="E186" s="25">
        <f>IF(AND(p_dis_year&gt;0,B186=p_dis_year),1,0)</f>
        <v/>
      </c>
      <c r="F186" s="26">
        <f>IF(AND(p_dis_year&gt;0,B186&gt;=p_dis_year),1-p_eps_a*p_rho_a^(B186-p_dis_year),1)</f>
        <v/>
      </c>
      <c r="G186" s="26">
        <f>INDEX(Calib!$N$1:$N$13,$D186)*(1-p_rent_decline*MIN(1,C186/26))</f>
        <v/>
      </c>
      <c r="H186" s="26">
        <f>IF(C186=0,0,SUMIFS(dl_val,dl_iso,$A186,dl_ind,"pub_cap",dl_year,$B186)/100)</f>
        <v/>
      </c>
      <c r="I186" s="26">
        <f>IF(C186=0,0,SUMIFS(dl_val,dl_iso,$A186,dl_ind,"pub_spend",dl_year,$B186)/100)</f>
        <v/>
      </c>
      <c r="J186" s="26">
        <f>IF(C186=0,0,SUMIFS(dl_val,dl_iso,$A186,dl_ind,"rev",dl_year,$B186)/100)</f>
        <v/>
      </c>
      <c r="K186" s="26">
        <f>(1-p_delta_g)*K185*(1-p_eps_g*$E186)+INDEX(Calib!$E$1:$E$13,$D186)*(INDEX(Calib!$G$1:$G$13,$D186)+0*$H186)</f>
        <v/>
      </c>
      <c r="L186" s="26">
        <f>L185*(1-p_eps_k*$E186)+p_lambda_k*(N186-L185*(1-p_eps_k*$E186))</f>
        <v/>
      </c>
      <c r="M186" s="26">
        <f>INDEX(Calib!$R$1:$R$13,$D186)*$F186*(K185*(1-p_eps_g*$E186))^INDEX(Calib!$Q$1:$Q$13,$D186)*(L185*(1-p_eps_k*$E186))^p_alpha</f>
        <v/>
      </c>
      <c r="N186" s="26">
        <f>p_alpha*(1-INDEX(Calib!$H$1:$H$13,$D186))*M186/(INDEX(Calib!$K$1:$K$13,$D186)+p_delta)</f>
        <v/>
      </c>
      <c r="O186" s="26">
        <f>M186+$G186</f>
        <v/>
      </c>
      <c r="P186" s="26">
        <f>0*($H186+$I186)</f>
        <v/>
      </c>
      <c r="Q186" s="26">
        <f>INDEX(Calib!$I$1:$I$13,$D186)+p_sh_grant*P186</f>
        <v/>
      </c>
      <c r="R186" s="26">
        <f>INDEX(Calib!$H$1:$H$13,$D186)*M186+p_gov_take*$G186+Q186+0*p_pricing*$J186</f>
        <v/>
      </c>
      <c r="S186" s="26">
        <f>INDEX(Calib!$Y$1:$Y$13,$D186)-INDEX(Calib!$Z$1:$Z$13,$D186)*(V185/O185-INDEX(Calib!$AA$1:$AA$13,$D186))</f>
        <v/>
      </c>
      <c r="T186" s="26">
        <f>INDEX(Calib!$X$1:$X$13,$D186)+INDEX(Calib!$G$1:$G$13,$D186)+P186+S186-R186</f>
        <v/>
      </c>
      <c r="U186" s="26">
        <f>p_rk*W185+Y185*(V185-W185)</f>
        <v/>
      </c>
      <c r="V186" s="26">
        <f>V185+U186+T186</f>
        <v/>
      </c>
      <c r="W186" s="26">
        <f>INDEX(Calib!$U$1:$U$13,$D186)+(W185-INDEX(Calib!$U$1:$U$13,$D186))*(1-p_amort)+p_sh_conc*P186</f>
        <v/>
      </c>
      <c r="X186" s="26">
        <f>V186/O186</f>
        <v/>
      </c>
      <c r="Y186" s="26">
        <f>INDEX(Calib!$K$1:$K$13,$D186)+p_eta*MAX(0,X186-INDEX(Calib!$AA$1:$AA$13,$D186))</f>
        <v/>
      </c>
      <c r="Z186" s="26">
        <f>(1-INDEX(Calib!$H$1:$H$13,$D186))*(1-p_alpha)*M186+S186</f>
        <v/>
      </c>
      <c r="AA186" s="26">
        <f>(1-p_delta_g)*AA185*(1-p_eps_g*$E186)+INDEX(Calib!$E$1:$E$13,$D186)*(INDEX(Calib!$G$1:$G$13,$D186)+p_programme*$H186)</f>
        <v/>
      </c>
      <c r="AB186" s="26">
        <f>AB185*(1-p_eps_k*$E186)+p_lambda_k*(AD186-AB185*(1-p_eps_k*$E186))</f>
        <v/>
      </c>
      <c r="AC186" s="26">
        <f>INDEX(Calib!$R$1:$R$13,$D186)*$F186*(AA185*(1-p_eps_g*$E186))^INDEX(Calib!$Q$1:$Q$13,$D186)*(AB185*(1-p_eps_k*$E186))^p_alpha</f>
        <v/>
      </c>
      <c r="AD186" s="26">
        <f>p_alpha*(1-INDEX(Calib!$H$1:$H$13,$D186))*AC186/(INDEX(Calib!$K$1:$K$13,$D186)+p_delta)</f>
        <v/>
      </c>
      <c r="AE186" s="26">
        <f>AC186+$G186</f>
        <v/>
      </c>
      <c r="AF186" s="26">
        <f>p_programme*($H186+$I186)</f>
        <v/>
      </c>
      <c r="AG186" s="26">
        <f>INDEX(Calib!$I$1:$I$13,$D186)+p_sh_grant*AF186</f>
        <v/>
      </c>
      <c r="AH186" s="26">
        <f>INDEX(Calib!$H$1:$H$13,$D186)*AC186+p_gov_take*$G186+AG186+p_programme*p_pricing*$J186</f>
        <v/>
      </c>
      <c r="AI186" s="26">
        <f>INDEX(Calib!$Y$1:$Y$13,$D186)-INDEX(Calib!$Z$1:$Z$13,$D186)*(AL185/AE185-INDEX(Calib!$AA$1:$AA$13,$D186))</f>
        <v/>
      </c>
      <c r="AJ186" s="26">
        <f>INDEX(Calib!$X$1:$X$13,$D186)+INDEX(Calib!$G$1:$G$13,$D186)+AF186+AI186-AH186</f>
        <v/>
      </c>
      <c r="AK186" s="26">
        <f>p_rk*AM185+AO185*(AL185-AM185)</f>
        <v/>
      </c>
      <c r="AL186" s="26">
        <f>AL185+AK186+AJ186</f>
        <v/>
      </c>
      <c r="AM186" s="26">
        <f>INDEX(Calib!$U$1:$U$13,$D186)+(AM185-INDEX(Calib!$U$1:$U$13,$D186))*(1-p_amort)+p_sh_conc*AF186</f>
        <v/>
      </c>
      <c r="AN186" s="26">
        <f>AL186/AE186</f>
        <v/>
      </c>
      <c r="AO186" s="26">
        <f>INDEX(Calib!$K$1:$K$13,$D186)+p_eta*MAX(0,AN186-INDEX(Calib!$AA$1:$AA$13,$D186))</f>
        <v/>
      </c>
      <c r="AP186" s="26">
        <f>(1-INDEX(Calib!$H$1:$H$13,$D186))*(1-p_alpha)*AC186+AI186</f>
        <v/>
      </c>
      <c r="AQ186" s="26">
        <f>(AE186/O186-1)*100</f>
        <v/>
      </c>
      <c r="AR186" s="26">
        <f>(AE186/AE164-1)*100</f>
        <v/>
      </c>
      <c r="AS186" s="26">
        <f>(O186/O164-1)*100</f>
        <v/>
      </c>
      <c r="AT186" s="26">
        <f>(AN186-X186)*100</f>
        <v/>
      </c>
      <c r="AU186" s="26">
        <f>(AP186/Z186-1)*100</f>
        <v/>
      </c>
      <c r="AV186" s="26">
        <f>(AI186-S186)*100</f>
        <v/>
      </c>
    </row>
    <row r="187">
      <c r="A187" s="25" t="inlineStr">
        <is>
          <t>MOZ</t>
        </is>
      </c>
      <c r="B187" s="25" t="n">
        <v>2047</v>
      </c>
      <c r="C187" s="25" t="n">
        <v>23</v>
      </c>
      <c r="D187" s="25" t="n">
        <v>8</v>
      </c>
      <c r="E187" s="25">
        <f>IF(AND(p_dis_year&gt;0,B187=p_dis_year),1,0)</f>
        <v/>
      </c>
      <c r="F187" s="26">
        <f>IF(AND(p_dis_year&gt;0,B187&gt;=p_dis_year),1-p_eps_a*p_rho_a^(B187-p_dis_year),1)</f>
        <v/>
      </c>
      <c r="G187" s="26">
        <f>INDEX(Calib!$N$1:$N$13,$D187)*(1-p_rent_decline*MIN(1,C187/26))</f>
        <v/>
      </c>
      <c r="H187" s="26">
        <f>IF(C187=0,0,SUMIFS(dl_val,dl_iso,$A187,dl_ind,"pub_cap",dl_year,$B187)/100)</f>
        <v/>
      </c>
      <c r="I187" s="26">
        <f>IF(C187=0,0,SUMIFS(dl_val,dl_iso,$A187,dl_ind,"pub_spend",dl_year,$B187)/100)</f>
        <v/>
      </c>
      <c r="J187" s="26">
        <f>IF(C187=0,0,SUMIFS(dl_val,dl_iso,$A187,dl_ind,"rev",dl_year,$B187)/100)</f>
        <v/>
      </c>
      <c r="K187" s="26">
        <f>(1-p_delta_g)*K186*(1-p_eps_g*$E187)+INDEX(Calib!$E$1:$E$13,$D187)*(INDEX(Calib!$G$1:$G$13,$D187)+0*$H187)</f>
        <v/>
      </c>
      <c r="L187" s="26">
        <f>L186*(1-p_eps_k*$E187)+p_lambda_k*(N187-L186*(1-p_eps_k*$E187))</f>
        <v/>
      </c>
      <c r="M187" s="26">
        <f>INDEX(Calib!$R$1:$R$13,$D187)*$F187*(K186*(1-p_eps_g*$E187))^INDEX(Calib!$Q$1:$Q$13,$D187)*(L186*(1-p_eps_k*$E187))^p_alpha</f>
        <v/>
      </c>
      <c r="N187" s="26">
        <f>p_alpha*(1-INDEX(Calib!$H$1:$H$13,$D187))*M187/(INDEX(Calib!$K$1:$K$13,$D187)+p_delta)</f>
        <v/>
      </c>
      <c r="O187" s="26">
        <f>M187+$G187</f>
        <v/>
      </c>
      <c r="P187" s="26">
        <f>0*($H187+$I187)</f>
        <v/>
      </c>
      <c r="Q187" s="26">
        <f>INDEX(Calib!$I$1:$I$13,$D187)+p_sh_grant*P187</f>
        <v/>
      </c>
      <c r="R187" s="26">
        <f>INDEX(Calib!$H$1:$H$13,$D187)*M187+p_gov_take*$G187+Q187+0*p_pricing*$J187</f>
        <v/>
      </c>
      <c r="S187" s="26">
        <f>INDEX(Calib!$Y$1:$Y$13,$D187)-INDEX(Calib!$Z$1:$Z$13,$D187)*(V186/O186-INDEX(Calib!$AA$1:$AA$13,$D187))</f>
        <v/>
      </c>
      <c r="T187" s="26">
        <f>INDEX(Calib!$X$1:$X$13,$D187)+INDEX(Calib!$G$1:$G$13,$D187)+P187+S187-R187</f>
        <v/>
      </c>
      <c r="U187" s="26">
        <f>p_rk*W186+Y186*(V186-W186)</f>
        <v/>
      </c>
      <c r="V187" s="26">
        <f>V186+U187+T187</f>
        <v/>
      </c>
      <c r="W187" s="26">
        <f>INDEX(Calib!$U$1:$U$13,$D187)+(W186-INDEX(Calib!$U$1:$U$13,$D187))*(1-p_amort)+p_sh_conc*P187</f>
        <v/>
      </c>
      <c r="X187" s="26">
        <f>V187/O187</f>
        <v/>
      </c>
      <c r="Y187" s="26">
        <f>INDEX(Calib!$K$1:$K$13,$D187)+p_eta*MAX(0,X187-INDEX(Calib!$AA$1:$AA$13,$D187))</f>
        <v/>
      </c>
      <c r="Z187" s="26">
        <f>(1-INDEX(Calib!$H$1:$H$13,$D187))*(1-p_alpha)*M187+S187</f>
        <v/>
      </c>
      <c r="AA187" s="26">
        <f>(1-p_delta_g)*AA186*(1-p_eps_g*$E187)+INDEX(Calib!$E$1:$E$13,$D187)*(INDEX(Calib!$G$1:$G$13,$D187)+p_programme*$H187)</f>
        <v/>
      </c>
      <c r="AB187" s="26">
        <f>AB186*(1-p_eps_k*$E187)+p_lambda_k*(AD187-AB186*(1-p_eps_k*$E187))</f>
        <v/>
      </c>
      <c r="AC187" s="26">
        <f>INDEX(Calib!$R$1:$R$13,$D187)*$F187*(AA186*(1-p_eps_g*$E187))^INDEX(Calib!$Q$1:$Q$13,$D187)*(AB186*(1-p_eps_k*$E187))^p_alpha</f>
        <v/>
      </c>
      <c r="AD187" s="26">
        <f>p_alpha*(1-INDEX(Calib!$H$1:$H$13,$D187))*AC187/(INDEX(Calib!$K$1:$K$13,$D187)+p_delta)</f>
        <v/>
      </c>
      <c r="AE187" s="26">
        <f>AC187+$G187</f>
        <v/>
      </c>
      <c r="AF187" s="26">
        <f>p_programme*($H187+$I187)</f>
        <v/>
      </c>
      <c r="AG187" s="26">
        <f>INDEX(Calib!$I$1:$I$13,$D187)+p_sh_grant*AF187</f>
        <v/>
      </c>
      <c r="AH187" s="26">
        <f>INDEX(Calib!$H$1:$H$13,$D187)*AC187+p_gov_take*$G187+AG187+p_programme*p_pricing*$J187</f>
        <v/>
      </c>
      <c r="AI187" s="26">
        <f>INDEX(Calib!$Y$1:$Y$13,$D187)-INDEX(Calib!$Z$1:$Z$13,$D187)*(AL186/AE186-INDEX(Calib!$AA$1:$AA$13,$D187))</f>
        <v/>
      </c>
      <c r="AJ187" s="26">
        <f>INDEX(Calib!$X$1:$X$13,$D187)+INDEX(Calib!$G$1:$G$13,$D187)+AF187+AI187-AH187</f>
        <v/>
      </c>
      <c r="AK187" s="26">
        <f>p_rk*AM186+AO186*(AL186-AM186)</f>
        <v/>
      </c>
      <c r="AL187" s="26">
        <f>AL186+AK187+AJ187</f>
        <v/>
      </c>
      <c r="AM187" s="26">
        <f>INDEX(Calib!$U$1:$U$13,$D187)+(AM186-INDEX(Calib!$U$1:$U$13,$D187))*(1-p_amort)+p_sh_conc*AF187</f>
        <v/>
      </c>
      <c r="AN187" s="26">
        <f>AL187/AE187</f>
        <v/>
      </c>
      <c r="AO187" s="26">
        <f>INDEX(Calib!$K$1:$K$13,$D187)+p_eta*MAX(0,AN187-INDEX(Calib!$AA$1:$AA$13,$D187))</f>
        <v/>
      </c>
      <c r="AP187" s="26">
        <f>(1-INDEX(Calib!$H$1:$H$13,$D187))*(1-p_alpha)*AC187+AI187</f>
        <v/>
      </c>
      <c r="AQ187" s="26">
        <f>(AE187/O187-1)*100</f>
        <v/>
      </c>
      <c r="AR187" s="26">
        <f>(AE187/AE164-1)*100</f>
        <v/>
      </c>
      <c r="AS187" s="26">
        <f>(O187/O164-1)*100</f>
        <v/>
      </c>
      <c r="AT187" s="26">
        <f>(AN187-X187)*100</f>
        <v/>
      </c>
      <c r="AU187" s="26">
        <f>(AP187/Z187-1)*100</f>
        <v/>
      </c>
      <c r="AV187" s="26">
        <f>(AI187-S187)*100</f>
        <v/>
      </c>
    </row>
    <row r="188">
      <c r="A188" s="25" t="inlineStr">
        <is>
          <t>MOZ</t>
        </is>
      </c>
      <c r="B188" s="25" t="n">
        <v>2048</v>
      </c>
      <c r="C188" s="25" t="n">
        <v>24</v>
      </c>
      <c r="D188" s="25" t="n">
        <v>8</v>
      </c>
      <c r="E188" s="25">
        <f>IF(AND(p_dis_year&gt;0,B188=p_dis_year),1,0)</f>
        <v/>
      </c>
      <c r="F188" s="26">
        <f>IF(AND(p_dis_year&gt;0,B188&gt;=p_dis_year),1-p_eps_a*p_rho_a^(B188-p_dis_year),1)</f>
        <v/>
      </c>
      <c r="G188" s="26">
        <f>INDEX(Calib!$N$1:$N$13,$D188)*(1-p_rent_decline*MIN(1,C188/26))</f>
        <v/>
      </c>
      <c r="H188" s="26">
        <f>IF(C188=0,0,SUMIFS(dl_val,dl_iso,$A188,dl_ind,"pub_cap",dl_year,$B188)/100)</f>
        <v/>
      </c>
      <c r="I188" s="26">
        <f>IF(C188=0,0,SUMIFS(dl_val,dl_iso,$A188,dl_ind,"pub_spend",dl_year,$B188)/100)</f>
        <v/>
      </c>
      <c r="J188" s="26">
        <f>IF(C188=0,0,SUMIFS(dl_val,dl_iso,$A188,dl_ind,"rev",dl_year,$B188)/100)</f>
        <v/>
      </c>
      <c r="K188" s="26">
        <f>(1-p_delta_g)*K187*(1-p_eps_g*$E188)+INDEX(Calib!$E$1:$E$13,$D188)*(INDEX(Calib!$G$1:$G$13,$D188)+0*$H188)</f>
        <v/>
      </c>
      <c r="L188" s="26">
        <f>L187*(1-p_eps_k*$E188)+p_lambda_k*(N188-L187*(1-p_eps_k*$E188))</f>
        <v/>
      </c>
      <c r="M188" s="26">
        <f>INDEX(Calib!$R$1:$R$13,$D188)*$F188*(K187*(1-p_eps_g*$E188))^INDEX(Calib!$Q$1:$Q$13,$D188)*(L187*(1-p_eps_k*$E188))^p_alpha</f>
        <v/>
      </c>
      <c r="N188" s="26">
        <f>p_alpha*(1-INDEX(Calib!$H$1:$H$13,$D188))*M188/(INDEX(Calib!$K$1:$K$13,$D188)+p_delta)</f>
        <v/>
      </c>
      <c r="O188" s="26">
        <f>M188+$G188</f>
        <v/>
      </c>
      <c r="P188" s="26">
        <f>0*($H188+$I188)</f>
        <v/>
      </c>
      <c r="Q188" s="26">
        <f>INDEX(Calib!$I$1:$I$13,$D188)+p_sh_grant*P188</f>
        <v/>
      </c>
      <c r="R188" s="26">
        <f>INDEX(Calib!$H$1:$H$13,$D188)*M188+p_gov_take*$G188+Q188+0*p_pricing*$J188</f>
        <v/>
      </c>
      <c r="S188" s="26">
        <f>INDEX(Calib!$Y$1:$Y$13,$D188)-INDEX(Calib!$Z$1:$Z$13,$D188)*(V187/O187-INDEX(Calib!$AA$1:$AA$13,$D188))</f>
        <v/>
      </c>
      <c r="T188" s="26">
        <f>INDEX(Calib!$X$1:$X$13,$D188)+INDEX(Calib!$G$1:$G$13,$D188)+P188+S188-R188</f>
        <v/>
      </c>
      <c r="U188" s="26">
        <f>p_rk*W187+Y187*(V187-W187)</f>
        <v/>
      </c>
      <c r="V188" s="26">
        <f>V187+U188+T188</f>
        <v/>
      </c>
      <c r="W188" s="26">
        <f>INDEX(Calib!$U$1:$U$13,$D188)+(W187-INDEX(Calib!$U$1:$U$13,$D188))*(1-p_amort)+p_sh_conc*P188</f>
        <v/>
      </c>
      <c r="X188" s="26">
        <f>V188/O188</f>
        <v/>
      </c>
      <c r="Y188" s="26">
        <f>INDEX(Calib!$K$1:$K$13,$D188)+p_eta*MAX(0,X188-INDEX(Calib!$AA$1:$AA$13,$D188))</f>
        <v/>
      </c>
      <c r="Z188" s="26">
        <f>(1-INDEX(Calib!$H$1:$H$13,$D188))*(1-p_alpha)*M188+S188</f>
        <v/>
      </c>
      <c r="AA188" s="26">
        <f>(1-p_delta_g)*AA187*(1-p_eps_g*$E188)+INDEX(Calib!$E$1:$E$13,$D188)*(INDEX(Calib!$G$1:$G$13,$D188)+p_programme*$H188)</f>
        <v/>
      </c>
      <c r="AB188" s="26">
        <f>AB187*(1-p_eps_k*$E188)+p_lambda_k*(AD188-AB187*(1-p_eps_k*$E188))</f>
        <v/>
      </c>
      <c r="AC188" s="26">
        <f>INDEX(Calib!$R$1:$R$13,$D188)*$F188*(AA187*(1-p_eps_g*$E188))^INDEX(Calib!$Q$1:$Q$13,$D188)*(AB187*(1-p_eps_k*$E188))^p_alpha</f>
        <v/>
      </c>
      <c r="AD188" s="26">
        <f>p_alpha*(1-INDEX(Calib!$H$1:$H$13,$D188))*AC188/(INDEX(Calib!$K$1:$K$13,$D188)+p_delta)</f>
        <v/>
      </c>
      <c r="AE188" s="26">
        <f>AC188+$G188</f>
        <v/>
      </c>
      <c r="AF188" s="26">
        <f>p_programme*($H188+$I188)</f>
        <v/>
      </c>
      <c r="AG188" s="26">
        <f>INDEX(Calib!$I$1:$I$13,$D188)+p_sh_grant*AF188</f>
        <v/>
      </c>
      <c r="AH188" s="26">
        <f>INDEX(Calib!$H$1:$H$13,$D188)*AC188+p_gov_take*$G188+AG188+p_programme*p_pricing*$J188</f>
        <v/>
      </c>
      <c r="AI188" s="26">
        <f>INDEX(Calib!$Y$1:$Y$13,$D188)-INDEX(Calib!$Z$1:$Z$13,$D188)*(AL187/AE187-INDEX(Calib!$AA$1:$AA$13,$D188))</f>
        <v/>
      </c>
      <c r="AJ188" s="26">
        <f>INDEX(Calib!$X$1:$X$13,$D188)+INDEX(Calib!$G$1:$G$13,$D188)+AF188+AI188-AH188</f>
        <v/>
      </c>
      <c r="AK188" s="26">
        <f>p_rk*AM187+AO187*(AL187-AM187)</f>
        <v/>
      </c>
      <c r="AL188" s="26">
        <f>AL187+AK188+AJ188</f>
        <v/>
      </c>
      <c r="AM188" s="26">
        <f>INDEX(Calib!$U$1:$U$13,$D188)+(AM187-INDEX(Calib!$U$1:$U$13,$D188))*(1-p_amort)+p_sh_conc*AF188</f>
        <v/>
      </c>
      <c r="AN188" s="26">
        <f>AL188/AE188</f>
        <v/>
      </c>
      <c r="AO188" s="26">
        <f>INDEX(Calib!$K$1:$K$13,$D188)+p_eta*MAX(0,AN188-INDEX(Calib!$AA$1:$AA$13,$D188))</f>
        <v/>
      </c>
      <c r="AP188" s="26">
        <f>(1-INDEX(Calib!$H$1:$H$13,$D188))*(1-p_alpha)*AC188+AI188</f>
        <v/>
      </c>
      <c r="AQ188" s="26">
        <f>(AE188/O188-1)*100</f>
        <v/>
      </c>
      <c r="AR188" s="26">
        <f>(AE188/AE164-1)*100</f>
        <v/>
      </c>
      <c r="AS188" s="26">
        <f>(O188/O164-1)*100</f>
        <v/>
      </c>
      <c r="AT188" s="26">
        <f>(AN188-X188)*100</f>
        <v/>
      </c>
      <c r="AU188" s="26">
        <f>(AP188/Z188-1)*100</f>
        <v/>
      </c>
      <c r="AV188" s="26">
        <f>(AI188-S188)*100</f>
        <v/>
      </c>
    </row>
    <row r="189">
      <c r="A189" s="25" t="inlineStr">
        <is>
          <t>MOZ</t>
        </is>
      </c>
      <c r="B189" s="25" t="n">
        <v>2049</v>
      </c>
      <c r="C189" s="25" t="n">
        <v>25</v>
      </c>
      <c r="D189" s="25" t="n">
        <v>8</v>
      </c>
      <c r="E189" s="25">
        <f>IF(AND(p_dis_year&gt;0,B189=p_dis_year),1,0)</f>
        <v/>
      </c>
      <c r="F189" s="26">
        <f>IF(AND(p_dis_year&gt;0,B189&gt;=p_dis_year),1-p_eps_a*p_rho_a^(B189-p_dis_year),1)</f>
        <v/>
      </c>
      <c r="G189" s="26">
        <f>INDEX(Calib!$N$1:$N$13,$D189)*(1-p_rent_decline*MIN(1,C189/26))</f>
        <v/>
      </c>
      <c r="H189" s="26">
        <f>IF(C189=0,0,SUMIFS(dl_val,dl_iso,$A189,dl_ind,"pub_cap",dl_year,$B189)/100)</f>
        <v/>
      </c>
      <c r="I189" s="26">
        <f>IF(C189=0,0,SUMIFS(dl_val,dl_iso,$A189,dl_ind,"pub_spend",dl_year,$B189)/100)</f>
        <v/>
      </c>
      <c r="J189" s="26">
        <f>IF(C189=0,0,SUMIFS(dl_val,dl_iso,$A189,dl_ind,"rev",dl_year,$B189)/100)</f>
        <v/>
      </c>
      <c r="K189" s="26">
        <f>(1-p_delta_g)*K188*(1-p_eps_g*$E189)+INDEX(Calib!$E$1:$E$13,$D189)*(INDEX(Calib!$G$1:$G$13,$D189)+0*$H189)</f>
        <v/>
      </c>
      <c r="L189" s="26">
        <f>L188*(1-p_eps_k*$E189)+p_lambda_k*(N189-L188*(1-p_eps_k*$E189))</f>
        <v/>
      </c>
      <c r="M189" s="26">
        <f>INDEX(Calib!$R$1:$R$13,$D189)*$F189*(K188*(1-p_eps_g*$E189))^INDEX(Calib!$Q$1:$Q$13,$D189)*(L188*(1-p_eps_k*$E189))^p_alpha</f>
        <v/>
      </c>
      <c r="N189" s="26">
        <f>p_alpha*(1-INDEX(Calib!$H$1:$H$13,$D189))*M189/(INDEX(Calib!$K$1:$K$13,$D189)+p_delta)</f>
        <v/>
      </c>
      <c r="O189" s="26">
        <f>M189+$G189</f>
        <v/>
      </c>
      <c r="P189" s="26">
        <f>0*($H189+$I189)</f>
        <v/>
      </c>
      <c r="Q189" s="26">
        <f>INDEX(Calib!$I$1:$I$13,$D189)+p_sh_grant*P189</f>
        <v/>
      </c>
      <c r="R189" s="26">
        <f>INDEX(Calib!$H$1:$H$13,$D189)*M189+p_gov_take*$G189+Q189+0*p_pricing*$J189</f>
        <v/>
      </c>
      <c r="S189" s="26">
        <f>INDEX(Calib!$Y$1:$Y$13,$D189)-INDEX(Calib!$Z$1:$Z$13,$D189)*(V188/O188-INDEX(Calib!$AA$1:$AA$13,$D189))</f>
        <v/>
      </c>
      <c r="T189" s="26">
        <f>INDEX(Calib!$X$1:$X$13,$D189)+INDEX(Calib!$G$1:$G$13,$D189)+P189+S189-R189</f>
        <v/>
      </c>
      <c r="U189" s="26">
        <f>p_rk*W188+Y188*(V188-W188)</f>
        <v/>
      </c>
      <c r="V189" s="26">
        <f>V188+U189+T189</f>
        <v/>
      </c>
      <c r="W189" s="26">
        <f>INDEX(Calib!$U$1:$U$13,$D189)+(W188-INDEX(Calib!$U$1:$U$13,$D189))*(1-p_amort)+p_sh_conc*P189</f>
        <v/>
      </c>
      <c r="X189" s="26">
        <f>V189/O189</f>
        <v/>
      </c>
      <c r="Y189" s="26">
        <f>INDEX(Calib!$K$1:$K$13,$D189)+p_eta*MAX(0,X189-INDEX(Calib!$AA$1:$AA$13,$D189))</f>
        <v/>
      </c>
      <c r="Z189" s="26">
        <f>(1-INDEX(Calib!$H$1:$H$13,$D189))*(1-p_alpha)*M189+S189</f>
        <v/>
      </c>
      <c r="AA189" s="26">
        <f>(1-p_delta_g)*AA188*(1-p_eps_g*$E189)+INDEX(Calib!$E$1:$E$13,$D189)*(INDEX(Calib!$G$1:$G$13,$D189)+p_programme*$H189)</f>
        <v/>
      </c>
      <c r="AB189" s="26">
        <f>AB188*(1-p_eps_k*$E189)+p_lambda_k*(AD189-AB188*(1-p_eps_k*$E189))</f>
        <v/>
      </c>
      <c r="AC189" s="26">
        <f>INDEX(Calib!$R$1:$R$13,$D189)*$F189*(AA188*(1-p_eps_g*$E189))^INDEX(Calib!$Q$1:$Q$13,$D189)*(AB188*(1-p_eps_k*$E189))^p_alpha</f>
        <v/>
      </c>
      <c r="AD189" s="26">
        <f>p_alpha*(1-INDEX(Calib!$H$1:$H$13,$D189))*AC189/(INDEX(Calib!$K$1:$K$13,$D189)+p_delta)</f>
        <v/>
      </c>
      <c r="AE189" s="26">
        <f>AC189+$G189</f>
        <v/>
      </c>
      <c r="AF189" s="26">
        <f>p_programme*($H189+$I189)</f>
        <v/>
      </c>
      <c r="AG189" s="26">
        <f>INDEX(Calib!$I$1:$I$13,$D189)+p_sh_grant*AF189</f>
        <v/>
      </c>
      <c r="AH189" s="26">
        <f>INDEX(Calib!$H$1:$H$13,$D189)*AC189+p_gov_take*$G189+AG189+p_programme*p_pricing*$J189</f>
        <v/>
      </c>
      <c r="AI189" s="26">
        <f>INDEX(Calib!$Y$1:$Y$13,$D189)-INDEX(Calib!$Z$1:$Z$13,$D189)*(AL188/AE188-INDEX(Calib!$AA$1:$AA$13,$D189))</f>
        <v/>
      </c>
      <c r="AJ189" s="26">
        <f>INDEX(Calib!$X$1:$X$13,$D189)+INDEX(Calib!$G$1:$G$13,$D189)+AF189+AI189-AH189</f>
        <v/>
      </c>
      <c r="AK189" s="26">
        <f>p_rk*AM188+AO188*(AL188-AM188)</f>
        <v/>
      </c>
      <c r="AL189" s="26">
        <f>AL188+AK189+AJ189</f>
        <v/>
      </c>
      <c r="AM189" s="26">
        <f>INDEX(Calib!$U$1:$U$13,$D189)+(AM188-INDEX(Calib!$U$1:$U$13,$D189))*(1-p_amort)+p_sh_conc*AF189</f>
        <v/>
      </c>
      <c r="AN189" s="26">
        <f>AL189/AE189</f>
        <v/>
      </c>
      <c r="AO189" s="26">
        <f>INDEX(Calib!$K$1:$K$13,$D189)+p_eta*MAX(0,AN189-INDEX(Calib!$AA$1:$AA$13,$D189))</f>
        <v/>
      </c>
      <c r="AP189" s="26">
        <f>(1-INDEX(Calib!$H$1:$H$13,$D189))*(1-p_alpha)*AC189+AI189</f>
        <v/>
      </c>
      <c r="AQ189" s="26">
        <f>(AE189/O189-1)*100</f>
        <v/>
      </c>
      <c r="AR189" s="26">
        <f>(AE189/AE164-1)*100</f>
        <v/>
      </c>
      <c r="AS189" s="26">
        <f>(O189/O164-1)*100</f>
        <v/>
      </c>
      <c r="AT189" s="26">
        <f>(AN189-X189)*100</f>
        <v/>
      </c>
      <c r="AU189" s="26">
        <f>(AP189/Z189-1)*100</f>
        <v/>
      </c>
      <c r="AV189" s="26">
        <f>(AI189-S189)*100</f>
        <v/>
      </c>
    </row>
    <row r="190">
      <c r="A190" s="25" t="inlineStr">
        <is>
          <t>MOZ</t>
        </is>
      </c>
      <c r="B190" s="25" t="n">
        <v>2050</v>
      </c>
      <c r="C190" s="25" t="n">
        <v>26</v>
      </c>
      <c r="D190" s="25" t="n">
        <v>8</v>
      </c>
      <c r="E190" s="25">
        <f>IF(AND(p_dis_year&gt;0,B190=p_dis_year),1,0)</f>
        <v/>
      </c>
      <c r="F190" s="26">
        <f>IF(AND(p_dis_year&gt;0,B190&gt;=p_dis_year),1-p_eps_a*p_rho_a^(B190-p_dis_year),1)</f>
        <v/>
      </c>
      <c r="G190" s="26">
        <f>INDEX(Calib!$N$1:$N$13,$D190)*(1-p_rent_decline*MIN(1,C190/26))</f>
        <v/>
      </c>
      <c r="H190" s="26">
        <f>IF(C190=0,0,SUMIFS(dl_val,dl_iso,$A190,dl_ind,"pub_cap",dl_year,$B190)/100)</f>
        <v/>
      </c>
      <c r="I190" s="26">
        <f>IF(C190=0,0,SUMIFS(dl_val,dl_iso,$A190,dl_ind,"pub_spend",dl_year,$B190)/100)</f>
        <v/>
      </c>
      <c r="J190" s="26">
        <f>IF(C190=0,0,SUMIFS(dl_val,dl_iso,$A190,dl_ind,"rev",dl_year,$B190)/100)</f>
        <v/>
      </c>
      <c r="K190" s="26">
        <f>(1-p_delta_g)*K189*(1-p_eps_g*$E190)+INDEX(Calib!$E$1:$E$13,$D190)*(INDEX(Calib!$G$1:$G$13,$D190)+0*$H190)</f>
        <v/>
      </c>
      <c r="L190" s="26">
        <f>L189*(1-p_eps_k*$E190)+p_lambda_k*(N190-L189*(1-p_eps_k*$E190))</f>
        <v/>
      </c>
      <c r="M190" s="26">
        <f>INDEX(Calib!$R$1:$R$13,$D190)*$F190*(K189*(1-p_eps_g*$E190))^INDEX(Calib!$Q$1:$Q$13,$D190)*(L189*(1-p_eps_k*$E190))^p_alpha</f>
        <v/>
      </c>
      <c r="N190" s="26">
        <f>p_alpha*(1-INDEX(Calib!$H$1:$H$13,$D190))*M190/(INDEX(Calib!$K$1:$K$13,$D190)+p_delta)</f>
        <v/>
      </c>
      <c r="O190" s="26">
        <f>M190+$G190</f>
        <v/>
      </c>
      <c r="P190" s="26">
        <f>0*($H190+$I190)</f>
        <v/>
      </c>
      <c r="Q190" s="26">
        <f>INDEX(Calib!$I$1:$I$13,$D190)+p_sh_grant*P190</f>
        <v/>
      </c>
      <c r="R190" s="26">
        <f>INDEX(Calib!$H$1:$H$13,$D190)*M190+p_gov_take*$G190+Q190+0*p_pricing*$J190</f>
        <v/>
      </c>
      <c r="S190" s="26">
        <f>INDEX(Calib!$Y$1:$Y$13,$D190)-INDEX(Calib!$Z$1:$Z$13,$D190)*(V189/O189-INDEX(Calib!$AA$1:$AA$13,$D190))</f>
        <v/>
      </c>
      <c r="T190" s="26">
        <f>INDEX(Calib!$X$1:$X$13,$D190)+INDEX(Calib!$G$1:$G$13,$D190)+P190+S190-R190</f>
        <v/>
      </c>
      <c r="U190" s="26">
        <f>p_rk*W189+Y189*(V189-W189)</f>
        <v/>
      </c>
      <c r="V190" s="26">
        <f>V189+U190+T190</f>
        <v/>
      </c>
      <c r="W190" s="26">
        <f>INDEX(Calib!$U$1:$U$13,$D190)+(W189-INDEX(Calib!$U$1:$U$13,$D190))*(1-p_amort)+p_sh_conc*P190</f>
        <v/>
      </c>
      <c r="X190" s="26">
        <f>V190/O190</f>
        <v/>
      </c>
      <c r="Y190" s="26">
        <f>INDEX(Calib!$K$1:$K$13,$D190)+p_eta*MAX(0,X190-INDEX(Calib!$AA$1:$AA$13,$D190))</f>
        <v/>
      </c>
      <c r="Z190" s="26">
        <f>(1-INDEX(Calib!$H$1:$H$13,$D190))*(1-p_alpha)*M190+S190</f>
        <v/>
      </c>
      <c r="AA190" s="26">
        <f>(1-p_delta_g)*AA189*(1-p_eps_g*$E190)+INDEX(Calib!$E$1:$E$13,$D190)*(INDEX(Calib!$G$1:$G$13,$D190)+p_programme*$H190)</f>
        <v/>
      </c>
      <c r="AB190" s="26">
        <f>AB189*(1-p_eps_k*$E190)+p_lambda_k*(AD190-AB189*(1-p_eps_k*$E190))</f>
        <v/>
      </c>
      <c r="AC190" s="26">
        <f>INDEX(Calib!$R$1:$R$13,$D190)*$F190*(AA189*(1-p_eps_g*$E190))^INDEX(Calib!$Q$1:$Q$13,$D190)*(AB189*(1-p_eps_k*$E190))^p_alpha</f>
        <v/>
      </c>
      <c r="AD190" s="26">
        <f>p_alpha*(1-INDEX(Calib!$H$1:$H$13,$D190))*AC190/(INDEX(Calib!$K$1:$K$13,$D190)+p_delta)</f>
        <v/>
      </c>
      <c r="AE190" s="26">
        <f>AC190+$G190</f>
        <v/>
      </c>
      <c r="AF190" s="26">
        <f>p_programme*($H190+$I190)</f>
        <v/>
      </c>
      <c r="AG190" s="26">
        <f>INDEX(Calib!$I$1:$I$13,$D190)+p_sh_grant*AF190</f>
        <v/>
      </c>
      <c r="AH190" s="26">
        <f>INDEX(Calib!$H$1:$H$13,$D190)*AC190+p_gov_take*$G190+AG190+p_programme*p_pricing*$J190</f>
        <v/>
      </c>
      <c r="AI190" s="26">
        <f>INDEX(Calib!$Y$1:$Y$13,$D190)-INDEX(Calib!$Z$1:$Z$13,$D190)*(AL189/AE189-INDEX(Calib!$AA$1:$AA$13,$D190))</f>
        <v/>
      </c>
      <c r="AJ190" s="26">
        <f>INDEX(Calib!$X$1:$X$13,$D190)+INDEX(Calib!$G$1:$G$13,$D190)+AF190+AI190-AH190</f>
        <v/>
      </c>
      <c r="AK190" s="26">
        <f>p_rk*AM189+AO189*(AL189-AM189)</f>
        <v/>
      </c>
      <c r="AL190" s="26">
        <f>AL189+AK190+AJ190</f>
        <v/>
      </c>
      <c r="AM190" s="26">
        <f>INDEX(Calib!$U$1:$U$13,$D190)+(AM189-INDEX(Calib!$U$1:$U$13,$D190))*(1-p_amort)+p_sh_conc*AF190</f>
        <v/>
      </c>
      <c r="AN190" s="26">
        <f>AL190/AE190</f>
        <v/>
      </c>
      <c r="AO190" s="26">
        <f>INDEX(Calib!$K$1:$K$13,$D190)+p_eta*MAX(0,AN190-INDEX(Calib!$AA$1:$AA$13,$D190))</f>
        <v/>
      </c>
      <c r="AP190" s="26">
        <f>(1-INDEX(Calib!$H$1:$H$13,$D190))*(1-p_alpha)*AC190+AI190</f>
        <v/>
      </c>
      <c r="AQ190" s="26">
        <f>(AE190/O190-1)*100</f>
        <v/>
      </c>
      <c r="AR190" s="26">
        <f>(AE190/AE164-1)*100</f>
        <v/>
      </c>
      <c r="AS190" s="26">
        <f>(O190/O164-1)*100</f>
        <v/>
      </c>
      <c r="AT190" s="26">
        <f>(AN190-X190)*100</f>
        <v/>
      </c>
      <c r="AU190" s="26">
        <f>(AP190/Z190-1)*100</f>
        <v/>
      </c>
      <c r="AV190" s="26">
        <f>(AI190-S190)*100</f>
        <v/>
      </c>
    </row>
    <row r="191">
      <c r="A191" s="25" t="inlineStr">
        <is>
          <t>GHA</t>
        </is>
      </c>
      <c r="B191" s="25" t="n">
        <v>2024</v>
      </c>
      <c r="C191" s="25" t="n">
        <v>0</v>
      </c>
      <c r="D191" s="25" t="n">
        <v>9</v>
      </c>
      <c r="E191" s="25">
        <f>IF(AND(p_dis_year&gt;0,B191=p_dis_year),1,0)</f>
        <v/>
      </c>
      <c r="F191" s="26">
        <f>IF(AND(p_dis_year&gt;0,B191&gt;=p_dis_year),1-p_eps_a*p_rho_a^(B191-p_dis_year),1)</f>
        <v/>
      </c>
      <c r="G191" s="26">
        <f>INDEX(Calib!$N$1:$N$13,$D191)*(1-p_rent_decline*MIN(1,C191/26))</f>
        <v/>
      </c>
      <c r="H191" s="26">
        <f>IF(C191=0,0,SUMIFS(dl_val,dl_iso,$A191,dl_ind,"pub_cap",dl_year,$B191)/100)</f>
        <v/>
      </c>
      <c r="I191" s="26">
        <f>IF(C191=0,0,SUMIFS(dl_val,dl_iso,$A191,dl_ind,"pub_spend",dl_year,$B191)/100)</f>
        <v/>
      </c>
      <c r="J191" s="26">
        <f>IF(C191=0,0,SUMIFS(dl_val,dl_iso,$A191,dl_ind,"rev",dl_year,$B191)/100)</f>
        <v/>
      </c>
      <c r="K191" s="26">
        <f>INDEX(Calib!$P$1:$P$13,$D191)</f>
        <v/>
      </c>
      <c r="L191" s="26">
        <f>INDEX(Calib!$O$1:$O$13,$D191)</f>
        <v/>
      </c>
      <c r="M191" s="26">
        <f>1</f>
        <v/>
      </c>
      <c r="N191" s="26">
        <f>INDEX(Calib!$O$1:$O$13,$D191)</f>
        <v/>
      </c>
      <c r="O191" s="26">
        <f>INDEX(Calib!$S$1:$S$13,$D191)</f>
        <v/>
      </c>
      <c r="P191" s="26">
        <f>0</f>
        <v/>
      </c>
      <c r="Q191" s="26">
        <f>INDEX(Calib!$I$1:$I$13,$D191)</f>
        <v/>
      </c>
      <c r="R191" s="26">
        <f>INDEX(Calib!$W$1:$W$13,$D191)</f>
        <v/>
      </c>
      <c r="S191" s="26">
        <f>INDEX(Calib!$Y$1:$Y$13,$D191)</f>
        <v/>
      </c>
      <c r="T191" s="26">
        <f>-INDEX(Calib!$V$1:$V$13,$D191)</f>
        <v/>
      </c>
      <c r="U191" s="26">
        <f>INDEX(Calib!$V$1:$V$13,$D191)</f>
        <v/>
      </c>
      <c r="V191" s="26">
        <f>INDEX(Calib!$T$1:$T$13,$D191)</f>
        <v/>
      </c>
      <c r="W191" s="26">
        <f>INDEX(Calib!$U$1:$U$13,$D191)</f>
        <v/>
      </c>
      <c r="X191" s="26">
        <f>V191/O191</f>
        <v/>
      </c>
      <c r="Y191" s="26">
        <f>INDEX(Calib!$K$1:$K$13,$D191)</f>
        <v/>
      </c>
      <c r="Z191" s="26">
        <f>(1-INDEX(Calib!$H$1:$H$13,$D191))*(1-p_alpha)*M191+S191</f>
        <v/>
      </c>
      <c r="AA191" s="26">
        <f>INDEX(Calib!$P$1:$P$13,$D191)</f>
        <v/>
      </c>
      <c r="AB191" s="26">
        <f>INDEX(Calib!$O$1:$O$13,$D191)</f>
        <v/>
      </c>
      <c r="AC191" s="26">
        <f>1</f>
        <v/>
      </c>
      <c r="AD191" s="26">
        <f>INDEX(Calib!$O$1:$O$13,$D191)</f>
        <v/>
      </c>
      <c r="AE191" s="26">
        <f>INDEX(Calib!$S$1:$S$13,$D191)</f>
        <v/>
      </c>
      <c r="AF191" s="26">
        <f>0</f>
        <v/>
      </c>
      <c r="AG191" s="26">
        <f>INDEX(Calib!$I$1:$I$13,$D191)</f>
        <v/>
      </c>
      <c r="AH191" s="26">
        <f>INDEX(Calib!$W$1:$W$13,$D191)</f>
        <v/>
      </c>
      <c r="AI191" s="26">
        <f>INDEX(Calib!$Y$1:$Y$13,$D191)</f>
        <v/>
      </c>
      <c r="AJ191" s="26">
        <f>-INDEX(Calib!$V$1:$V$13,$D191)</f>
        <v/>
      </c>
      <c r="AK191" s="26">
        <f>INDEX(Calib!$V$1:$V$13,$D191)</f>
        <v/>
      </c>
      <c r="AL191" s="26">
        <f>INDEX(Calib!$T$1:$T$13,$D191)</f>
        <v/>
      </c>
      <c r="AM191" s="26">
        <f>INDEX(Calib!$U$1:$U$13,$D191)</f>
        <v/>
      </c>
      <c r="AN191" s="26">
        <f>AL191/AE191</f>
        <v/>
      </c>
      <c r="AO191" s="26">
        <f>INDEX(Calib!$K$1:$K$13,$D191)</f>
        <v/>
      </c>
      <c r="AP191" s="26">
        <f>(1-INDEX(Calib!$H$1:$H$13,$D191))*(1-p_alpha)*AC191+AI191</f>
        <v/>
      </c>
      <c r="AQ191" s="26">
        <f>(AE191/O191-1)*100</f>
        <v/>
      </c>
      <c r="AR191" s="26">
        <f>(AE191/AE191-1)*100</f>
        <v/>
      </c>
      <c r="AS191" s="26">
        <f>(O191/O191-1)*100</f>
        <v/>
      </c>
      <c r="AT191" s="26">
        <f>(AN191-X191)*100</f>
        <v/>
      </c>
      <c r="AU191" s="26">
        <f>(AP191/Z191-1)*100</f>
        <v/>
      </c>
      <c r="AV191" s="26">
        <f>(AI191-S191)*100</f>
        <v/>
      </c>
    </row>
    <row r="192">
      <c r="A192" s="25" t="inlineStr">
        <is>
          <t>GHA</t>
        </is>
      </c>
      <c r="B192" s="25" t="n">
        <v>2025</v>
      </c>
      <c r="C192" s="25" t="n">
        <v>1</v>
      </c>
      <c r="D192" s="25" t="n">
        <v>9</v>
      </c>
      <c r="E192" s="25">
        <f>IF(AND(p_dis_year&gt;0,B192=p_dis_year),1,0)</f>
        <v/>
      </c>
      <c r="F192" s="26">
        <f>IF(AND(p_dis_year&gt;0,B192&gt;=p_dis_year),1-p_eps_a*p_rho_a^(B192-p_dis_year),1)</f>
        <v/>
      </c>
      <c r="G192" s="26">
        <f>INDEX(Calib!$N$1:$N$13,$D192)*(1-p_rent_decline*MIN(1,C192/26))</f>
        <v/>
      </c>
      <c r="H192" s="26">
        <f>IF(C192=0,0,SUMIFS(dl_val,dl_iso,$A192,dl_ind,"pub_cap",dl_year,$B192)/100)</f>
        <v/>
      </c>
      <c r="I192" s="26">
        <f>IF(C192=0,0,SUMIFS(dl_val,dl_iso,$A192,dl_ind,"pub_spend",dl_year,$B192)/100)</f>
        <v/>
      </c>
      <c r="J192" s="26">
        <f>IF(C192=0,0,SUMIFS(dl_val,dl_iso,$A192,dl_ind,"rev",dl_year,$B192)/100)</f>
        <v/>
      </c>
      <c r="K192" s="26">
        <f>(1-p_delta_g)*K191*(1-p_eps_g*$E192)+INDEX(Calib!$E$1:$E$13,$D192)*(INDEX(Calib!$G$1:$G$13,$D192)+0*$H192)</f>
        <v/>
      </c>
      <c r="L192" s="26">
        <f>L191*(1-p_eps_k*$E192)+p_lambda_k*(N192-L191*(1-p_eps_k*$E192))</f>
        <v/>
      </c>
      <c r="M192" s="26">
        <f>INDEX(Calib!$R$1:$R$13,$D192)*$F192*(K191*(1-p_eps_g*$E192))^INDEX(Calib!$Q$1:$Q$13,$D192)*(L191*(1-p_eps_k*$E192))^p_alpha</f>
        <v/>
      </c>
      <c r="N192" s="26">
        <f>p_alpha*(1-INDEX(Calib!$H$1:$H$13,$D192))*M192/(INDEX(Calib!$K$1:$K$13,$D192)+p_delta)</f>
        <v/>
      </c>
      <c r="O192" s="26">
        <f>M192+$G192</f>
        <v/>
      </c>
      <c r="P192" s="26">
        <f>0*($H192+$I192)</f>
        <v/>
      </c>
      <c r="Q192" s="26">
        <f>INDEX(Calib!$I$1:$I$13,$D192)+p_sh_grant*P192</f>
        <v/>
      </c>
      <c r="R192" s="26">
        <f>INDEX(Calib!$H$1:$H$13,$D192)*M192+p_gov_take*$G192+Q192+0*p_pricing*$J192</f>
        <v/>
      </c>
      <c r="S192" s="26">
        <f>INDEX(Calib!$Y$1:$Y$13,$D192)-INDEX(Calib!$Z$1:$Z$13,$D192)*(V191/O191-INDEX(Calib!$AA$1:$AA$13,$D192))</f>
        <v/>
      </c>
      <c r="T192" s="26">
        <f>INDEX(Calib!$X$1:$X$13,$D192)+INDEX(Calib!$G$1:$G$13,$D192)+P192+S192-R192</f>
        <v/>
      </c>
      <c r="U192" s="26">
        <f>p_rk*W191+Y191*(V191-W191)</f>
        <v/>
      </c>
      <c r="V192" s="26">
        <f>V191+U192+T192</f>
        <v/>
      </c>
      <c r="W192" s="26">
        <f>INDEX(Calib!$U$1:$U$13,$D192)+(W191-INDEX(Calib!$U$1:$U$13,$D192))*(1-p_amort)+p_sh_conc*P192</f>
        <v/>
      </c>
      <c r="X192" s="26">
        <f>V192/O192</f>
        <v/>
      </c>
      <c r="Y192" s="26">
        <f>INDEX(Calib!$K$1:$K$13,$D192)+p_eta*MAX(0,X192-INDEX(Calib!$AA$1:$AA$13,$D192))</f>
        <v/>
      </c>
      <c r="Z192" s="26">
        <f>(1-INDEX(Calib!$H$1:$H$13,$D192))*(1-p_alpha)*M192+S192</f>
        <v/>
      </c>
      <c r="AA192" s="26">
        <f>(1-p_delta_g)*AA191*(1-p_eps_g*$E192)+INDEX(Calib!$E$1:$E$13,$D192)*(INDEX(Calib!$G$1:$G$13,$D192)+p_programme*$H192)</f>
        <v/>
      </c>
      <c r="AB192" s="26">
        <f>AB191*(1-p_eps_k*$E192)+p_lambda_k*(AD192-AB191*(1-p_eps_k*$E192))</f>
        <v/>
      </c>
      <c r="AC192" s="26">
        <f>INDEX(Calib!$R$1:$R$13,$D192)*$F192*(AA191*(1-p_eps_g*$E192))^INDEX(Calib!$Q$1:$Q$13,$D192)*(AB191*(1-p_eps_k*$E192))^p_alpha</f>
        <v/>
      </c>
      <c r="AD192" s="26">
        <f>p_alpha*(1-INDEX(Calib!$H$1:$H$13,$D192))*AC192/(INDEX(Calib!$K$1:$K$13,$D192)+p_delta)</f>
        <v/>
      </c>
      <c r="AE192" s="26">
        <f>AC192+$G192</f>
        <v/>
      </c>
      <c r="AF192" s="26">
        <f>p_programme*($H192+$I192)</f>
        <v/>
      </c>
      <c r="AG192" s="26">
        <f>INDEX(Calib!$I$1:$I$13,$D192)+p_sh_grant*AF192</f>
        <v/>
      </c>
      <c r="AH192" s="26">
        <f>INDEX(Calib!$H$1:$H$13,$D192)*AC192+p_gov_take*$G192+AG192+p_programme*p_pricing*$J192</f>
        <v/>
      </c>
      <c r="AI192" s="26">
        <f>INDEX(Calib!$Y$1:$Y$13,$D192)-INDEX(Calib!$Z$1:$Z$13,$D192)*(AL191/AE191-INDEX(Calib!$AA$1:$AA$13,$D192))</f>
        <v/>
      </c>
      <c r="AJ192" s="26">
        <f>INDEX(Calib!$X$1:$X$13,$D192)+INDEX(Calib!$G$1:$G$13,$D192)+AF192+AI192-AH192</f>
        <v/>
      </c>
      <c r="AK192" s="26">
        <f>p_rk*AM191+AO191*(AL191-AM191)</f>
        <v/>
      </c>
      <c r="AL192" s="26">
        <f>AL191+AK192+AJ192</f>
        <v/>
      </c>
      <c r="AM192" s="26">
        <f>INDEX(Calib!$U$1:$U$13,$D192)+(AM191-INDEX(Calib!$U$1:$U$13,$D192))*(1-p_amort)+p_sh_conc*AF192</f>
        <v/>
      </c>
      <c r="AN192" s="26">
        <f>AL192/AE192</f>
        <v/>
      </c>
      <c r="AO192" s="26">
        <f>INDEX(Calib!$K$1:$K$13,$D192)+p_eta*MAX(0,AN192-INDEX(Calib!$AA$1:$AA$13,$D192))</f>
        <v/>
      </c>
      <c r="AP192" s="26">
        <f>(1-INDEX(Calib!$H$1:$H$13,$D192))*(1-p_alpha)*AC192+AI192</f>
        <v/>
      </c>
      <c r="AQ192" s="26">
        <f>(AE192/O192-1)*100</f>
        <v/>
      </c>
      <c r="AR192" s="26">
        <f>(AE192/AE191-1)*100</f>
        <v/>
      </c>
      <c r="AS192" s="26">
        <f>(O192/O191-1)*100</f>
        <v/>
      </c>
      <c r="AT192" s="26">
        <f>(AN192-X192)*100</f>
        <v/>
      </c>
      <c r="AU192" s="26">
        <f>(AP192/Z192-1)*100</f>
        <v/>
      </c>
      <c r="AV192" s="26">
        <f>(AI192-S192)*100</f>
        <v/>
      </c>
    </row>
    <row r="193">
      <c r="A193" s="25" t="inlineStr">
        <is>
          <t>GHA</t>
        </is>
      </c>
      <c r="B193" s="25" t="n">
        <v>2026</v>
      </c>
      <c r="C193" s="25" t="n">
        <v>2</v>
      </c>
      <c r="D193" s="25" t="n">
        <v>9</v>
      </c>
      <c r="E193" s="25">
        <f>IF(AND(p_dis_year&gt;0,B193=p_dis_year),1,0)</f>
        <v/>
      </c>
      <c r="F193" s="26">
        <f>IF(AND(p_dis_year&gt;0,B193&gt;=p_dis_year),1-p_eps_a*p_rho_a^(B193-p_dis_year),1)</f>
        <v/>
      </c>
      <c r="G193" s="26">
        <f>INDEX(Calib!$N$1:$N$13,$D193)*(1-p_rent_decline*MIN(1,C193/26))</f>
        <v/>
      </c>
      <c r="H193" s="26">
        <f>IF(C193=0,0,SUMIFS(dl_val,dl_iso,$A193,dl_ind,"pub_cap",dl_year,$B193)/100)</f>
        <v/>
      </c>
      <c r="I193" s="26">
        <f>IF(C193=0,0,SUMIFS(dl_val,dl_iso,$A193,dl_ind,"pub_spend",dl_year,$B193)/100)</f>
        <v/>
      </c>
      <c r="J193" s="26">
        <f>IF(C193=0,0,SUMIFS(dl_val,dl_iso,$A193,dl_ind,"rev",dl_year,$B193)/100)</f>
        <v/>
      </c>
      <c r="K193" s="26">
        <f>(1-p_delta_g)*K192*(1-p_eps_g*$E193)+INDEX(Calib!$E$1:$E$13,$D193)*(INDEX(Calib!$G$1:$G$13,$D193)+0*$H193)</f>
        <v/>
      </c>
      <c r="L193" s="26">
        <f>L192*(1-p_eps_k*$E193)+p_lambda_k*(N193-L192*(1-p_eps_k*$E193))</f>
        <v/>
      </c>
      <c r="M193" s="26">
        <f>INDEX(Calib!$R$1:$R$13,$D193)*$F193*(K192*(1-p_eps_g*$E193))^INDEX(Calib!$Q$1:$Q$13,$D193)*(L192*(1-p_eps_k*$E193))^p_alpha</f>
        <v/>
      </c>
      <c r="N193" s="26">
        <f>p_alpha*(1-INDEX(Calib!$H$1:$H$13,$D193))*M193/(INDEX(Calib!$K$1:$K$13,$D193)+p_delta)</f>
        <v/>
      </c>
      <c r="O193" s="26">
        <f>M193+$G193</f>
        <v/>
      </c>
      <c r="P193" s="26">
        <f>0*($H193+$I193)</f>
        <v/>
      </c>
      <c r="Q193" s="26">
        <f>INDEX(Calib!$I$1:$I$13,$D193)+p_sh_grant*P193</f>
        <v/>
      </c>
      <c r="R193" s="26">
        <f>INDEX(Calib!$H$1:$H$13,$D193)*M193+p_gov_take*$G193+Q193+0*p_pricing*$J193</f>
        <v/>
      </c>
      <c r="S193" s="26">
        <f>INDEX(Calib!$Y$1:$Y$13,$D193)-INDEX(Calib!$Z$1:$Z$13,$D193)*(V192/O192-INDEX(Calib!$AA$1:$AA$13,$D193))</f>
        <v/>
      </c>
      <c r="T193" s="26">
        <f>INDEX(Calib!$X$1:$X$13,$D193)+INDEX(Calib!$G$1:$G$13,$D193)+P193+S193-R193</f>
        <v/>
      </c>
      <c r="U193" s="26">
        <f>p_rk*W192+Y192*(V192-W192)</f>
        <v/>
      </c>
      <c r="V193" s="26">
        <f>V192+U193+T193</f>
        <v/>
      </c>
      <c r="W193" s="26">
        <f>INDEX(Calib!$U$1:$U$13,$D193)+(W192-INDEX(Calib!$U$1:$U$13,$D193))*(1-p_amort)+p_sh_conc*P193</f>
        <v/>
      </c>
      <c r="X193" s="26">
        <f>V193/O193</f>
        <v/>
      </c>
      <c r="Y193" s="26">
        <f>INDEX(Calib!$K$1:$K$13,$D193)+p_eta*MAX(0,X193-INDEX(Calib!$AA$1:$AA$13,$D193))</f>
        <v/>
      </c>
      <c r="Z193" s="26">
        <f>(1-INDEX(Calib!$H$1:$H$13,$D193))*(1-p_alpha)*M193+S193</f>
        <v/>
      </c>
      <c r="AA193" s="26">
        <f>(1-p_delta_g)*AA192*(1-p_eps_g*$E193)+INDEX(Calib!$E$1:$E$13,$D193)*(INDEX(Calib!$G$1:$G$13,$D193)+p_programme*$H193)</f>
        <v/>
      </c>
      <c r="AB193" s="26">
        <f>AB192*(1-p_eps_k*$E193)+p_lambda_k*(AD193-AB192*(1-p_eps_k*$E193))</f>
        <v/>
      </c>
      <c r="AC193" s="26">
        <f>INDEX(Calib!$R$1:$R$13,$D193)*$F193*(AA192*(1-p_eps_g*$E193))^INDEX(Calib!$Q$1:$Q$13,$D193)*(AB192*(1-p_eps_k*$E193))^p_alpha</f>
        <v/>
      </c>
      <c r="AD193" s="26">
        <f>p_alpha*(1-INDEX(Calib!$H$1:$H$13,$D193))*AC193/(INDEX(Calib!$K$1:$K$13,$D193)+p_delta)</f>
        <v/>
      </c>
      <c r="AE193" s="26">
        <f>AC193+$G193</f>
        <v/>
      </c>
      <c r="AF193" s="26">
        <f>p_programme*($H193+$I193)</f>
        <v/>
      </c>
      <c r="AG193" s="26">
        <f>INDEX(Calib!$I$1:$I$13,$D193)+p_sh_grant*AF193</f>
        <v/>
      </c>
      <c r="AH193" s="26">
        <f>INDEX(Calib!$H$1:$H$13,$D193)*AC193+p_gov_take*$G193+AG193+p_programme*p_pricing*$J193</f>
        <v/>
      </c>
      <c r="AI193" s="26">
        <f>INDEX(Calib!$Y$1:$Y$13,$D193)-INDEX(Calib!$Z$1:$Z$13,$D193)*(AL192/AE192-INDEX(Calib!$AA$1:$AA$13,$D193))</f>
        <v/>
      </c>
      <c r="AJ193" s="26">
        <f>INDEX(Calib!$X$1:$X$13,$D193)+INDEX(Calib!$G$1:$G$13,$D193)+AF193+AI193-AH193</f>
        <v/>
      </c>
      <c r="AK193" s="26">
        <f>p_rk*AM192+AO192*(AL192-AM192)</f>
        <v/>
      </c>
      <c r="AL193" s="26">
        <f>AL192+AK193+AJ193</f>
        <v/>
      </c>
      <c r="AM193" s="26">
        <f>INDEX(Calib!$U$1:$U$13,$D193)+(AM192-INDEX(Calib!$U$1:$U$13,$D193))*(1-p_amort)+p_sh_conc*AF193</f>
        <v/>
      </c>
      <c r="AN193" s="26">
        <f>AL193/AE193</f>
        <v/>
      </c>
      <c r="AO193" s="26">
        <f>INDEX(Calib!$K$1:$K$13,$D193)+p_eta*MAX(0,AN193-INDEX(Calib!$AA$1:$AA$13,$D193))</f>
        <v/>
      </c>
      <c r="AP193" s="26">
        <f>(1-INDEX(Calib!$H$1:$H$13,$D193))*(1-p_alpha)*AC193+AI193</f>
        <v/>
      </c>
      <c r="AQ193" s="26">
        <f>(AE193/O193-1)*100</f>
        <v/>
      </c>
      <c r="AR193" s="26">
        <f>(AE193/AE191-1)*100</f>
        <v/>
      </c>
      <c r="AS193" s="26">
        <f>(O193/O191-1)*100</f>
        <v/>
      </c>
      <c r="AT193" s="26">
        <f>(AN193-X193)*100</f>
        <v/>
      </c>
      <c r="AU193" s="26">
        <f>(AP193/Z193-1)*100</f>
        <v/>
      </c>
      <c r="AV193" s="26">
        <f>(AI193-S193)*100</f>
        <v/>
      </c>
    </row>
    <row r="194">
      <c r="A194" s="25" t="inlineStr">
        <is>
          <t>GHA</t>
        </is>
      </c>
      <c r="B194" s="25" t="n">
        <v>2027</v>
      </c>
      <c r="C194" s="25" t="n">
        <v>3</v>
      </c>
      <c r="D194" s="25" t="n">
        <v>9</v>
      </c>
      <c r="E194" s="25">
        <f>IF(AND(p_dis_year&gt;0,B194=p_dis_year),1,0)</f>
        <v/>
      </c>
      <c r="F194" s="26">
        <f>IF(AND(p_dis_year&gt;0,B194&gt;=p_dis_year),1-p_eps_a*p_rho_a^(B194-p_dis_year),1)</f>
        <v/>
      </c>
      <c r="G194" s="26">
        <f>INDEX(Calib!$N$1:$N$13,$D194)*(1-p_rent_decline*MIN(1,C194/26))</f>
        <v/>
      </c>
      <c r="H194" s="26">
        <f>IF(C194=0,0,SUMIFS(dl_val,dl_iso,$A194,dl_ind,"pub_cap",dl_year,$B194)/100)</f>
        <v/>
      </c>
      <c r="I194" s="26">
        <f>IF(C194=0,0,SUMIFS(dl_val,dl_iso,$A194,dl_ind,"pub_spend",dl_year,$B194)/100)</f>
        <v/>
      </c>
      <c r="J194" s="26">
        <f>IF(C194=0,0,SUMIFS(dl_val,dl_iso,$A194,dl_ind,"rev",dl_year,$B194)/100)</f>
        <v/>
      </c>
      <c r="K194" s="26">
        <f>(1-p_delta_g)*K193*(1-p_eps_g*$E194)+INDEX(Calib!$E$1:$E$13,$D194)*(INDEX(Calib!$G$1:$G$13,$D194)+0*$H194)</f>
        <v/>
      </c>
      <c r="L194" s="26">
        <f>L193*(1-p_eps_k*$E194)+p_lambda_k*(N194-L193*(1-p_eps_k*$E194))</f>
        <v/>
      </c>
      <c r="M194" s="26">
        <f>INDEX(Calib!$R$1:$R$13,$D194)*$F194*(K193*(1-p_eps_g*$E194))^INDEX(Calib!$Q$1:$Q$13,$D194)*(L193*(1-p_eps_k*$E194))^p_alpha</f>
        <v/>
      </c>
      <c r="N194" s="26">
        <f>p_alpha*(1-INDEX(Calib!$H$1:$H$13,$D194))*M194/(INDEX(Calib!$K$1:$K$13,$D194)+p_delta)</f>
        <v/>
      </c>
      <c r="O194" s="26">
        <f>M194+$G194</f>
        <v/>
      </c>
      <c r="P194" s="26">
        <f>0*($H194+$I194)</f>
        <v/>
      </c>
      <c r="Q194" s="26">
        <f>INDEX(Calib!$I$1:$I$13,$D194)+p_sh_grant*P194</f>
        <v/>
      </c>
      <c r="R194" s="26">
        <f>INDEX(Calib!$H$1:$H$13,$D194)*M194+p_gov_take*$G194+Q194+0*p_pricing*$J194</f>
        <v/>
      </c>
      <c r="S194" s="26">
        <f>INDEX(Calib!$Y$1:$Y$13,$D194)-INDEX(Calib!$Z$1:$Z$13,$D194)*(V193/O193-INDEX(Calib!$AA$1:$AA$13,$D194))</f>
        <v/>
      </c>
      <c r="T194" s="26">
        <f>INDEX(Calib!$X$1:$X$13,$D194)+INDEX(Calib!$G$1:$G$13,$D194)+P194+S194-R194</f>
        <v/>
      </c>
      <c r="U194" s="26">
        <f>p_rk*W193+Y193*(V193-W193)</f>
        <v/>
      </c>
      <c r="V194" s="26">
        <f>V193+U194+T194</f>
        <v/>
      </c>
      <c r="W194" s="26">
        <f>INDEX(Calib!$U$1:$U$13,$D194)+(W193-INDEX(Calib!$U$1:$U$13,$D194))*(1-p_amort)+p_sh_conc*P194</f>
        <v/>
      </c>
      <c r="X194" s="26">
        <f>V194/O194</f>
        <v/>
      </c>
      <c r="Y194" s="26">
        <f>INDEX(Calib!$K$1:$K$13,$D194)+p_eta*MAX(0,X194-INDEX(Calib!$AA$1:$AA$13,$D194))</f>
        <v/>
      </c>
      <c r="Z194" s="26">
        <f>(1-INDEX(Calib!$H$1:$H$13,$D194))*(1-p_alpha)*M194+S194</f>
        <v/>
      </c>
      <c r="AA194" s="26">
        <f>(1-p_delta_g)*AA193*(1-p_eps_g*$E194)+INDEX(Calib!$E$1:$E$13,$D194)*(INDEX(Calib!$G$1:$G$13,$D194)+p_programme*$H194)</f>
        <v/>
      </c>
      <c r="AB194" s="26">
        <f>AB193*(1-p_eps_k*$E194)+p_lambda_k*(AD194-AB193*(1-p_eps_k*$E194))</f>
        <v/>
      </c>
      <c r="AC194" s="26">
        <f>INDEX(Calib!$R$1:$R$13,$D194)*$F194*(AA193*(1-p_eps_g*$E194))^INDEX(Calib!$Q$1:$Q$13,$D194)*(AB193*(1-p_eps_k*$E194))^p_alpha</f>
        <v/>
      </c>
      <c r="AD194" s="26">
        <f>p_alpha*(1-INDEX(Calib!$H$1:$H$13,$D194))*AC194/(INDEX(Calib!$K$1:$K$13,$D194)+p_delta)</f>
        <v/>
      </c>
      <c r="AE194" s="26">
        <f>AC194+$G194</f>
        <v/>
      </c>
      <c r="AF194" s="26">
        <f>p_programme*($H194+$I194)</f>
        <v/>
      </c>
      <c r="AG194" s="26">
        <f>INDEX(Calib!$I$1:$I$13,$D194)+p_sh_grant*AF194</f>
        <v/>
      </c>
      <c r="AH194" s="26">
        <f>INDEX(Calib!$H$1:$H$13,$D194)*AC194+p_gov_take*$G194+AG194+p_programme*p_pricing*$J194</f>
        <v/>
      </c>
      <c r="AI194" s="26">
        <f>INDEX(Calib!$Y$1:$Y$13,$D194)-INDEX(Calib!$Z$1:$Z$13,$D194)*(AL193/AE193-INDEX(Calib!$AA$1:$AA$13,$D194))</f>
        <v/>
      </c>
      <c r="AJ194" s="26">
        <f>INDEX(Calib!$X$1:$X$13,$D194)+INDEX(Calib!$G$1:$G$13,$D194)+AF194+AI194-AH194</f>
        <v/>
      </c>
      <c r="AK194" s="26">
        <f>p_rk*AM193+AO193*(AL193-AM193)</f>
        <v/>
      </c>
      <c r="AL194" s="26">
        <f>AL193+AK194+AJ194</f>
        <v/>
      </c>
      <c r="AM194" s="26">
        <f>INDEX(Calib!$U$1:$U$13,$D194)+(AM193-INDEX(Calib!$U$1:$U$13,$D194))*(1-p_amort)+p_sh_conc*AF194</f>
        <v/>
      </c>
      <c r="AN194" s="26">
        <f>AL194/AE194</f>
        <v/>
      </c>
      <c r="AO194" s="26">
        <f>INDEX(Calib!$K$1:$K$13,$D194)+p_eta*MAX(0,AN194-INDEX(Calib!$AA$1:$AA$13,$D194))</f>
        <v/>
      </c>
      <c r="AP194" s="26">
        <f>(1-INDEX(Calib!$H$1:$H$13,$D194))*(1-p_alpha)*AC194+AI194</f>
        <v/>
      </c>
      <c r="AQ194" s="26">
        <f>(AE194/O194-1)*100</f>
        <v/>
      </c>
      <c r="AR194" s="26">
        <f>(AE194/AE191-1)*100</f>
        <v/>
      </c>
      <c r="AS194" s="26">
        <f>(O194/O191-1)*100</f>
        <v/>
      </c>
      <c r="AT194" s="26">
        <f>(AN194-X194)*100</f>
        <v/>
      </c>
      <c r="AU194" s="26">
        <f>(AP194/Z194-1)*100</f>
        <v/>
      </c>
      <c r="AV194" s="26">
        <f>(AI194-S194)*100</f>
        <v/>
      </c>
    </row>
    <row r="195">
      <c r="A195" s="25" t="inlineStr">
        <is>
          <t>GHA</t>
        </is>
      </c>
      <c r="B195" s="25" t="n">
        <v>2028</v>
      </c>
      <c r="C195" s="25" t="n">
        <v>4</v>
      </c>
      <c r="D195" s="25" t="n">
        <v>9</v>
      </c>
      <c r="E195" s="25">
        <f>IF(AND(p_dis_year&gt;0,B195=p_dis_year),1,0)</f>
        <v/>
      </c>
      <c r="F195" s="26">
        <f>IF(AND(p_dis_year&gt;0,B195&gt;=p_dis_year),1-p_eps_a*p_rho_a^(B195-p_dis_year),1)</f>
        <v/>
      </c>
      <c r="G195" s="26">
        <f>INDEX(Calib!$N$1:$N$13,$D195)*(1-p_rent_decline*MIN(1,C195/26))</f>
        <v/>
      </c>
      <c r="H195" s="26">
        <f>IF(C195=0,0,SUMIFS(dl_val,dl_iso,$A195,dl_ind,"pub_cap",dl_year,$B195)/100)</f>
        <v/>
      </c>
      <c r="I195" s="26">
        <f>IF(C195=0,0,SUMIFS(dl_val,dl_iso,$A195,dl_ind,"pub_spend",dl_year,$B195)/100)</f>
        <v/>
      </c>
      <c r="J195" s="26">
        <f>IF(C195=0,0,SUMIFS(dl_val,dl_iso,$A195,dl_ind,"rev",dl_year,$B195)/100)</f>
        <v/>
      </c>
      <c r="K195" s="26">
        <f>(1-p_delta_g)*K194*(1-p_eps_g*$E195)+INDEX(Calib!$E$1:$E$13,$D195)*(INDEX(Calib!$G$1:$G$13,$D195)+0*$H195)</f>
        <v/>
      </c>
      <c r="L195" s="26">
        <f>L194*(1-p_eps_k*$E195)+p_lambda_k*(N195-L194*(1-p_eps_k*$E195))</f>
        <v/>
      </c>
      <c r="M195" s="26">
        <f>INDEX(Calib!$R$1:$R$13,$D195)*$F195*(K194*(1-p_eps_g*$E195))^INDEX(Calib!$Q$1:$Q$13,$D195)*(L194*(1-p_eps_k*$E195))^p_alpha</f>
        <v/>
      </c>
      <c r="N195" s="26">
        <f>p_alpha*(1-INDEX(Calib!$H$1:$H$13,$D195))*M195/(INDEX(Calib!$K$1:$K$13,$D195)+p_delta)</f>
        <v/>
      </c>
      <c r="O195" s="26">
        <f>M195+$G195</f>
        <v/>
      </c>
      <c r="P195" s="26">
        <f>0*($H195+$I195)</f>
        <v/>
      </c>
      <c r="Q195" s="26">
        <f>INDEX(Calib!$I$1:$I$13,$D195)+p_sh_grant*P195</f>
        <v/>
      </c>
      <c r="R195" s="26">
        <f>INDEX(Calib!$H$1:$H$13,$D195)*M195+p_gov_take*$G195+Q195+0*p_pricing*$J195</f>
        <v/>
      </c>
      <c r="S195" s="26">
        <f>INDEX(Calib!$Y$1:$Y$13,$D195)-INDEX(Calib!$Z$1:$Z$13,$D195)*(V194/O194-INDEX(Calib!$AA$1:$AA$13,$D195))</f>
        <v/>
      </c>
      <c r="T195" s="26">
        <f>INDEX(Calib!$X$1:$X$13,$D195)+INDEX(Calib!$G$1:$G$13,$D195)+P195+S195-R195</f>
        <v/>
      </c>
      <c r="U195" s="26">
        <f>p_rk*W194+Y194*(V194-W194)</f>
        <v/>
      </c>
      <c r="V195" s="26">
        <f>V194+U195+T195</f>
        <v/>
      </c>
      <c r="W195" s="26">
        <f>INDEX(Calib!$U$1:$U$13,$D195)+(W194-INDEX(Calib!$U$1:$U$13,$D195))*(1-p_amort)+p_sh_conc*P195</f>
        <v/>
      </c>
      <c r="X195" s="26">
        <f>V195/O195</f>
        <v/>
      </c>
      <c r="Y195" s="26">
        <f>INDEX(Calib!$K$1:$K$13,$D195)+p_eta*MAX(0,X195-INDEX(Calib!$AA$1:$AA$13,$D195))</f>
        <v/>
      </c>
      <c r="Z195" s="26">
        <f>(1-INDEX(Calib!$H$1:$H$13,$D195))*(1-p_alpha)*M195+S195</f>
        <v/>
      </c>
      <c r="AA195" s="26">
        <f>(1-p_delta_g)*AA194*(1-p_eps_g*$E195)+INDEX(Calib!$E$1:$E$13,$D195)*(INDEX(Calib!$G$1:$G$13,$D195)+p_programme*$H195)</f>
        <v/>
      </c>
      <c r="AB195" s="26">
        <f>AB194*(1-p_eps_k*$E195)+p_lambda_k*(AD195-AB194*(1-p_eps_k*$E195))</f>
        <v/>
      </c>
      <c r="AC195" s="26">
        <f>INDEX(Calib!$R$1:$R$13,$D195)*$F195*(AA194*(1-p_eps_g*$E195))^INDEX(Calib!$Q$1:$Q$13,$D195)*(AB194*(1-p_eps_k*$E195))^p_alpha</f>
        <v/>
      </c>
      <c r="AD195" s="26">
        <f>p_alpha*(1-INDEX(Calib!$H$1:$H$13,$D195))*AC195/(INDEX(Calib!$K$1:$K$13,$D195)+p_delta)</f>
        <v/>
      </c>
      <c r="AE195" s="26">
        <f>AC195+$G195</f>
        <v/>
      </c>
      <c r="AF195" s="26">
        <f>p_programme*($H195+$I195)</f>
        <v/>
      </c>
      <c r="AG195" s="26">
        <f>INDEX(Calib!$I$1:$I$13,$D195)+p_sh_grant*AF195</f>
        <v/>
      </c>
      <c r="AH195" s="26">
        <f>INDEX(Calib!$H$1:$H$13,$D195)*AC195+p_gov_take*$G195+AG195+p_programme*p_pricing*$J195</f>
        <v/>
      </c>
      <c r="AI195" s="26">
        <f>INDEX(Calib!$Y$1:$Y$13,$D195)-INDEX(Calib!$Z$1:$Z$13,$D195)*(AL194/AE194-INDEX(Calib!$AA$1:$AA$13,$D195))</f>
        <v/>
      </c>
      <c r="AJ195" s="26">
        <f>INDEX(Calib!$X$1:$X$13,$D195)+INDEX(Calib!$G$1:$G$13,$D195)+AF195+AI195-AH195</f>
        <v/>
      </c>
      <c r="AK195" s="26">
        <f>p_rk*AM194+AO194*(AL194-AM194)</f>
        <v/>
      </c>
      <c r="AL195" s="26">
        <f>AL194+AK195+AJ195</f>
        <v/>
      </c>
      <c r="AM195" s="26">
        <f>INDEX(Calib!$U$1:$U$13,$D195)+(AM194-INDEX(Calib!$U$1:$U$13,$D195))*(1-p_amort)+p_sh_conc*AF195</f>
        <v/>
      </c>
      <c r="AN195" s="26">
        <f>AL195/AE195</f>
        <v/>
      </c>
      <c r="AO195" s="26">
        <f>INDEX(Calib!$K$1:$K$13,$D195)+p_eta*MAX(0,AN195-INDEX(Calib!$AA$1:$AA$13,$D195))</f>
        <v/>
      </c>
      <c r="AP195" s="26">
        <f>(1-INDEX(Calib!$H$1:$H$13,$D195))*(1-p_alpha)*AC195+AI195</f>
        <v/>
      </c>
      <c r="AQ195" s="26">
        <f>(AE195/O195-1)*100</f>
        <v/>
      </c>
      <c r="AR195" s="26">
        <f>(AE195/AE191-1)*100</f>
        <v/>
      </c>
      <c r="AS195" s="26">
        <f>(O195/O191-1)*100</f>
        <v/>
      </c>
      <c r="AT195" s="26">
        <f>(AN195-X195)*100</f>
        <v/>
      </c>
      <c r="AU195" s="26">
        <f>(AP195/Z195-1)*100</f>
        <v/>
      </c>
      <c r="AV195" s="26">
        <f>(AI195-S195)*100</f>
        <v/>
      </c>
    </row>
    <row r="196">
      <c r="A196" s="25" t="inlineStr">
        <is>
          <t>GHA</t>
        </is>
      </c>
      <c r="B196" s="25" t="n">
        <v>2029</v>
      </c>
      <c r="C196" s="25" t="n">
        <v>5</v>
      </c>
      <c r="D196" s="25" t="n">
        <v>9</v>
      </c>
      <c r="E196" s="25">
        <f>IF(AND(p_dis_year&gt;0,B196=p_dis_year),1,0)</f>
        <v/>
      </c>
      <c r="F196" s="26">
        <f>IF(AND(p_dis_year&gt;0,B196&gt;=p_dis_year),1-p_eps_a*p_rho_a^(B196-p_dis_year),1)</f>
        <v/>
      </c>
      <c r="G196" s="26">
        <f>INDEX(Calib!$N$1:$N$13,$D196)*(1-p_rent_decline*MIN(1,C196/26))</f>
        <v/>
      </c>
      <c r="H196" s="26">
        <f>IF(C196=0,0,SUMIFS(dl_val,dl_iso,$A196,dl_ind,"pub_cap",dl_year,$B196)/100)</f>
        <v/>
      </c>
      <c r="I196" s="26">
        <f>IF(C196=0,0,SUMIFS(dl_val,dl_iso,$A196,dl_ind,"pub_spend",dl_year,$B196)/100)</f>
        <v/>
      </c>
      <c r="J196" s="26">
        <f>IF(C196=0,0,SUMIFS(dl_val,dl_iso,$A196,dl_ind,"rev",dl_year,$B196)/100)</f>
        <v/>
      </c>
      <c r="K196" s="26">
        <f>(1-p_delta_g)*K195*(1-p_eps_g*$E196)+INDEX(Calib!$E$1:$E$13,$D196)*(INDEX(Calib!$G$1:$G$13,$D196)+0*$H196)</f>
        <v/>
      </c>
      <c r="L196" s="26">
        <f>L195*(1-p_eps_k*$E196)+p_lambda_k*(N196-L195*(1-p_eps_k*$E196))</f>
        <v/>
      </c>
      <c r="M196" s="26">
        <f>INDEX(Calib!$R$1:$R$13,$D196)*$F196*(K195*(1-p_eps_g*$E196))^INDEX(Calib!$Q$1:$Q$13,$D196)*(L195*(1-p_eps_k*$E196))^p_alpha</f>
        <v/>
      </c>
      <c r="N196" s="26">
        <f>p_alpha*(1-INDEX(Calib!$H$1:$H$13,$D196))*M196/(INDEX(Calib!$K$1:$K$13,$D196)+p_delta)</f>
        <v/>
      </c>
      <c r="O196" s="26">
        <f>M196+$G196</f>
        <v/>
      </c>
      <c r="P196" s="26">
        <f>0*($H196+$I196)</f>
        <v/>
      </c>
      <c r="Q196" s="26">
        <f>INDEX(Calib!$I$1:$I$13,$D196)+p_sh_grant*P196</f>
        <v/>
      </c>
      <c r="R196" s="26">
        <f>INDEX(Calib!$H$1:$H$13,$D196)*M196+p_gov_take*$G196+Q196+0*p_pricing*$J196</f>
        <v/>
      </c>
      <c r="S196" s="26">
        <f>INDEX(Calib!$Y$1:$Y$13,$D196)-INDEX(Calib!$Z$1:$Z$13,$D196)*(V195/O195-INDEX(Calib!$AA$1:$AA$13,$D196))</f>
        <v/>
      </c>
      <c r="T196" s="26">
        <f>INDEX(Calib!$X$1:$X$13,$D196)+INDEX(Calib!$G$1:$G$13,$D196)+P196+S196-R196</f>
        <v/>
      </c>
      <c r="U196" s="26">
        <f>p_rk*W195+Y195*(V195-W195)</f>
        <v/>
      </c>
      <c r="V196" s="26">
        <f>V195+U196+T196</f>
        <v/>
      </c>
      <c r="W196" s="26">
        <f>INDEX(Calib!$U$1:$U$13,$D196)+(W195-INDEX(Calib!$U$1:$U$13,$D196))*(1-p_amort)+p_sh_conc*P196</f>
        <v/>
      </c>
      <c r="X196" s="26">
        <f>V196/O196</f>
        <v/>
      </c>
      <c r="Y196" s="26">
        <f>INDEX(Calib!$K$1:$K$13,$D196)+p_eta*MAX(0,X196-INDEX(Calib!$AA$1:$AA$13,$D196))</f>
        <v/>
      </c>
      <c r="Z196" s="26">
        <f>(1-INDEX(Calib!$H$1:$H$13,$D196))*(1-p_alpha)*M196+S196</f>
        <v/>
      </c>
      <c r="AA196" s="26">
        <f>(1-p_delta_g)*AA195*(1-p_eps_g*$E196)+INDEX(Calib!$E$1:$E$13,$D196)*(INDEX(Calib!$G$1:$G$13,$D196)+p_programme*$H196)</f>
        <v/>
      </c>
      <c r="AB196" s="26">
        <f>AB195*(1-p_eps_k*$E196)+p_lambda_k*(AD196-AB195*(1-p_eps_k*$E196))</f>
        <v/>
      </c>
      <c r="AC196" s="26">
        <f>INDEX(Calib!$R$1:$R$13,$D196)*$F196*(AA195*(1-p_eps_g*$E196))^INDEX(Calib!$Q$1:$Q$13,$D196)*(AB195*(1-p_eps_k*$E196))^p_alpha</f>
        <v/>
      </c>
      <c r="AD196" s="26">
        <f>p_alpha*(1-INDEX(Calib!$H$1:$H$13,$D196))*AC196/(INDEX(Calib!$K$1:$K$13,$D196)+p_delta)</f>
        <v/>
      </c>
      <c r="AE196" s="26">
        <f>AC196+$G196</f>
        <v/>
      </c>
      <c r="AF196" s="26">
        <f>p_programme*($H196+$I196)</f>
        <v/>
      </c>
      <c r="AG196" s="26">
        <f>INDEX(Calib!$I$1:$I$13,$D196)+p_sh_grant*AF196</f>
        <v/>
      </c>
      <c r="AH196" s="26">
        <f>INDEX(Calib!$H$1:$H$13,$D196)*AC196+p_gov_take*$G196+AG196+p_programme*p_pricing*$J196</f>
        <v/>
      </c>
      <c r="AI196" s="26">
        <f>INDEX(Calib!$Y$1:$Y$13,$D196)-INDEX(Calib!$Z$1:$Z$13,$D196)*(AL195/AE195-INDEX(Calib!$AA$1:$AA$13,$D196))</f>
        <v/>
      </c>
      <c r="AJ196" s="26">
        <f>INDEX(Calib!$X$1:$X$13,$D196)+INDEX(Calib!$G$1:$G$13,$D196)+AF196+AI196-AH196</f>
        <v/>
      </c>
      <c r="AK196" s="26">
        <f>p_rk*AM195+AO195*(AL195-AM195)</f>
        <v/>
      </c>
      <c r="AL196" s="26">
        <f>AL195+AK196+AJ196</f>
        <v/>
      </c>
      <c r="AM196" s="26">
        <f>INDEX(Calib!$U$1:$U$13,$D196)+(AM195-INDEX(Calib!$U$1:$U$13,$D196))*(1-p_amort)+p_sh_conc*AF196</f>
        <v/>
      </c>
      <c r="AN196" s="26">
        <f>AL196/AE196</f>
        <v/>
      </c>
      <c r="AO196" s="26">
        <f>INDEX(Calib!$K$1:$K$13,$D196)+p_eta*MAX(0,AN196-INDEX(Calib!$AA$1:$AA$13,$D196))</f>
        <v/>
      </c>
      <c r="AP196" s="26">
        <f>(1-INDEX(Calib!$H$1:$H$13,$D196))*(1-p_alpha)*AC196+AI196</f>
        <v/>
      </c>
      <c r="AQ196" s="26">
        <f>(AE196/O196-1)*100</f>
        <v/>
      </c>
      <c r="AR196" s="26">
        <f>(AE196/AE191-1)*100</f>
        <v/>
      </c>
      <c r="AS196" s="26">
        <f>(O196/O191-1)*100</f>
        <v/>
      </c>
      <c r="AT196" s="26">
        <f>(AN196-X196)*100</f>
        <v/>
      </c>
      <c r="AU196" s="26">
        <f>(AP196/Z196-1)*100</f>
        <v/>
      </c>
      <c r="AV196" s="26">
        <f>(AI196-S196)*100</f>
        <v/>
      </c>
    </row>
    <row r="197">
      <c r="A197" s="25" t="inlineStr">
        <is>
          <t>GHA</t>
        </is>
      </c>
      <c r="B197" s="25" t="n">
        <v>2030</v>
      </c>
      <c r="C197" s="25" t="n">
        <v>6</v>
      </c>
      <c r="D197" s="25" t="n">
        <v>9</v>
      </c>
      <c r="E197" s="25">
        <f>IF(AND(p_dis_year&gt;0,B197=p_dis_year),1,0)</f>
        <v/>
      </c>
      <c r="F197" s="26">
        <f>IF(AND(p_dis_year&gt;0,B197&gt;=p_dis_year),1-p_eps_a*p_rho_a^(B197-p_dis_year),1)</f>
        <v/>
      </c>
      <c r="G197" s="26">
        <f>INDEX(Calib!$N$1:$N$13,$D197)*(1-p_rent_decline*MIN(1,C197/26))</f>
        <v/>
      </c>
      <c r="H197" s="26">
        <f>IF(C197=0,0,SUMIFS(dl_val,dl_iso,$A197,dl_ind,"pub_cap",dl_year,$B197)/100)</f>
        <v/>
      </c>
      <c r="I197" s="26">
        <f>IF(C197=0,0,SUMIFS(dl_val,dl_iso,$A197,dl_ind,"pub_spend",dl_year,$B197)/100)</f>
        <v/>
      </c>
      <c r="J197" s="26">
        <f>IF(C197=0,0,SUMIFS(dl_val,dl_iso,$A197,dl_ind,"rev",dl_year,$B197)/100)</f>
        <v/>
      </c>
      <c r="K197" s="26">
        <f>(1-p_delta_g)*K196*(1-p_eps_g*$E197)+INDEX(Calib!$E$1:$E$13,$D197)*(INDEX(Calib!$G$1:$G$13,$D197)+0*$H197)</f>
        <v/>
      </c>
      <c r="L197" s="26">
        <f>L196*(1-p_eps_k*$E197)+p_lambda_k*(N197-L196*(1-p_eps_k*$E197))</f>
        <v/>
      </c>
      <c r="M197" s="26">
        <f>INDEX(Calib!$R$1:$R$13,$D197)*$F197*(K196*(1-p_eps_g*$E197))^INDEX(Calib!$Q$1:$Q$13,$D197)*(L196*(1-p_eps_k*$E197))^p_alpha</f>
        <v/>
      </c>
      <c r="N197" s="26">
        <f>p_alpha*(1-INDEX(Calib!$H$1:$H$13,$D197))*M197/(INDEX(Calib!$K$1:$K$13,$D197)+p_delta)</f>
        <v/>
      </c>
      <c r="O197" s="26">
        <f>M197+$G197</f>
        <v/>
      </c>
      <c r="P197" s="26">
        <f>0*($H197+$I197)</f>
        <v/>
      </c>
      <c r="Q197" s="26">
        <f>INDEX(Calib!$I$1:$I$13,$D197)+p_sh_grant*P197</f>
        <v/>
      </c>
      <c r="R197" s="26">
        <f>INDEX(Calib!$H$1:$H$13,$D197)*M197+p_gov_take*$G197+Q197+0*p_pricing*$J197</f>
        <v/>
      </c>
      <c r="S197" s="26">
        <f>INDEX(Calib!$Y$1:$Y$13,$D197)-INDEX(Calib!$Z$1:$Z$13,$D197)*(V196/O196-INDEX(Calib!$AA$1:$AA$13,$D197))</f>
        <v/>
      </c>
      <c r="T197" s="26">
        <f>INDEX(Calib!$X$1:$X$13,$D197)+INDEX(Calib!$G$1:$G$13,$D197)+P197+S197-R197</f>
        <v/>
      </c>
      <c r="U197" s="26">
        <f>p_rk*W196+Y196*(V196-W196)</f>
        <v/>
      </c>
      <c r="V197" s="26">
        <f>V196+U197+T197</f>
        <v/>
      </c>
      <c r="W197" s="26">
        <f>INDEX(Calib!$U$1:$U$13,$D197)+(W196-INDEX(Calib!$U$1:$U$13,$D197))*(1-p_amort)+p_sh_conc*P197</f>
        <v/>
      </c>
      <c r="X197" s="26">
        <f>V197/O197</f>
        <v/>
      </c>
      <c r="Y197" s="26">
        <f>INDEX(Calib!$K$1:$K$13,$D197)+p_eta*MAX(0,X197-INDEX(Calib!$AA$1:$AA$13,$D197))</f>
        <v/>
      </c>
      <c r="Z197" s="26">
        <f>(1-INDEX(Calib!$H$1:$H$13,$D197))*(1-p_alpha)*M197+S197</f>
        <v/>
      </c>
      <c r="AA197" s="26">
        <f>(1-p_delta_g)*AA196*(1-p_eps_g*$E197)+INDEX(Calib!$E$1:$E$13,$D197)*(INDEX(Calib!$G$1:$G$13,$D197)+p_programme*$H197)</f>
        <v/>
      </c>
      <c r="AB197" s="26">
        <f>AB196*(1-p_eps_k*$E197)+p_lambda_k*(AD197-AB196*(1-p_eps_k*$E197))</f>
        <v/>
      </c>
      <c r="AC197" s="26">
        <f>INDEX(Calib!$R$1:$R$13,$D197)*$F197*(AA196*(1-p_eps_g*$E197))^INDEX(Calib!$Q$1:$Q$13,$D197)*(AB196*(1-p_eps_k*$E197))^p_alpha</f>
        <v/>
      </c>
      <c r="AD197" s="26">
        <f>p_alpha*(1-INDEX(Calib!$H$1:$H$13,$D197))*AC197/(INDEX(Calib!$K$1:$K$13,$D197)+p_delta)</f>
        <v/>
      </c>
      <c r="AE197" s="26">
        <f>AC197+$G197</f>
        <v/>
      </c>
      <c r="AF197" s="26">
        <f>p_programme*($H197+$I197)</f>
        <v/>
      </c>
      <c r="AG197" s="26">
        <f>INDEX(Calib!$I$1:$I$13,$D197)+p_sh_grant*AF197</f>
        <v/>
      </c>
      <c r="AH197" s="26">
        <f>INDEX(Calib!$H$1:$H$13,$D197)*AC197+p_gov_take*$G197+AG197+p_programme*p_pricing*$J197</f>
        <v/>
      </c>
      <c r="AI197" s="26">
        <f>INDEX(Calib!$Y$1:$Y$13,$D197)-INDEX(Calib!$Z$1:$Z$13,$D197)*(AL196/AE196-INDEX(Calib!$AA$1:$AA$13,$D197))</f>
        <v/>
      </c>
      <c r="AJ197" s="26">
        <f>INDEX(Calib!$X$1:$X$13,$D197)+INDEX(Calib!$G$1:$G$13,$D197)+AF197+AI197-AH197</f>
        <v/>
      </c>
      <c r="AK197" s="26">
        <f>p_rk*AM196+AO196*(AL196-AM196)</f>
        <v/>
      </c>
      <c r="AL197" s="26">
        <f>AL196+AK197+AJ197</f>
        <v/>
      </c>
      <c r="AM197" s="26">
        <f>INDEX(Calib!$U$1:$U$13,$D197)+(AM196-INDEX(Calib!$U$1:$U$13,$D197))*(1-p_amort)+p_sh_conc*AF197</f>
        <v/>
      </c>
      <c r="AN197" s="26">
        <f>AL197/AE197</f>
        <v/>
      </c>
      <c r="AO197" s="26">
        <f>INDEX(Calib!$K$1:$K$13,$D197)+p_eta*MAX(0,AN197-INDEX(Calib!$AA$1:$AA$13,$D197))</f>
        <v/>
      </c>
      <c r="AP197" s="26">
        <f>(1-INDEX(Calib!$H$1:$H$13,$D197))*(1-p_alpha)*AC197+AI197</f>
        <v/>
      </c>
      <c r="AQ197" s="26">
        <f>(AE197/O197-1)*100</f>
        <v/>
      </c>
      <c r="AR197" s="26">
        <f>(AE197/AE191-1)*100</f>
        <v/>
      </c>
      <c r="AS197" s="26">
        <f>(O197/O191-1)*100</f>
        <v/>
      </c>
      <c r="AT197" s="26">
        <f>(AN197-X197)*100</f>
        <v/>
      </c>
      <c r="AU197" s="26">
        <f>(AP197/Z197-1)*100</f>
        <v/>
      </c>
      <c r="AV197" s="26">
        <f>(AI197-S197)*100</f>
        <v/>
      </c>
    </row>
    <row r="198">
      <c r="A198" s="25" t="inlineStr">
        <is>
          <t>GHA</t>
        </is>
      </c>
      <c r="B198" s="25" t="n">
        <v>2031</v>
      </c>
      <c r="C198" s="25" t="n">
        <v>7</v>
      </c>
      <c r="D198" s="25" t="n">
        <v>9</v>
      </c>
      <c r="E198" s="25">
        <f>IF(AND(p_dis_year&gt;0,B198=p_dis_year),1,0)</f>
        <v/>
      </c>
      <c r="F198" s="26">
        <f>IF(AND(p_dis_year&gt;0,B198&gt;=p_dis_year),1-p_eps_a*p_rho_a^(B198-p_dis_year),1)</f>
        <v/>
      </c>
      <c r="G198" s="26">
        <f>INDEX(Calib!$N$1:$N$13,$D198)*(1-p_rent_decline*MIN(1,C198/26))</f>
        <v/>
      </c>
      <c r="H198" s="26">
        <f>IF(C198=0,0,SUMIFS(dl_val,dl_iso,$A198,dl_ind,"pub_cap",dl_year,$B198)/100)</f>
        <v/>
      </c>
      <c r="I198" s="26">
        <f>IF(C198=0,0,SUMIFS(dl_val,dl_iso,$A198,dl_ind,"pub_spend",dl_year,$B198)/100)</f>
        <v/>
      </c>
      <c r="J198" s="26">
        <f>IF(C198=0,0,SUMIFS(dl_val,dl_iso,$A198,dl_ind,"rev",dl_year,$B198)/100)</f>
        <v/>
      </c>
      <c r="K198" s="26">
        <f>(1-p_delta_g)*K197*(1-p_eps_g*$E198)+INDEX(Calib!$E$1:$E$13,$D198)*(INDEX(Calib!$G$1:$G$13,$D198)+0*$H198)</f>
        <v/>
      </c>
      <c r="L198" s="26">
        <f>L197*(1-p_eps_k*$E198)+p_lambda_k*(N198-L197*(1-p_eps_k*$E198))</f>
        <v/>
      </c>
      <c r="M198" s="26">
        <f>INDEX(Calib!$R$1:$R$13,$D198)*$F198*(K197*(1-p_eps_g*$E198))^INDEX(Calib!$Q$1:$Q$13,$D198)*(L197*(1-p_eps_k*$E198))^p_alpha</f>
        <v/>
      </c>
      <c r="N198" s="26">
        <f>p_alpha*(1-INDEX(Calib!$H$1:$H$13,$D198))*M198/(INDEX(Calib!$K$1:$K$13,$D198)+p_delta)</f>
        <v/>
      </c>
      <c r="O198" s="26">
        <f>M198+$G198</f>
        <v/>
      </c>
      <c r="P198" s="26">
        <f>0*($H198+$I198)</f>
        <v/>
      </c>
      <c r="Q198" s="26">
        <f>INDEX(Calib!$I$1:$I$13,$D198)+p_sh_grant*P198</f>
        <v/>
      </c>
      <c r="R198" s="26">
        <f>INDEX(Calib!$H$1:$H$13,$D198)*M198+p_gov_take*$G198+Q198+0*p_pricing*$J198</f>
        <v/>
      </c>
      <c r="S198" s="26">
        <f>INDEX(Calib!$Y$1:$Y$13,$D198)-INDEX(Calib!$Z$1:$Z$13,$D198)*(V197/O197-INDEX(Calib!$AA$1:$AA$13,$D198))</f>
        <v/>
      </c>
      <c r="T198" s="26">
        <f>INDEX(Calib!$X$1:$X$13,$D198)+INDEX(Calib!$G$1:$G$13,$D198)+P198+S198-R198</f>
        <v/>
      </c>
      <c r="U198" s="26">
        <f>p_rk*W197+Y197*(V197-W197)</f>
        <v/>
      </c>
      <c r="V198" s="26">
        <f>V197+U198+T198</f>
        <v/>
      </c>
      <c r="W198" s="26">
        <f>INDEX(Calib!$U$1:$U$13,$D198)+(W197-INDEX(Calib!$U$1:$U$13,$D198))*(1-p_amort)+p_sh_conc*P198</f>
        <v/>
      </c>
      <c r="X198" s="26">
        <f>V198/O198</f>
        <v/>
      </c>
      <c r="Y198" s="26">
        <f>INDEX(Calib!$K$1:$K$13,$D198)+p_eta*MAX(0,X198-INDEX(Calib!$AA$1:$AA$13,$D198))</f>
        <v/>
      </c>
      <c r="Z198" s="26">
        <f>(1-INDEX(Calib!$H$1:$H$13,$D198))*(1-p_alpha)*M198+S198</f>
        <v/>
      </c>
      <c r="AA198" s="26">
        <f>(1-p_delta_g)*AA197*(1-p_eps_g*$E198)+INDEX(Calib!$E$1:$E$13,$D198)*(INDEX(Calib!$G$1:$G$13,$D198)+p_programme*$H198)</f>
        <v/>
      </c>
      <c r="AB198" s="26">
        <f>AB197*(1-p_eps_k*$E198)+p_lambda_k*(AD198-AB197*(1-p_eps_k*$E198))</f>
        <v/>
      </c>
      <c r="AC198" s="26">
        <f>INDEX(Calib!$R$1:$R$13,$D198)*$F198*(AA197*(1-p_eps_g*$E198))^INDEX(Calib!$Q$1:$Q$13,$D198)*(AB197*(1-p_eps_k*$E198))^p_alpha</f>
        <v/>
      </c>
      <c r="AD198" s="26">
        <f>p_alpha*(1-INDEX(Calib!$H$1:$H$13,$D198))*AC198/(INDEX(Calib!$K$1:$K$13,$D198)+p_delta)</f>
        <v/>
      </c>
      <c r="AE198" s="26">
        <f>AC198+$G198</f>
        <v/>
      </c>
      <c r="AF198" s="26">
        <f>p_programme*($H198+$I198)</f>
        <v/>
      </c>
      <c r="AG198" s="26">
        <f>INDEX(Calib!$I$1:$I$13,$D198)+p_sh_grant*AF198</f>
        <v/>
      </c>
      <c r="AH198" s="26">
        <f>INDEX(Calib!$H$1:$H$13,$D198)*AC198+p_gov_take*$G198+AG198+p_programme*p_pricing*$J198</f>
        <v/>
      </c>
      <c r="AI198" s="26">
        <f>INDEX(Calib!$Y$1:$Y$13,$D198)-INDEX(Calib!$Z$1:$Z$13,$D198)*(AL197/AE197-INDEX(Calib!$AA$1:$AA$13,$D198))</f>
        <v/>
      </c>
      <c r="AJ198" s="26">
        <f>INDEX(Calib!$X$1:$X$13,$D198)+INDEX(Calib!$G$1:$G$13,$D198)+AF198+AI198-AH198</f>
        <v/>
      </c>
      <c r="AK198" s="26">
        <f>p_rk*AM197+AO197*(AL197-AM197)</f>
        <v/>
      </c>
      <c r="AL198" s="26">
        <f>AL197+AK198+AJ198</f>
        <v/>
      </c>
      <c r="AM198" s="26">
        <f>INDEX(Calib!$U$1:$U$13,$D198)+(AM197-INDEX(Calib!$U$1:$U$13,$D198))*(1-p_amort)+p_sh_conc*AF198</f>
        <v/>
      </c>
      <c r="AN198" s="26">
        <f>AL198/AE198</f>
        <v/>
      </c>
      <c r="AO198" s="26">
        <f>INDEX(Calib!$K$1:$K$13,$D198)+p_eta*MAX(0,AN198-INDEX(Calib!$AA$1:$AA$13,$D198))</f>
        <v/>
      </c>
      <c r="AP198" s="26">
        <f>(1-INDEX(Calib!$H$1:$H$13,$D198))*(1-p_alpha)*AC198+AI198</f>
        <v/>
      </c>
      <c r="AQ198" s="26">
        <f>(AE198/O198-1)*100</f>
        <v/>
      </c>
      <c r="AR198" s="26">
        <f>(AE198/AE191-1)*100</f>
        <v/>
      </c>
      <c r="AS198" s="26">
        <f>(O198/O191-1)*100</f>
        <v/>
      </c>
      <c r="AT198" s="26">
        <f>(AN198-X198)*100</f>
        <v/>
      </c>
      <c r="AU198" s="26">
        <f>(AP198/Z198-1)*100</f>
        <v/>
      </c>
      <c r="AV198" s="26">
        <f>(AI198-S198)*100</f>
        <v/>
      </c>
    </row>
    <row r="199">
      <c r="A199" s="25" t="inlineStr">
        <is>
          <t>GHA</t>
        </is>
      </c>
      <c r="B199" s="25" t="n">
        <v>2032</v>
      </c>
      <c r="C199" s="25" t="n">
        <v>8</v>
      </c>
      <c r="D199" s="25" t="n">
        <v>9</v>
      </c>
      <c r="E199" s="25">
        <f>IF(AND(p_dis_year&gt;0,B199=p_dis_year),1,0)</f>
        <v/>
      </c>
      <c r="F199" s="26">
        <f>IF(AND(p_dis_year&gt;0,B199&gt;=p_dis_year),1-p_eps_a*p_rho_a^(B199-p_dis_year),1)</f>
        <v/>
      </c>
      <c r="G199" s="26">
        <f>INDEX(Calib!$N$1:$N$13,$D199)*(1-p_rent_decline*MIN(1,C199/26))</f>
        <v/>
      </c>
      <c r="H199" s="26">
        <f>IF(C199=0,0,SUMIFS(dl_val,dl_iso,$A199,dl_ind,"pub_cap",dl_year,$B199)/100)</f>
        <v/>
      </c>
      <c r="I199" s="26">
        <f>IF(C199=0,0,SUMIFS(dl_val,dl_iso,$A199,dl_ind,"pub_spend",dl_year,$B199)/100)</f>
        <v/>
      </c>
      <c r="J199" s="26">
        <f>IF(C199=0,0,SUMIFS(dl_val,dl_iso,$A199,dl_ind,"rev",dl_year,$B199)/100)</f>
        <v/>
      </c>
      <c r="K199" s="26">
        <f>(1-p_delta_g)*K198*(1-p_eps_g*$E199)+INDEX(Calib!$E$1:$E$13,$D199)*(INDEX(Calib!$G$1:$G$13,$D199)+0*$H199)</f>
        <v/>
      </c>
      <c r="L199" s="26">
        <f>L198*(1-p_eps_k*$E199)+p_lambda_k*(N199-L198*(1-p_eps_k*$E199))</f>
        <v/>
      </c>
      <c r="M199" s="26">
        <f>INDEX(Calib!$R$1:$R$13,$D199)*$F199*(K198*(1-p_eps_g*$E199))^INDEX(Calib!$Q$1:$Q$13,$D199)*(L198*(1-p_eps_k*$E199))^p_alpha</f>
        <v/>
      </c>
      <c r="N199" s="26">
        <f>p_alpha*(1-INDEX(Calib!$H$1:$H$13,$D199))*M199/(INDEX(Calib!$K$1:$K$13,$D199)+p_delta)</f>
        <v/>
      </c>
      <c r="O199" s="26">
        <f>M199+$G199</f>
        <v/>
      </c>
      <c r="P199" s="26">
        <f>0*($H199+$I199)</f>
        <v/>
      </c>
      <c r="Q199" s="26">
        <f>INDEX(Calib!$I$1:$I$13,$D199)+p_sh_grant*P199</f>
        <v/>
      </c>
      <c r="R199" s="26">
        <f>INDEX(Calib!$H$1:$H$13,$D199)*M199+p_gov_take*$G199+Q199+0*p_pricing*$J199</f>
        <v/>
      </c>
      <c r="S199" s="26">
        <f>INDEX(Calib!$Y$1:$Y$13,$D199)-INDEX(Calib!$Z$1:$Z$13,$D199)*(V198/O198-INDEX(Calib!$AA$1:$AA$13,$D199))</f>
        <v/>
      </c>
      <c r="T199" s="26">
        <f>INDEX(Calib!$X$1:$X$13,$D199)+INDEX(Calib!$G$1:$G$13,$D199)+P199+S199-R199</f>
        <v/>
      </c>
      <c r="U199" s="26">
        <f>p_rk*W198+Y198*(V198-W198)</f>
        <v/>
      </c>
      <c r="V199" s="26">
        <f>V198+U199+T199</f>
        <v/>
      </c>
      <c r="W199" s="26">
        <f>INDEX(Calib!$U$1:$U$13,$D199)+(W198-INDEX(Calib!$U$1:$U$13,$D199))*(1-p_amort)+p_sh_conc*P199</f>
        <v/>
      </c>
      <c r="X199" s="26">
        <f>V199/O199</f>
        <v/>
      </c>
      <c r="Y199" s="26">
        <f>INDEX(Calib!$K$1:$K$13,$D199)+p_eta*MAX(0,X199-INDEX(Calib!$AA$1:$AA$13,$D199))</f>
        <v/>
      </c>
      <c r="Z199" s="26">
        <f>(1-INDEX(Calib!$H$1:$H$13,$D199))*(1-p_alpha)*M199+S199</f>
        <v/>
      </c>
      <c r="AA199" s="26">
        <f>(1-p_delta_g)*AA198*(1-p_eps_g*$E199)+INDEX(Calib!$E$1:$E$13,$D199)*(INDEX(Calib!$G$1:$G$13,$D199)+p_programme*$H199)</f>
        <v/>
      </c>
      <c r="AB199" s="26">
        <f>AB198*(1-p_eps_k*$E199)+p_lambda_k*(AD199-AB198*(1-p_eps_k*$E199))</f>
        <v/>
      </c>
      <c r="AC199" s="26">
        <f>INDEX(Calib!$R$1:$R$13,$D199)*$F199*(AA198*(1-p_eps_g*$E199))^INDEX(Calib!$Q$1:$Q$13,$D199)*(AB198*(1-p_eps_k*$E199))^p_alpha</f>
        <v/>
      </c>
      <c r="AD199" s="26">
        <f>p_alpha*(1-INDEX(Calib!$H$1:$H$13,$D199))*AC199/(INDEX(Calib!$K$1:$K$13,$D199)+p_delta)</f>
        <v/>
      </c>
      <c r="AE199" s="26">
        <f>AC199+$G199</f>
        <v/>
      </c>
      <c r="AF199" s="26">
        <f>p_programme*($H199+$I199)</f>
        <v/>
      </c>
      <c r="AG199" s="26">
        <f>INDEX(Calib!$I$1:$I$13,$D199)+p_sh_grant*AF199</f>
        <v/>
      </c>
      <c r="AH199" s="26">
        <f>INDEX(Calib!$H$1:$H$13,$D199)*AC199+p_gov_take*$G199+AG199+p_programme*p_pricing*$J199</f>
        <v/>
      </c>
      <c r="AI199" s="26">
        <f>INDEX(Calib!$Y$1:$Y$13,$D199)-INDEX(Calib!$Z$1:$Z$13,$D199)*(AL198/AE198-INDEX(Calib!$AA$1:$AA$13,$D199))</f>
        <v/>
      </c>
      <c r="AJ199" s="26">
        <f>INDEX(Calib!$X$1:$X$13,$D199)+INDEX(Calib!$G$1:$G$13,$D199)+AF199+AI199-AH199</f>
        <v/>
      </c>
      <c r="AK199" s="26">
        <f>p_rk*AM198+AO198*(AL198-AM198)</f>
        <v/>
      </c>
      <c r="AL199" s="26">
        <f>AL198+AK199+AJ199</f>
        <v/>
      </c>
      <c r="AM199" s="26">
        <f>INDEX(Calib!$U$1:$U$13,$D199)+(AM198-INDEX(Calib!$U$1:$U$13,$D199))*(1-p_amort)+p_sh_conc*AF199</f>
        <v/>
      </c>
      <c r="AN199" s="26">
        <f>AL199/AE199</f>
        <v/>
      </c>
      <c r="AO199" s="26">
        <f>INDEX(Calib!$K$1:$K$13,$D199)+p_eta*MAX(0,AN199-INDEX(Calib!$AA$1:$AA$13,$D199))</f>
        <v/>
      </c>
      <c r="AP199" s="26">
        <f>(1-INDEX(Calib!$H$1:$H$13,$D199))*(1-p_alpha)*AC199+AI199</f>
        <v/>
      </c>
      <c r="AQ199" s="26">
        <f>(AE199/O199-1)*100</f>
        <v/>
      </c>
      <c r="AR199" s="26">
        <f>(AE199/AE191-1)*100</f>
        <v/>
      </c>
      <c r="AS199" s="26">
        <f>(O199/O191-1)*100</f>
        <v/>
      </c>
      <c r="AT199" s="26">
        <f>(AN199-X199)*100</f>
        <v/>
      </c>
      <c r="AU199" s="26">
        <f>(AP199/Z199-1)*100</f>
        <v/>
      </c>
      <c r="AV199" s="26">
        <f>(AI199-S199)*100</f>
        <v/>
      </c>
    </row>
    <row r="200">
      <c r="A200" s="25" t="inlineStr">
        <is>
          <t>GHA</t>
        </is>
      </c>
      <c r="B200" s="25" t="n">
        <v>2033</v>
      </c>
      <c r="C200" s="25" t="n">
        <v>9</v>
      </c>
      <c r="D200" s="25" t="n">
        <v>9</v>
      </c>
      <c r="E200" s="25">
        <f>IF(AND(p_dis_year&gt;0,B200=p_dis_year),1,0)</f>
        <v/>
      </c>
      <c r="F200" s="26">
        <f>IF(AND(p_dis_year&gt;0,B200&gt;=p_dis_year),1-p_eps_a*p_rho_a^(B200-p_dis_year),1)</f>
        <v/>
      </c>
      <c r="G200" s="26">
        <f>INDEX(Calib!$N$1:$N$13,$D200)*(1-p_rent_decline*MIN(1,C200/26))</f>
        <v/>
      </c>
      <c r="H200" s="26">
        <f>IF(C200=0,0,SUMIFS(dl_val,dl_iso,$A200,dl_ind,"pub_cap",dl_year,$B200)/100)</f>
        <v/>
      </c>
      <c r="I200" s="26">
        <f>IF(C200=0,0,SUMIFS(dl_val,dl_iso,$A200,dl_ind,"pub_spend",dl_year,$B200)/100)</f>
        <v/>
      </c>
      <c r="J200" s="26">
        <f>IF(C200=0,0,SUMIFS(dl_val,dl_iso,$A200,dl_ind,"rev",dl_year,$B200)/100)</f>
        <v/>
      </c>
      <c r="K200" s="26">
        <f>(1-p_delta_g)*K199*(1-p_eps_g*$E200)+INDEX(Calib!$E$1:$E$13,$D200)*(INDEX(Calib!$G$1:$G$13,$D200)+0*$H200)</f>
        <v/>
      </c>
      <c r="L200" s="26">
        <f>L199*(1-p_eps_k*$E200)+p_lambda_k*(N200-L199*(1-p_eps_k*$E200))</f>
        <v/>
      </c>
      <c r="M200" s="26">
        <f>INDEX(Calib!$R$1:$R$13,$D200)*$F200*(K199*(1-p_eps_g*$E200))^INDEX(Calib!$Q$1:$Q$13,$D200)*(L199*(1-p_eps_k*$E200))^p_alpha</f>
        <v/>
      </c>
      <c r="N200" s="26">
        <f>p_alpha*(1-INDEX(Calib!$H$1:$H$13,$D200))*M200/(INDEX(Calib!$K$1:$K$13,$D200)+p_delta)</f>
        <v/>
      </c>
      <c r="O200" s="26">
        <f>M200+$G200</f>
        <v/>
      </c>
      <c r="P200" s="26">
        <f>0*($H200+$I200)</f>
        <v/>
      </c>
      <c r="Q200" s="26">
        <f>INDEX(Calib!$I$1:$I$13,$D200)+p_sh_grant*P200</f>
        <v/>
      </c>
      <c r="R200" s="26">
        <f>INDEX(Calib!$H$1:$H$13,$D200)*M200+p_gov_take*$G200+Q200+0*p_pricing*$J200</f>
        <v/>
      </c>
      <c r="S200" s="26">
        <f>INDEX(Calib!$Y$1:$Y$13,$D200)-INDEX(Calib!$Z$1:$Z$13,$D200)*(V199/O199-INDEX(Calib!$AA$1:$AA$13,$D200))</f>
        <v/>
      </c>
      <c r="T200" s="26">
        <f>INDEX(Calib!$X$1:$X$13,$D200)+INDEX(Calib!$G$1:$G$13,$D200)+P200+S200-R200</f>
        <v/>
      </c>
      <c r="U200" s="26">
        <f>p_rk*W199+Y199*(V199-W199)</f>
        <v/>
      </c>
      <c r="V200" s="26">
        <f>V199+U200+T200</f>
        <v/>
      </c>
      <c r="W200" s="26">
        <f>INDEX(Calib!$U$1:$U$13,$D200)+(W199-INDEX(Calib!$U$1:$U$13,$D200))*(1-p_amort)+p_sh_conc*P200</f>
        <v/>
      </c>
      <c r="X200" s="26">
        <f>V200/O200</f>
        <v/>
      </c>
      <c r="Y200" s="26">
        <f>INDEX(Calib!$K$1:$K$13,$D200)+p_eta*MAX(0,X200-INDEX(Calib!$AA$1:$AA$13,$D200))</f>
        <v/>
      </c>
      <c r="Z200" s="26">
        <f>(1-INDEX(Calib!$H$1:$H$13,$D200))*(1-p_alpha)*M200+S200</f>
        <v/>
      </c>
      <c r="AA200" s="26">
        <f>(1-p_delta_g)*AA199*(1-p_eps_g*$E200)+INDEX(Calib!$E$1:$E$13,$D200)*(INDEX(Calib!$G$1:$G$13,$D200)+p_programme*$H200)</f>
        <v/>
      </c>
      <c r="AB200" s="26">
        <f>AB199*(1-p_eps_k*$E200)+p_lambda_k*(AD200-AB199*(1-p_eps_k*$E200))</f>
        <v/>
      </c>
      <c r="AC200" s="26">
        <f>INDEX(Calib!$R$1:$R$13,$D200)*$F200*(AA199*(1-p_eps_g*$E200))^INDEX(Calib!$Q$1:$Q$13,$D200)*(AB199*(1-p_eps_k*$E200))^p_alpha</f>
        <v/>
      </c>
      <c r="AD200" s="26">
        <f>p_alpha*(1-INDEX(Calib!$H$1:$H$13,$D200))*AC200/(INDEX(Calib!$K$1:$K$13,$D200)+p_delta)</f>
        <v/>
      </c>
      <c r="AE200" s="26">
        <f>AC200+$G200</f>
        <v/>
      </c>
      <c r="AF200" s="26">
        <f>p_programme*($H200+$I200)</f>
        <v/>
      </c>
      <c r="AG200" s="26">
        <f>INDEX(Calib!$I$1:$I$13,$D200)+p_sh_grant*AF200</f>
        <v/>
      </c>
      <c r="AH200" s="26">
        <f>INDEX(Calib!$H$1:$H$13,$D200)*AC200+p_gov_take*$G200+AG200+p_programme*p_pricing*$J200</f>
        <v/>
      </c>
      <c r="AI200" s="26">
        <f>INDEX(Calib!$Y$1:$Y$13,$D200)-INDEX(Calib!$Z$1:$Z$13,$D200)*(AL199/AE199-INDEX(Calib!$AA$1:$AA$13,$D200))</f>
        <v/>
      </c>
      <c r="AJ200" s="26">
        <f>INDEX(Calib!$X$1:$X$13,$D200)+INDEX(Calib!$G$1:$G$13,$D200)+AF200+AI200-AH200</f>
        <v/>
      </c>
      <c r="AK200" s="26">
        <f>p_rk*AM199+AO199*(AL199-AM199)</f>
        <v/>
      </c>
      <c r="AL200" s="26">
        <f>AL199+AK200+AJ200</f>
        <v/>
      </c>
      <c r="AM200" s="26">
        <f>INDEX(Calib!$U$1:$U$13,$D200)+(AM199-INDEX(Calib!$U$1:$U$13,$D200))*(1-p_amort)+p_sh_conc*AF200</f>
        <v/>
      </c>
      <c r="AN200" s="26">
        <f>AL200/AE200</f>
        <v/>
      </c>
      <c r="AO200" s="26">
        <f>INDEX(Calib!$K$1:$K$13,$D200)+p_eta*MAX(0,AN200-INDEX(Calib!$AA$1:$AA$13,$D200))</f>
        <v/>
      </c>
      <c r="AP200" s="26">
        <f>(1-INDEX(Calib!$H$1:$H$13,$D200))*(1-p_alpha)*AC200+AI200</f>
        <v/>
      </c>
      <c r="AQ200" s="26">
        <f>(AE200/O200-1)*100</f>
        <v/>
      </c>
      <c r="AR200" s="26">
        <f>(AE200/AE191-1)*100</f>
        <v/>
      </c>
      <c r="AS200" s="26">
        <f>(O200/O191-1)*100</f>
        <v/>
      </c>
      <c r="AT200" s="26">
        <f>(AN200-X200)*100</f>
        <v/>
      </c>
      <c r="AU200" s="26">
        <f>(AP200/Z200-1)*100</f>
        <v/>
      </c>
      <c r="AV200" s="26">
        <f>(AI200-S200)*100</f>
        <v/>
      </c>
    </row>
    <row r="201">
      <c r="A201" s="25" t="inlineStr">
        <is>
          <t>GHA</t>
        </is>
      </c>
      <c r="B201" s="25" t="n">
        <v>2034</v>
      </c>
      <c r="C201" s="25" t="n">
        <v>10</v>
      </c>
      <c r="D201" s="25" t="n">
        <v>9</v>
      </c>
      <c r="E201" s="25">
        <f>IF(AND(p_dis_year&gt;0,B201=p_dis_year),1,0)</f>
        <v/>
      </c>
      <c r="F201" s="26">
        <f>IF(AND(p_dis_year&gt;0,B201&gt;=p_dis_year),1-p_eps_a*p_rho_a^(B201-p_dis_year),1)</f>
        <v/>
      </c>
      <c r="G201" s="26">
        <f>INDEX(Calib!$N$1:$N$13,$D201)*(1-p_rent_decline*MIN(1,C201/26))</f>
        <v/>
      </c>
      <c r="H201" s="26">
        <f>IF(C201=0,0,SUMIFS(dl_val,dl_iso,$A201,dl_ind,"pub_cap",dl_year,$B201)/100)</f>
        <v/>
      </c>
      <c r="I201" s="26">
        <f>IF(C201=0,0,SUMIFS(dl_val,dl_iso,$A201,dl_ind,"pub_spend",dl_year,$B201)/100)</f>
        <v/>
      </c>
      <c r="J201" s="26">
        <f>IF(C201=0,0,SUMIFS(dl_val,dl_iso,$A201,dl_ind,"rev",dl_year,$B201)/100)</f>
        <v/>
      </c>
      <c r="K201" s="26">
        <f>(1-p_delta_g)*K200*(1-p_eps_g*$E201)+INDEX(Calib!$E$1:$E$13,$D201)*(INDEX(Calib!$G$1:$G$13,$D201)+0*$H201)</f>
        <v/>
      </c>
      <c r="L201" s="26">
        <f>L200*(1-p_eps_k*$E201)+p_lambda_k*(N201-L200*(1-p_eps_k*$E201))</f>
        <v/>
      </c>
      <c r="M201" s="26">
        <f>INDEX(Calib!$R$1:$R$13,$D201)*$F201*(K200*(1-p_eps_g*$E201))^INDEX(Calib!$Q$1:$Q$13,$D201)*(L200*(1-p_eps_k*$E201))^p_alpha</f>
        <v/>
      </c>
      <c r="N201" s="26">
        <f>p_alpha*(1-INDEX(Calib!$H$1:$H$13,$D201))*M201/(INDEX(Calib!$K$1:$K$13,$D201)+p_delta)</f>
        <v/>
      </c>
      <c r="O201" s="26">
        <f>M201+$G201</f>
        <v/>
      </c>
      <c r="P201" s="26">
        <f>0*($H201+$I201)</f>
        <v/>
      </c>
      <c r="Q201" s="26">
        <f>INDEX(Calib!$I$1:$I$13,$D201)+p_sh_grant*P201</f>
        <v/>
      </c>
      <c r="R201" s="26">
        <f>INDEX(Calib!$H$1:$H$13,$D201)*M201+p_gov_take*$G201+Q201+0*p_pricing*$J201</f>
        <v/>
      </c>
      <c r="S201" s="26">
        <f>INDEX(Calib!$Y$1:$Y$13,$D201)-INDEX(Calib!$Z$1:$Z$13,$D201)*(V200/O200-INDEX(Calib!$AA$1:$AA$13,$D201))</f>
        <v/>
      </c>
      <c r="T201" s="26">
        <f>INDEX(Calib!$X$1:$X$13,$D201)+INDEX(Calib!$G$1:$G$13,$D201)+P201+S201-R201</f>
        <v/>
      </c>
      <c r="U201" s="26">
        <f>p_rk*W200+Y200*(V200-W200)</f>
        <v/>
      </c>
      <c r="V201" s="26">
        <f>V200+U201+T201</f>
        <v/>
      </c>
      <c r="W201" s="26">
        <f>INDEX(Calib!$U$1:$U$13,$D201)+(W200-INDEX(Calib!$U$1:$U$13,$D201))*(1-p_amort)+p_sh_conc*P201</f>
        <v/>
      </c>
      <c r="X201" s="26">
        <f>V201/O201</f>
        <v/>
      </c>
      <c r="Y201" s="26">
        <f>INDEX(Calib!$K$1:$K$13,$D201)+p_eta*MAX(0,X201-INDEX(Calib!$AA$1:$AA$13,$D201))</f>
        <v/>
      </c>
      <c r="Z201" s="26">
        <f>(1-INDEX(Calib!$H$1:$H$13,$D201))*(1-p_alpha)*M201+S201</f>
        <v/>
      </c>
      <c r="AA201" s="26">
        <f>(1-p_delta_g)*AA200*(1-p_eps_g*$E201)+INDEX(Calib!$E$1:$E$13,$D201)*(INDEX(Calib!$G$1:$G$13,$D201)+p_programme*$H201)</f>
        <v/>
      </c>
      <c r="AB201" s="26">
        <f>AB200*(1-p_eps_k*$E201)+p_lambda_k*(AD201-AB200*(1-p_eps_k*$E201))</f>
        <v/>
      </c>
      <c r="AC201" s="26">
        <f>INDEX(Calib!$R$1:$R$13,$D201)*$F201*(AA200*(1-p_eps_g*$E201))^INDEX(Calib!$Q$1:$Q$13,$D201)*(AB200*(1-p_eps_k*$E201))^p_alpha</f>
        <v/>
      </c>
      <c r="AD201" s="26">
        <f>p_alpha*(1-INDEX(Calib!$H$1:$H$13,$D201))*AC201/(INDEX(Calib!$K$1:$K$13,$D201)+p_delta)</f>
        <v/>
      </c>
      <c r="AE201" s="26">
        <f>AC201+$G201</f>
        <v/>
      </c>
      <c r="AF201" s="26">
        <f>p_programme*($H201+$I201)</f>
        <v/>
      </c>
      <c r="AG201" s="26">
        <f>INDEX(Calib!$I$1:$I$13,$D201)+p_sh_grant*AF201</f>
        <v/>
      </c>
      <c r="AH201" s="26">
        <f>INDEX(Calib!$H$1:$H$13,$D201)*AC201+p_gov_take*$G201+AG201+p_programme*p_pricing*$J201</f>
        <v/>
      </c>
      <c r="AI201" s="26">
        <f>INDEX(Calib!$Y$1:$Y$13,$D201)-INDEX(Calib!$Z$1:$Z$13,$D201)*(AL200/AE200-INDEX(Calib!$AA$1:$AA$13,$D201))</f>
        <v/>
      </c>
      <c r="AJ201" s="26">
        <f>INDEX(Calib!$X$1:$X$13,$D201)+INDEX(Calib!$G$1:$G$13,$D201)+AF201+AI201-AH201</f>
        <v/>
      </c>
      <c r="AK201" s="26">
        <f>p_rk*AM200+AO200*(AL200-AM200)</f>
        <v/>
      </c>
      <c r="AL201" s="26">
        <f>AL200+AK201+AJ201</f>
        <v/>
      </c>
      <c r="AM201" s="26">
        <f>INDEX(Calib!$U$1:$U$13,$D201)+(AM200-INDEX(Calib!$U$1:$U$13,$D201))*(1-p_amort)+p_sh_conc*AF201</f>
        <v/>
      </c>
      <c r="AN201" s="26">
        <f>AL201/AE201</f>
        <v/>
      </c>
      <c r="AO201" s="26">
        <f>INDEX(Calib!$K$1:$K$13,$D201)+p_eta*MAX(0,AN201-INDEX(Calib!$AA$1:$AA$13,$D201))</f>
        <v/>
      </c>
      <c r="AP201" s="26">
        <f>(1-INDEX(Calib!$H$1:$H$13,$D201))*(1-p_alpha)*AC201+AI201</f>
        <v/>
      </c>
      <c r="AQ201" s="26">
        <f>(AE201/O201-1)*100</f>
        <v/>
      </c>
      <c r="AR201" s="26">
        <f>(AE201/AE191-1)*100</f>
        <v/>
      </c>
      <c r="AS201" s="26">
        <f>(O201/O191-1)*100</f>
        <v/>
      </c>
      <c r="AT201" s="26">
        <f>(AN201-X201)*100</f>
        <v/>
      </c>
      <c r="AU201" s="26">
        <f>(AP201/Z201-1)*100</f>
        <v/>
      </c>
      <c r="AV201" s="26">
        <f>(AI201-S201)*100</f>
        <v/>
      </c>
    </row>
    <row r="202">
      <c r="A202" s="25" t="inlineStr">
        <is>
          <t>GHA</t>
        </is>
      </c>
      <c r="B202" s="25" t="n">
        <v>2035</v>
      </c>
      <c r="C202" s="25" t="n">
        <v>11</v>
      </c>
      <c r="D202" s="25" t="n">
        <v>9</v>
      </c>
      <c r="E202" s="25">
        <f>IF(AND(p_dis_year&gt;0,B202=p_dis_year),1,0)</f>
        <v/>
      </c>
      <c r="F202" s="26">
        <f>IF(AND(p_dis_year&gt;0,B202&gt;=p_dis_year),1-p_eps_a*p_rho_a^(B202-p_dis_year),1)</f>
        <v/>
      </c>
      <c r="G202" s="26">
        <f>INDEX(Calib!$N$1:$N$13,$D202)*(1-p_rent_decline*MIN(1,C202/26))</f>
        <v/>
      </c>
      <c r="H202" s="26">
        <f>IF(C202=0,0,SUMIFS(dl_val,dl_iso,$A202,dl_ind,"pub_cap",dl_year,$B202)/100)</f>
        <v/>
      </c>
      <c r="I202" s="26">
        <f>IF(C202=0,0,SUMIFS(dl_val,dl_iso,$A202,dl_ind,"pub_spend",dl_year,$B202)/100)</f>
        <v/>
      </c>
      <c r="J202" s="26">
        <f>IF(C202=0,0,SUMIFS(dl_val,dl_iso,$A202,dl_ind,"rev",dl_year,$B202)/100)</f>
        <v/>
      </c>
      <c r="K202" s="26">
        <f>(1-p_delta_g)*K201*(1-p_eps_g*$E202)+INDEX(Calib!$E$1:$E$13,$D202)*(INDEX(Calib!$G$1:$G$13,$D202)+0*$H202)</f>
        <v/>
      </c>
      <c r="L202" s="26">
        <f>L201*(1-p_eps_k*$E202)+p_lambda_k*(N202-L201*(1-p_eps_k*$E202))</f>
        <v/>
      </c>
      <c r="M202" s="26">
        <f>INDEX(Calib!$R$1:$R$13,$D202)*$F202*(K201*(1-p_eps_g*$E202))^INDEX(Calib!$Q$1:$Q$13,$D202)*(L201*(1-p_eps_k*$E202))^p_alpha</f>
        <v/>
      </c>
      <c r="N202" s="26">
        <f>p_alpha*(1-INDEX(Calib!$H$1:$H$13,$D202))*M202/(INDEX(Calib!$K$1:$K$13,$D202)+p_delta)</f>
        <v/>
      </c>
      <c r="O202" s="26">
        <f>M202+$G202</f>
        <v/>
      </c>
      <c r="P202" s="26">
        <f>0*($H202+$I202)</f>
        <v/>
      </c>
      <c r="Q202" s="26">
        <f>INDEX(Calib!$I$1:$I$13,$D202)+p_sh_grant*P202</f>
        <v/>
      </c>
      <c r="R202" s="26">
        <f>INDEX(Calib!$H$1:$H$13,$D202)*M202+p_gov_take*$G202+Q202+0*p_pricing*$J202</f>
        <v/>
      </c>
      <c r="S202" s="26">
        <f>INDEX(Calib!$Y$1:$Y$13,$D202)-INDEX(Calib!$Z$1:$Z$13,$D202)*(V201/O201-INDEX(Calib!$AA$1:$AA$13,$D202))</f>
        <v/>
      </c>
      <c r="T202" s="26">
        <f>INDEX(Calib!$X$1:$X$13,$D202)+INDEX(Calib!$G$1:$G$13,$D202)+P202+S202-R202</f>
        <v/>
      </c>
      <c r="U202" s="26">
        <f>p_rk*W201+Y201*(V201-W201)</f>
        <v/>
      </c>
      <c r="V202" s="26">
        <f>V201+U202+T202</f>
        <v/>
      </c>
      <c r="W202" s="26">
        <f>INDEX(Calib!$U$1:$U$13,$D202)+(W201-INDEX(Calib!$U$1:$U$13,$D202))*(1-p_amort)+p_sh_conc*P202</f>
        <v/>
      </c>
      <c r="X202" s="26">
        <f>V202/O202</f>
        <v/>
      </c>
      <c r="Y202" s="26">
        <f>INDEX(Calib!$K$1:$K$13,$D202)+p_eta*MAX(0,X202-INDEX(Calib!$AA$1:$AA$13,$D202))</f>
        <v/>
      </c>
      <c r="Z202" s="26">
        <f>(1-INDEX(Calib!$H$1:$H$13,$D202))*(1-p_alpha)*M202+S202</f>
        <v/>
      </c>
      <c r="AA202" s="26">
        <f>(1-p_delta_g)*AA201*(1-p_eps_g*$E202)+INDEX(Calib!$E$1:$E$13,$D202)*(INDEX(Calib!$G$1:$G$13,$D202)+p_programme*$H202)</f>
        <v/>
      </c>
      <c r="AB202" s="26">
        <f>AB201*(1-p_eps_k*$E202)+p_lambda_k*(AD202-AB201*(1-p_eps_k*$E202))</f>
        <v/>
      </c>
      <c r="AC202" s="26">
        <f>INDEX(Calib!$R$1:$R$13,$D202)*$F202*(AA201*(1-p_eps_g*$E202))^INDEX(Calib!$Q$1:$Q$13,$D202)*(AB201*(1-p_eps_k*$E202))^p_alpha</f>
        <v/>
      </c>
      <c r="AD202" s="26">
        <f>p_alpha*(1-INDEX(Calib!$H$1:$H$13,$D202))*AC202/(INDEX(Calib!$K$1:$K$13,$D202)+p_delta)</f>
        <v/>
      </c>
      <c r="AE202" s="26">
        <f>AC202+$G202</f>
        <v/>
      </c>
      <c r="AF202" s="26">
        <f>p_programme*($H202+$I202)</f>
        <v/>
      </c>
      <c r="AG202" s="26">
        <f>INDEX(Calib!$I$1:$I$13,$D202)+p_sh_grant*AF202</f>
        <v/>
      </c>
      <c r="AH202" s="26">
        <f>INDEX(Calib!$H$1:$H$13,$D202)*AC202+p_gov_take*$G202+AG202+p_programme*p_pricing*$J202</f>
        <v/>
      </c>
      <c r="AI202" s="26">
        <f>INDEX(Calib!$Y$1:$Y$13,$D202)-INDEX(Calib!$Z$1:$Z$13,$D202)*(AL201/AE201-INDEX(Calib!$AA$1:$AA$13,$D202))</f>
        <v/>
      </c>
      <c r="AJ202" s="26">
        <f>INDEX(Calib!$X$1:$X$13,$D202)+INDEX(Calib!$G$1:$G$13,$D202)+AF202+AI202-AH202</f>
        <v/>
      </c>
      <c r="AK202" s="26">
        <f>p_rk*AM201+AO201*(AL201-AM201)</f>
        <v/>
      </c>
      <c r="AL202" s="26">
        <f>AL201+AK202+AJ202</f>
        <v/>
      </c>
      <c r="AM202" s="26">
        <f>INDEX(Calib!$U$1:$U$13,$D202)+(AM201-INDEX(Calib!$U$1:$U$13,$D202))*(1-p_amort)+p_sh_conc*AF202</f>
        <v/>
      </c>
      <c r="AN202" s="26">
        <f>AL202/AE202</f>
        <v/>
      </c>
      <c r="AO202" s="26">
        <f>INDEX(Calib!$K$1:$K$13,$D202)+p_eta*MAX(0,AN202-INDEX(Calib!$AA$1:$AA$13,$D202))</f>
        <v/>
      </c>
      <c r="AP202" s="26">
        <f>(1-INDEX(Calib!$H$1:$H$13,$D202))*(1-p_alpha)*AC202+AI202</f>
        <v/>
      </c>
      <c r="AQ202" s="26">
        <f>(AE202/O202-1)*100</f>
        <v/>
      </c>
      <c r="AR202" s="26">
        <f>(AE202/AE191-1)*100</f>
        <v/>
      </c>
      <c r="AS202" s="26">
        <f>(O202/O191-1)*100</f>
        <v/>
      </c>
      <c r="AT202" s="26">
        <f>(AN202-X202)*100</f>
        <v/>
      </c>
      <c r="AU202" s="26">
        <f>(AP202/Z202-1)*100</f>
        <v/>
      </c>
      <c r="AV202" s="26">
        <f>(AI202-S202)*100</f>
        <v/>
      </c>
    </row>
    <row r="203">
      <c r="A203" s="25" t="inlineStr">
        <is>
          <t>GHA</t>
        </is>
      </c>
      <c r="B203" s="25" t="n">
        <v>2036</v>
      </c>
      <c r="C203" s="25" t="n">
        <v>12</v>
      </c>
      <c r="D203" s="25" t="n">
        <v>9</v>
      </c>
      <c r="E203" s="25">
        <f>IF(AND(p_dis_year&gt;0,B203=p_dis_year),1,0)</f>
        <v/>
      </c>
      <c r="F203" s="26">
        <f>IF(AND(p_dis_year&gt;0,B203&gt;=p_dis_year),1-p_eps_a*p_rho_a^(B203-p_dis_year),1)</f>
        <v/>
      </c>
      <c r="G203" s="26">
        <f>INDEX(Calib!$N$1:$N$13,$D203)*(1-p_rent_decline*MIN(1,C203/26))</f>
        <v/>
      </c>
      <c r="H203" s="26">
        <f>IF(C203=0,0,SUMIFS(dl_val,dl_iso,$A203,dl_ind,"pub_cap",dl_year,$B203)/100)</f>
        <v/>
      </c>
      <c r="I203" s="26">
        <f>IF(C203=0,0,SUMIFS(dl_val,dl_iso,$A203,dl_ind,"pub_spend",dl_year,$B203)/100)</f>
        <v/>
      </c>
      <c r="J203" s="26">
        <f>IF(C203=0,0,SUMIFS(dl_val,dl_iso,$A203,dl_ind,"rev",dl_year,$B203)/100)</f>
        <v/>
      </c>
      <c r="K203" s="26">
        <f>(1-p_delta_g)*K202*(1-p_eps_g*$E203)+INDEX(Calib!$E$1:$E$13,$D203)*(INDEX(Calib!$G$1:$G$13,$D203)+0*$H203)</f>
        <v/>
      </c>
      <c r="L203" s="26">
        <f>L202*(1-p_eps_k*$E203)+p_lambda_k*(N203-L202*(1-p_eps_k*$E203))</f>
        <v/>
      </c>
      <c r="M203" s="26">
        <f>INDEX(Calib!$R$1:$R$13,$D203)*$F203*(K202*(1-p_eps_g*$E203))^INDEX(Calib!$Q$1:$Q$13,$D203)*(L202*(1-p_eps_k*$E203))^p_alpha</f>
        <v/>
      </c>
      <c r="N203" s="26">
        <f>p_alpha*(1-INDEX(Calib!$H$1:$H$13,$D203))*M203/(INDEX(Calib!$K$1:$K$13,$D203)+p_delta)</f>
        <v/>
      </c>
      <c r="O203" s="26">
        <f>M203+$G203</f>
        <v/>
      </c>
      <c r="P203" s="26">
        <f>0*($H203+$I203)</f>
        <v/>
      </c>
      <c r="Q203" s="26">
        <f>INDEX(Calib!$I$1:$I$13,$D203)+p_sh_grant*P203</f>
        <v/>
      </c>
      <c r="R203" s="26">
        <f>INDEX(Calib!$H$1:$H$13,$D203)*M203+p_gov_take*$G203+Q203+0*p_pricing*$J203</f>
        <v/>
      </c>
      <c r="S203" s="26">
        <f>INDEX(Calib!$Y$1:$Y$13,$D203)-INDEX(Calib!$Z$1:$Z$13,$D203)*(V202/O202-INDEX(Calib!$AA$1:$AA$13,$D203))</f>
        <v/>
      </c>
      <c r="T203" s="26">
        <f>INDEX(Calib!$X$1:$X$13,$D203)+INDEX(Calib!$G$1:$G$13,$D203)+P203+S203-R203</f>
        <v/>
      </c>
      <c r="U203" s="26">
        <f>p_rk*W202+Y202*(V202-W202)</f>
        <v/>
      </c>
      <c r="V203" s="26">
        <f>V202+U203+T203</f>
        <v/>
      </c>
      <c r="W203" s="26">
        <f>INDEX(Calib!$U$1:$U$13,$D203)+(W202-INDEX(Calib!$U$1:$U$13,$D203))*(1-p_amort)+p_sh_conc*P203</f>
        <v/>
      </c>
      <c r="X203" s="26">
        <f>V203/O203</f>
        <v/>
      </c>
      <c r="Y203" s="26">
        <f>INDEX(Calib!$K$1:$K$13,$D203)+p_eta*MAX(0,X203-INDEX(Calib!$AA$1:$AA$13,$D203))</f>
        <v/>
      </c>
      <c r="Z203" s="26">
        <f>(1-INDEX(Calib!$H$1:$H$13,$D203))*(1-p_alpha)*M203+S203</f>
        <v/>
      </c>
      <c r="AA203" s="26">
        <f>(1-p_delta_g)*AA202*(1-p_eps_g*$E203)+INDEX(Calib!$E$1:$E$13,$D203)*(INDEX(Calib!$G$1:$G$13,$D203)+p_programme*$H203)</f>
        <v/>
      </c>
      <c r="AB203" s="26">
        <f>AB202*(1-p_eps_k*$E203)+p_lambda_k*(AD203-AB202*(1-p_eps_k*$E203))</f>
        <v/>
      </c>
      <c r="AC203" s="26">
        <f>INDEX(Calib!$R$1:$R$13,$D203)*$F203*(AA202*(1-p_eps_g*$E203))^INDEX(Calib!$Q$1:$Q$13,$D203)*(AB202*(1-p_eps_k*$E203))^p_alpha</f>
        <v/>
      </c>
      <c r="AD203" s="26">
        <f>p_alpha*(1-INDEX(Calib!$H$1:$H$13,$D203))*AC203/(INDEX(Calib!$K$1:$K$13,$D203)+p_delta)</f>
        <v/>
      </c>
      <c r="AE203" s="26">
        <f>AC203+$G203</f>
        <v/>
      </c>
      <c r="AF203" s="26">
        <f>p_programme*($H203+$I203)</f>
        <v/>
      </c>
      <c r="AG203" s="26">
        <f>INDEX(Calib!$I$1:$I$13,$D203)+p_sh_grant*AF203</f>
        <v/>
      </c>
      <c r="AH203" s="26">
        <f>INDEX(Calib!$H$1:$H$13,$D203)*AC203+p_gov_take*$G203+AG203+p_programme*p_pricing*$J203</f>
        <v/>
      </c>
      <c r="AI203" s="26">
        <f>INDEX(Calib!$Y$1:$Y$13,$D203)-INDEX(Calib!$Z$1:$Z$13,$D203)*(AL202/AE202-INDEX(Calib!$AA$1:$AA$13,$D203))</f>
        <v/>
      </c>
      <c r="AJ203" s="26">
        <f>INDEX(Calib!$X$1:$X$13,$D203)+INDEX(Calib!$G$1:$G$13,$D203)+AF203+AI203-AH203</f>
        <v/>
      </c>
      <c r="AK203" s="26">
        <f>p_rk*AM202+AO202*(AL202-AM202)</f>
        <v/>
      </c>
      <c r="AL203" s="26">
        <f>AL202+AK203+AJ203</f>
        <v/>
      </c>
      <c r="AM203" s="26">
        <f>INDEX(Calib!$U$1:$U$13,$D203)+(AM202-INDEX(Calib!$U$1:$U$13,$D203))*(1-p_amort)+p_sh_conc*AF203</f>
        <v/>
      </c>
      <c r="AN203" s="26">
        <f>AL203/AE203</f>
        <v/>
      </c>
      <c r="AO203" s="26">
        <f>INDEX(Calib!$K$1:$K$13,$D203)+p_eta*MAX(0,AN203-INDEX(Calib!$AA$1:$AA$13,$D203))</f>
        <v/>
      </c>
      <c r="AP203" s="26">
        <f>(1-INDEX(Calib!$H$1:$H$13,$D203))*(1-p_alpha)*AC203+AI203</f>
        <v/>
      </c>
      <c r="AQ203" s="26">
        <f>(AE203/O203-1)*100</f>
        <v/>
      </c>
      <c r="AR203" s="26">
        <f>(AE203/AE191-1)*100</f>
        <v/>
      </c>
      <c r="AS203" s="26">
        <f>(O203/O191-1)*100</f>
        <v/>
      </c>
      <c r="AT203" s="26">
        <f>(AN203-X203)*100</f>
        <v/>
      </c>
      <c r="AU203" s="26">
        <f>(AP203/Z203-1)*100</f>
        <v/>
      </c>
      <c r="AV203" s="26">
        <f>(AI203-S203)*100</f>
        <v/>
      </c>
    </row>
    <row r="204">
      <c r="A204" s="25" t="inlineStr">
        <is>
          <t>GHA</t>
        </is>
      </c>
      <c r="B204" s="25" t="n">
        <v>2037</v>
      </c>
      <c r="C204" s="25" t="n">
        <v>13</v>
      </c>
      <c r="D204" s="25" t="n">
        <v>9</v>
      </c>
      <c r="E204" s="25">
        <f>IF(AND(p_dis_year&gt;0,B204=p_dis_year),1,0)</f>
        <v/>
      </c>
      <c r="F204" s="26">
        <f>IF(AND(p_dis_year&gt;0,B204&gt;=p_dis_year),1-p_eps_a*p_rho_a^(B204-p_dis_year),1)</f>
        <v/>
      </c>
      <c r="G204" s="26">
        <f>INDEX(Calib!$N$1:$N$13,$D204)*(1-p_rent_decline*MIN(1,C204/26))</f>
        <v/>
      </c>
      <c r="H204" s="26">
        <f>IF(C204=0,0,SUMIFS(dl_val,dl_iso,$A204,dl_ind,"pub_cap",dl_year,$B204)/100)</f>
        <v/>
      </c>
      <c r="I204" s="26">
        <f>IF(C204=0,0,SUMIFS(dl_val,dl_iso,$A204,dl_ind,"pub_spend",dl_year,$B204)/100)</f>
        <v/>
      </c>
      <c r="J204" s="26">
        <f>IF(C204=0,0,SUMIFS(dl_val,dl_iso,$A204,dl_ind,"rev",dl_year,$B204)/100)</f>
        <v/>
      </c>
      <c r="K204" s="26">
        <f>(1-p_delta_g)*K203*(1-p_eps_g*$E204)+INDEX(Calib!$E$1:$E$13,$D204)*(INDEX(Calib!$G$1:$G$13,$D204)+0*$H204)</f>
        <v/>
      </c>
      <c r="L204" s="26">
        <f>L203*(1-p_eps_k*$E204)+p_lambda_k*(N204-L203*(1-p_eps_k*$E204))</f>
        <v/>
      </c>
      <c r="M204" s="26">
        <f>INDEX(Calib!$R$1:$R$13,$D204)*$F204*(K203*(1-p_eps_g*$E204))^INDEX(Calib!$Q$1:$Q$13,$D204)*(L203*(1-p_eps_k*$E204))^p_alpha</f>
        <v/>
      </c>
      <c r="N204" s="26">
        <f>p_alpha*(1-INDEX(Calib!$H$1:$H$13,$D204))*M204/(INDEX(Calib!$K$1:$K$13,$D204)+p_delta)</f>
        <v/>
      </c>
      <c r="O204" s="26">
        <f>M204+$G204</f>
        <v/>
      </c>
      <c r="P204" s="26">
        <f>0*($H204+$I204)</f>
        <v/>
      </c>
      <c r="Q204" s="26">
        <f>INDEX(Calib!$I$1:$I$13,$D204)+p_sh_grant*P204</f>
        <v/>
      </c>
      <c r="R204" s="26">
        <f>INDEX(Calib!$H$1:$H$13,$D204)*M204+p_gov_take*$G204+Q204+0*p_pricing*$J204</f>
        <v/>
      </c>
      <c r="S204" s="26">
        <f>INDEX(Calib!$Y$1:$Y$13,$D204)-INDEX(Calib!$Z$1:$Z$13,$D204)*(V203/O203-INDEX(Calib!$AA$1:$AA$13,$D204))</f>
        <v/>
      </c>
      <c r="T204" s="26">
        <f>INDEX(Calib!$X$1:$X$13,$D204)+INDEX(Calib!$G$1:$G$13,$D204)+P204+S204-R204</f>
        <v/>
      </c>
      <c r="U204" s="26">
        <f>p_rk*W203+Y203*(V203-W203)</f>
        <v/>
      </c>
      <c r="V204" s="26">
        <f>V203+U204+T204</f>
        <v/>
      </c>
      <c r="W204" s="26">
        <f>INDEX(Calib!$U$1:$U$13,$D204)+(W203-INDEX(Calib!$U$1:$U$13,$D204))*(1-p_amort)+p_sh_conc*P204</f>
        <v/>
      </c>
      <c r="X204" s="26">
        <f>V204/O204</f>
        <v/>
      </c>
      <c r="Y204" s="26">
        <f>INDEX(Calib!$K$1:$K$13,$D204)+p_eta*MAX(0,X204-INDEX(Calib!$AA$1:$AA$13,$D204))</f>
        <v/>
      </c>
      <c r="Z204" s="26">
        <f>(1-INDEX(Calib!$H$1:$H$13,$D204))*(1-p_alpha)*M204+S204</f>
        <v/>
      </c>
      <c r="AA204" s="26">
        <f>(1-p_delta_g)*AA203*(1-p_eps_g*$E204)+INDEX(Calib!$E$1:$E$13,$D204)*(INDEX(Calib!$G$1:$G$13,$D204)+p_programme*$H204)</f>
        <v/>
      </c>
      <c r="AB204" s="26">
        <f>AB203*(1-p_eps_k*$E204)+p_lambda_k*(AD204-AB203*(1-p_eps_k*$E204))</f>
        <v/>
      </c>
      <c r="AC204" s="26">
        <f>INDEX(Calib!$R$1:$R$13,$D204)*$F204*(AA203*(1-p_eps_g*$E204))^INDEX(Calib!$Q$1:$Q$13,$D204)*(AB203*(1-p_eps_k*$E204))^p_alpha</f>
        <v/>
      </c>
      <c r="AD204" s="26">
        <f>p_alpha*(1-INDEX(Calib!$H$1:$H$13,$D204))*AC204/(INDEX(Calib!$K$1:$K$13,$D204)+p_delta)</f>
        <v/>
      </c>
      <c r="AE204" s="26">
        <f>AC204+$G204</f>
        <v/>
      </c>
      <c r="AF204" s="26">
        <f>p_programme*($H204+$I204)</f>
        <v/>
      </c>
      <c r="AG204" s="26">
        <f>INDEX(Calib!$I$1:$I$13,$D204)+p_sh_grant*AF204</f>
        <v/>
      </c>
      <c r="AH204" s="26">
        <f>INDEX(Calib!$H$1:$H$13,$D204)*AC204+p_gov_take*$G204+AG204+p_programme*p_pricing*$J204</f>
        <v/>
      </c>
      <c r="AI204" s="26">
        <f>INDEX(Calib!$Y$1:$Y$13,$D204)-INDEX(Calib!$Z$1:$Z$13,$D204)*(AL203/AE203-INDEX(Calib!$AA$1:$AA$13,$D204))</f>
        <v/>
      </c>
      <c r="AJ204" s="26">
        <f>INDEX(Calib!$X$1:$X$13,$D204)+INDEX(Calib!$G$1:$G$13,$D204)+AF204+AI204-AH204</f>
        <v/>
      </c>
      <c r="AK204" s="26">
        <f>p_rk*AM203+AO203*(AL203-AM203)</f>
        <v/>
      </c>
      <c r="AL204" s="26">
        <f>AL203+AK204+AJ204</f>
        <v/>
      </c>
      <c r="AM204" s="26">
        <f>INDEX(Calib!$U$1:$U$13,$D204)+(AM203-INDEX(Calib!$U$1:$U$13,$D204))*(1-p_amort)+p_sh_conc*AF204</f>
        <v/>
      </c>
      <c r="AN204" s="26">
        <f>AL204/AE204</f>
        <v/>
      </c>
      <c r="AO204" s="26">
        <f>INDEX(Calib!$K$1:$K$13,$D204)+p_eta*MAX(0,AN204-INDEX(Calib!$AA$1:$AA$13,$D204))</f>
        <v/>
      </c>
      <c r="AP204" s="26">
        <f>(1-INDEX(Calib!$H$1:$H$13,$D204))*(1-p_alpha)*AC204+AI204</f>
        <v/>
      </c>
      <c r="AQ204" s="26">
        <f>(AE204/O204-1)*100</f>
        <v/>
      </c>
      <c r="AR204" s="26">
        <f>(AE204/AE191-1)*100</f>
        <v/>
      </c>
      <c r="AS204" s="26">
        <f>(O204/O191-1)*100</f>
        <v/>
      </c>
      <c r="AT204" s="26">
        <f>(AN204-X204)*100</f>
        <v/>
      </c>
      <c r="AU204" s="26">
        <f>(AP204/Z204-1)*100</f>
        <v/>
      </c>
      <c r="AV204" s="26">
        <f>(AI204-S204)*100</f>
        <v/>
      </c>
    </row>
    <row r="205">
      <c r="A205" s="25" t="inlineStr">
        <is>
          <t>GHA</t>
        </is>
      </c>
      <c r="B205" s="25" t="n">
        <v>2038</v>
      </c>
      <c r="C205" s="25" t="n">
        <v>14</v>
      </c>
      <c r="D205" s="25" t="n">
        <v>9</v>
      </c>
      <c r="E205" s="25">
        <f>IF(AND(p_dis_year&gt;0,B205=p_dis_year),1,0)</f>
        <v/>
      </c>
      <c r="F205" s="26">
        <f>IF(AND(p_dis_year&gt;0,B205&gt;=p_dis_year),1-p_eps_a*p_rho_a^(B205-p_dis_year),1)</f>
        <v/>
      </c>
      <c r="G205" s="26">
        <f>INDEX(Calib!$N$1:$N$13,$D205)*(1-p_rent_decline*MIN(1,C205/26))</f>
        <v/>
      </c>
      <c r="H205" s="26">
        <f>IF(C205=0,0,SUMIFS(dl_val,dl_iso,$A205,dl_ind,"pub_cap",dl_year,$B205)/100)</f>
        <v/>
      </c>
      <c r="I205" s="26">
        <f>IF(C205=0,0,SUMIFS(dl_val,dl_iso,$A205,dl_ind,"pub_spend",dl_year,$B205)/100)</f>
        <v/>
      </c>
      <c r="J205" s="26">
        <f>IF(C205=0,0,SUMIFS(dl_val,dl_iso,$A205,dl_ind,"rev",dl_year,$B205)/100)</f>
        <v/>
      </c>
      <c r="K205" s="26">
        <f>(1-p_delta_g)*K204*(1-p_eps_g*$E205)+INDEX(Calib!$E$1:$E$13,$D205)*(INDEX(Calib!$G$1:$G$13,$D205)+0*$H205)</f>
        <v/>
      </c>
      <c r="L205" s="26">
        <f>L204*(1-p_eps_k*$E205)+p_lambda_k*(N205-L204*(1-p_eps_k*$E205))</f>
        <v/>
      </c>
      <c r="M205" s="26">
        <f>INDEX(Calib!$R$1:$R$13,$D205)*$F205*(K204*(1-p_eps_g*$E205))^INDEX(Calib!$Q$1:$Q$13,$D205)*(L204*(1-p_eps_k*$E205))^p_alpha</f>
        <v/>
      </c>
      <c r="N205" s="26">
        <f>p_alpha*(1-INDEX(Calib!$H$1:$H$13,$D205))*M205/(INDEX(Calib!$K$1:$K$13,$D205)+p_delta)</f>
        <v/>
      </c>
      <c r="O205" s="26">
        <f>M205+$G205</f>
        <v/>
      </c>
      <c r="P205" s="26">
        <f>0*($H205+$I205)</f>
        <v/>
      </c>
      <c r="Q205" s="26">
        <f>INDEX(Calib!$I$1:$I$13,$D205)+p_sh_grant*P205</f>
        <v/>
      </c>
      <c r="R205" s="26">
        <f>INDEX(Calib!$H$1:$H$13,$D205)*M205+p_gov_take*$G205+Q205+0*p_pricing*$J205</f>
        <v/>
      </c>
      <c r="S205" s="26">
        <f>INDEX(Calib!$Y$1:$Y$13,$D205)-INDEX(Calib!$Z$1:$Z$13,$D205)*(V204/O204-INDEX(Calib!$AA$1:$AA$13,$D205))</f>
        <v/>
      </c>
      <c r="T205" s="26">
        <f>INDEX(Calib!$X$1:$X$13,$D205)+INDEX(Calib!$G$1:$G$13,$D205)+P205+S205-R205</f>
        <v/>
      </c>
      <c r="U205" s="26">
        <f>p_rk*W204+Y204*(V204-W204)</f>
        <v/>
      </c>
      <c r="V205" s="26">
        <f>V204+U205+T205</f>
        <v/>
      </c>
      <c r="W205" s="26">
        <f>INDEX(Calib!$U$1:$U$13,$D205)+(W204-INDEX(Calib!$U$1:$U$13,$D205))*(1-p_amort)+p_sh_conc*P205</f>
        <v/>
      </c>
      <c r="X205" s="26">
        <f>V205/O205</f>
        <v/>
      </c>
      <c r="Y205" s="26">
        <f>INDEX(Calib!$K$1:$K$13,$D205)+p_eta*MAX(0,X205-INDEX(Calib!$AA$1:$AA$13,$D205))</f>
        <v/>
      </c>
      <c r="Z205" s="26">
        <f>(1-INDEX(Calib!$H$1:$H$13,$D205))*(1-p_alpha)*M205+S205</f>
        <v/>
      </c>
      <c r="AA205" s="26">
        <f>(1-p_delta_g)*AA204*(1-p_eps_g*$E205)+INDEX(Calib!$E$1:$E$13,$D205)*(INDEX(Calib!$G$1:$G$13,$D205)+p_programme*$H205)</f>
        <v/>
      </c>
      <c r="AB205" s="26">
        <f>AB204*(1-p_eps_k*$E205)+p_lambda_k*(AD205-AB204*(1-p_eps_k*$E205))</f>
        <v/>
      </c>
      <c r="AC205" s="26">
        <f>INDEX(Calib!$R$1:$R$13,$D205)*$F205*(AA204*(1-p_eps_g*$E205))^INDEX(Calib!$Q$1:$Q$13,$D205)*(AB204*(1-p_eps_k*$E205))^p_alpha</f>
        <v/>
      </c>
      <c r="AD205" s="26">
        <f>p_alpha*(1-INDEX(Calib!$H$1:$H$13,$D205))*AC205/(INDEX(Calib!$K$1:$K$13,$D205)+p_delta)</f>
        <v/>
      </c>
      <c r="AE205" s="26">
        <f>AC205+$G205</f>
        <v/>
      </c>
      <c r="AF205" s="26">
        <f>p_programme*($H205+$I205)</f>
        <v/>
      </c>
      <c r="AG205" s="26">
        <f>INDEX(Calib!$I$1:$I$13,$D205)+p_sh_grant*AF205</f>
        <v/>
      </c>
      <c r="AH205" s="26">
        <f>INDEX(Calib!$H$1:$H$13,$D205)*AC205+p_gov_take*$G205+AG205+p_programme*p_pricing*$J205</f>
        <v/>
      </c>
      <c r="AI205" s="26">
        <f>INDEX(Calib!$Y$1:$Y$13,$D205)-INDEX(Calib!$Z$1:$Z$13,$D205)*(AL204/AE204-INDEX(Calib!$AA$1:$AA$13,$D205))</f>
        <v/>
      </c>
      <c r="AJ205" s="26">
        <f>INDEX(Calib!$X$1:$X$13,$D205)+INDEX(Calib!$G$1:$G$13,$D205)+AF205+AI205-AH205</f>
        <v/>
      </c>
      <c r="AK205" s="26">
        <f>p_rk*AM204+AO204*(AL204-AM204)</f>
        <v/>
      </c>
      <c r="AL205" s="26">
        <f>AL204+AK205+AJ205</f>
        <v/>
      </c>
      <c r="AM205" s="26">
        <f>INDEX(Calib!$U$1:$U$13,$D205)+(AM204-INDEX(Calib!$U$1:$U$13,$D205))*(1-p_amort)+p_sh_conc*AF205</f>
        <v/>
      </c>
      <c r="AN205" s="26">
        <f>AL205/AE205</f>
        <v/>
      </c>
      <c r="AO205" s="26">
        <f>INDEX(Calib!$K$1:$K$13,$D205)+p_eta*MAX(0,AN205-INDEX(Calib!$AA$1:$AA$13,$D205))</f>
        <v/>
      </c>
      <c r="AP205" s="26">
        <f>(1-INDEX(Calib!$H$1:$H$13,$D205))*(1-p_alpha)*AC205+AI205</f>
        <v/>
      </c>
      <c r="AQ205" s="26">
        <f>(AE205/O205-1)*100</f>
        <v/>
      </c>
      <c r="AR205" s="26">
        <f>(AE205/AE191-1)*100</f>
        <v/>
      </c>
      <c r="AS205" s="26">
        <f>(O205/O191-1)*100</f>
        <v/>
      </c>
      <c r="AT205" s="26">
        <f>(AN205-X205)*100</f>
        <v/>
      </c>
      <c r="AU205" s="26">
        <f>(AP205/Z205-1)*100</f>
        <v/>
      </c>
      <c r="AV205" s="26">
        <f>(AI205-S205)*100</f>
        <v/>
      </c>
    </row>
    <row r="206">
      <c r="A206" s="25" t="inlineStr">
        <is>
          <t>GHA</t>
        </is>
      </c>
      <c r="B206" s="25" t="n">
        <v>2039</v>
      </c>
      <c r="C206" s="25" t="n">
        <v>15</v>
      </c>
      <c r="D206" s="25" t="n">
        <v>9</v>
      </c>
      <c r="E206" s="25">
        <f>IF(AND(p_dis_year&gt;0,B206=p_dis_year),1,0)</f>
        <v/>
      </c>
      <c r="F206" s="26">
        <f>IF(AND(p_dis_year&gt;0,B206&gt;=p_dis_year),1-p_eps_a*p_rho_a^(B206-p_dis_year),1)</f>
        <v/>
      </c>
      <c r="G206" s="26">
        <f>INDEX(Calib!$N$1:$N$13,$D206)*(1-p_rent_decline*MIN(1,C206/26))</f>
        <v/>
      </c>
      <c r="H206" s="26">
        <f>IF(C206=0,0,SUMIFS(dl_val,dl_iso,$A206,dl_ind,"pub_cap",dl_year,$B206)/100)</f>
        <v/>
      </c>
      <c r="I206" s="26">
        <f>IF(C206=0,0,SUMIFS(dl_val,dl_iso,$A206,dl_ind,"pub_spend",dl_year,$B206)/100)</f>
        <v/>
      </c>
      <c r="J206" s="26">
        <f>IF(C206=0,0,SUMIFS(dl_val,dl_iso,$A206,dl_ind,"rev",dl_year,$B206)/100)</f>
        <v/>
      </c>
      <c r="K206" s="26">
        <f>(1-p_delta_g)*K205*(1-p_eps_g*$E206)+INDEX(Calib!$E$1:$E$13,$D206)*(INDEX(Calib!$G$1:$G$13,$D206)+0*$H206)</f>
        <v/>
      </c>
      <c r="L206" s="26">
        <f>L205*(1-p_eps_k*$E206)+p_lambda_k*(N206-L205*(1-p_eps_k*$E206))</f>
        <v/>
      </c>
      <c r="M206" s="26">
        <f>INDEX(Calib!$R$1:$R$13,$D206)*$F206*(K205*(1-p_eps_g*$E206))^INDEX(Calib!$Q$1:$Q$13,$D206)*(L205*(1-p_eps_k*$E206))^p_alpha</f>
        <v/>
      </c>
      <c r="N206" s="26">
        <f>p_alpha*(1-INDEX(Calib!$H$1:$H$13,$D206))*M206/(INDEX(Calib!$K$1:$K$13,$D206)+p_delta)</f>
        <v/>
      </c>
      <c r="O206" s="26">
        <f>M206+$G206</f>
        <v/>
      </c>
      <c r="P206" s="26">
        <f>0*($H206+$I206)</f>
        <v/>
      </c>
      <c r="Q206" s="26">
        <f>INDEX(Calib!$I$1:$I$13,$D206)+p_sh_grant*P206</f>
        <v/>
      </c>
      <c r="R206" s="26">
        <f>INDEX(Calib!$H$1:$H$13,$D206)*M206+p_gov_take*$G206+Q206+0*p_pricing*$J206</f>
        <v/>
      </c>
      <c r="S206" s="26">
        <f>INDEX(Calib!$Y$1:$Y$13,$D206)-INDEX(Calib!$Z$1:$Z$13,$D206)*(V205/O205-INDEX(Calib!$AA$1:$AA$13,$D206))</f>
        <v/>
      </c>
      <c r="T206" s="26">
        <f>INDEX(Calib!$X$1:$X$13,$D206)+INDEX(Calib!$G$1:$G$13,$D206)+P206+S206-R206</f>
        <v/>
      </c>
      <c r="U206" s="26">
        <f>p_rk*W205+Y205*(V205-W205)</f>
        <v/>
      </c>
      <c r="V206" s="26">
        <f>V205+U206+T206</f>
        <v/>
      </c>
      <c r="W206" s="26">
        <f>INDEX(Calib!$U$1:$U$13,$D206)+(W205-INDEX(Calib!$U$1:$U$13,$D206))*(1-p_amort)+p_sh_conc*P206</f>
        <v/>
      </c>
      <c r="X206" s="26">
        <f>V206/O206</f>
        <v/>
      </c>
      <c r="Y206" s="26">
        <f>INDEX(Calib!$K$1:$K$13,$D206)+p_eta*MAX(0,X206-INDEX(Calib!$AA$1:$AA$13,$D206))</f>
        <v/>
      </c>
      <c r="Z206" s="26">
        <f>(1-INDEX(Calib!$H$1:$H$13,$D206))*(1-p_alpha)*M206+S206</f>
        <v/>
      </c>
      <c r="AA206" s="26">
        <f>(1-p_delta_g)*AA205*(1-p_eps_g*$E206)+INDEX(Calib!$E$1:$E$13,$D206)*(INDEX(Calib!$G$1:$G$13,$D206)+p_programme*$H206)</f>
        <v/>
      </c>
      <c r="AB206" s="26">
        <f>AB205*(1-p_eps_k*$E206)+p_lambda_k*(AD206-AB205*(1-p_eps_k*$E206))</f>
        <v/>
      </c>
      <c r="AC206" s="26">
        <f>INDEX(Calib!$R$1:$R$13,$D206)*$F206*(AA205*(1-p_eps_g*$E206))^INDEX(Calib!$Q$1:$Q$13,$D206)*(AB205*(1-p_eps_k*$E206))^p_alpha</f>
        <v/>
      </c>
      <c r="AD206" s="26">
        <f>p_alpha*(1-INDEX(Calib!$H$1:$H$13,$D206))*AC206/(INDEX(Calib!$K$1:$K$13,$D206)+p_delta)</f>
        <v/>
      </c>
      <c r="AE206" s="26">
        <f>AC206+$G206</f>
        <v/>
      </c>
      <c r="AF206" s="26">
        <f>p_programme*($H206+$I206)</f>
        <v/>
      </c>
      <c r="AG206" s="26">
        <f>INDEX(Calib!$I$1:$I$13,$D206)+p_sh_grant*AF206</f>
        <v/>
      </c>
      <c r="AH206" s="26">
        <f>INDEX(Calib!$H$1:$H$13,$D206)*AC206+p_gov_take*$G206+AG206+p_programme*p_pricing*$J206</f>
        <v/>
      </c>
      <c r="AI206" s="26">
        <f>INDEX(Calib!$Y$1:$Y$13,$D206)-INDEX(Calib!$Z$1:$Z$13,$D206)*(AL205/AE205-INDEX(Calib!$AA$1:$AA$13,$D206))</f>
        <v/>
      </c>
      <c r="AJ206" s="26">
        <f>INDEX(Calib!$X$1:$X$13,$D206)+INDEX(Calib!$G$1:$G$13,$D206)+AF206+AI206-AH206</f>
        <v/>
      </c>
      <c r="AK206" s="26">
        <f>p_rk*AM205+AO205*(AL205-AM205)</f>
        <v/>
      </c>
      <c r="AL206" s="26">
        <f>AL205+AK206+AJ206</f>
        <v/>
      </c>
      <c r="AM206" s="26">
        <f>INDEX(Calib!$U$1:$U$13,$D206)+(AM205-INDEX(Calib!$U$1:$U$13,$D206))*(1-p_amort)+p_sh_conc*AF206</f>
        <v/>
      </c>
      <c r="AN206" s="26">
        <f>AL206/AE206</f>
        <v/>
      </c>
      <c r="AO206" s="26">
        <f>INDEX(Calib!$K$1:$K$13,$D206)+p_eta*MAX(0,AN206-INDEX(Calib!$AA$1:$AA$13,$D206))</f>
        <v/>
      </c>
      <c r="AP206" s="26">
        <f>(1-INDEX(Calib!$H$1:$H$13,$D206))*(1-p_alpha)*AC206+AI206</f>
        <v/>
      </c>
      <c r="AQ206" s="26">
        <f>(AE206/O206-1)*100</f>
        <v/>
      </c>
      <c r="AR206" s="26">
        <f>(AE206/AE191-1)*100</f>
        <v/>
      </c>
      <c r="AS206" s="26">
        <f>(O206/O191-1)*100</f>
        <v/>
      </c>
      <c r="AT206" s="26">
        <f>(AN206-X206)*100</f>
        <v/>
      </c>
      <c r="AU206" s="26">
        <f>(AP206/Z206-1)*100</f>
        <v/>
      </c>
      <c r="AV206" s="26">
        <f>(AI206-S206)*100</f>
        <v/>
      </c>
    </row>
    <row r="207">
      <c r="A207" s="25" t="inlineStr">
        <is>
          <t>GHA</t>
        </is>
      </c>
      <c r="B207" s="25" t="n">
        <v>2040</v>
      </c>
      <c r="C207" s="25" t="n">
        <v>16</v>
      </c>
      <c r="D207" s="25" t="n">
        <v>9</v>
      </c>
      <c r="E207" s="25">
        <f>IF(AND(p_dis_year&gt;0,B207=p_dis_year),1,0)</f>
        <v/>
      </c>
      <c r="F207" s="26">
        <f>IF(AND(p_dis_year&gt;0,B207&gt;=p_dis_year),1-p_eps_a*p_rho_a^(B207-p_dis_year),1)</f>
        <v/>
      </c>
      <c r="G207" s="26">
        <f>INDEX(Calib!$N$1:$N$13,$D207)*(1-p_rent_decline*MIN(1,C207/26))</f>
        <v/>
      </c>
      <c r="H207" s="26">
        <f>IF(C207=0,0,SUMIFS(dl_val,dl_iso,$A207,dl_ind,"pub_cap",dl_year,$B207)/100)</f>
        <v/>
      </c>
      <c r="I207" s="26">
        <f>IF(C207=0,0,SUMIFS(dl_val,dl_iso,$A207,dl_ind,"pub_spend",dl_year,$B207)/100)</f>
        <v/>
      </c>
      <c r="J207" s="26">
        <f>IF(C207=0,0,SUMIFS(dl_val,dl_iso,$A207,dl_ind,"rev",dl_year,$B207)/100)</f>
        <v/>
      </c>
      <c r="K207" s="26">
        <f>(1-p_delta_g)*K206*(1-p_eps_g*$E207)+INDEX(Calib!$E$1:$E$13,$D207)*(INDEX(Calib!$G$1:$G$13,$D207)+0*$H207)</f>
        <v/>
      </c>
      <c r="L207" s="26">
        <f>L206*(1-p_eps_k*$E207)+p_lambda_k*(N207-L206*(1-p_eps_k*$E207))</f>
        <v/>
      </c>
      <c r="M207" s="26">
        <f>INDEX(Calib!$R$1:$R$13,$D207)*$F207*(K206*(1-p_eps_g*$E207))^INDEX(Calib!$Q$1:$Q$13,$D207)*(L206*(1-p_eps_k*$E207))^p_alpha</f>
        <v/>
      </c>
      <c r="N207" s="26">
        <f>p_alpha*(1-INDEX(Calib!$H$1:$H$13,$D207))*M207/(INDEX(Calib!$K$1:$K$13,$D207)+p_delta)</f>
        <v/>
      </c>
      <c r="O207" s="26">
        <f>M207+$G207</f>
        <v/>
      </c>
      <c r="P207" s="26">
        <f>0*($H207+$I207)</f>
        <v/>
      </c>
      <c r="Q207" s="26">
        <f>INDEX(Calib!$I$1:$I$13,$D207)+p_sh_grant*P207</f>
        <v/>
      </c>
      <c r="R207" s="26">
        <f>INDEX(Calib!$H$1:$H$13,$D207)*M207+p_gov_take*$G207+Q207+0*p_pricing*$J207</f>
        <v/>
      </c>
      <c r="S207" s="26">
        <f>INDEX(Calib!$Y$1:$Y$13,$D207)-INDEX(Calib!$Z$1:$Z$13,$D207)*(V206/O206-INDEX(Calib!$AA$1:$AA$13,$D207))</f>
        <v/>
      </c>
      <c r="T207" s="26">
        <f>INDEX(Calib!$X$1:$X$13,$D207)+INDEX(Calib!$G$1:$G$13,$D207)+P207+S207-R207</f>
        <v/>
      </c>
      <c r="U207" s="26">
        <f>p_rk*W206+Y206*(V206-W206)</f>
        <v/>
      </c>
      <c r="V207" s="26">
        <f>V206+U207+T207</f>
        <v/>
      </c>
      <c r="W207" s="26">
        <f>INDEX(Calib!$U$1:$U$13,$D207)+(W206-INDEX(Calib!$U$1:$U$13,$D207))*(1-p_amort)+p_sh_conc*P207</f>
        <v/>
      </c>
      <c r="X207" s="26">
        <f>V207/O207</f>
        <v/>
      </c>
      <c r="Y207" s="26">
        <f>INDEX(Calib!$K$1:$K$13,$D207)+p_eta*MAX(0,X207-INDEX(Calib!$AA$1:$AA$13,$D207))</f>
        <v/>
      </c>
      <c r="Z207" s="26">
        <f>(1-INDEX(Calib!$H$1:$H$13,$D207))*(1-p_alpha)*M207+S207</f>
        <v/>
      </c>
      <c r="AA207" s="26">
        <f>(1-p_delta_g)*AA206*(1-p_eps_g*$E207)+INDEX(Calib!$E$1:$E$13,$D207)*(INDEX(Calib!$G$1:$G$13,$D207)+p_programme*$H207)</f>
        <v/>
      </c>
      <c r="AB207" s="26">
        <f>AB206*(1-p_eps_k*$E207)+p_lambda_k*(AD207-AB206*(1-p_eps_k*$E207))</f>
        <v/>
      </c>
      <c r="AC207" s="26">
        <f>INDEX(Calib!$R$1:$R$13,$D207)*$F207*(AA206*(1-p_eps_g*$E207))^INDEX(Calib!$Q$1:$Q$13,$D207)*(AB206*(1-p_eps_k*$E207))^p_alpha</f>
        <v/>
      </c>
      <c r="AD207" s="26">
        <f>p_alpha*(1-INDEX(Calib!$H$1:$H$13,$D207))*AC207/(INDEX(Calib!$K$1:$K$13,$D207)+p_delta)</f>
        <v/>
      </c>
      <c r="AE207" s="26">
        <f>AC207+$G207</f>
        <v/>
      </c>
      <c r="AF207" s="26">
        <f>p_programme*($H207+$I207)</f>
        <v/>
      </c>
      <c r="AG207" s="26">
        <f>INDEX(Calib!$I$1:$I$13,$D207)+p_sh_grant*AF207</f>
        <v/>
      </c>
      <c r="AH207" s="26">
        <f>INDEX(Calib!$H$1:$H$13,$D207)*AC207+p_gov_take*$G207+AG207+p_programme*p_pricing*$J207</f>
        <v/>
      </c>
      <c r="AI207" s="26">
        <f>INDEX(Calib!$Y$1:$Y$13,$D207)-INDEX(Calib!$Z$1:$Z$13,$D207)*(AL206/AE206-INDEX(Calib!$AA$1:$AA$13,$D207))</f>
        <v/>
      </c>
      <c r="AJ207" s="26">
        <f>INDEX(Calib!$X$1:$X$13,$D207)+INDEX(Calib!$G$1:$G$13,$D207)+AF207+AI207-AH207</f>
        <v/>
      </c>
      <c r="AK207" s="26">
        <f>p_rk*AM206+AO206*(AL206-AM206)</f>
        <v/>
      </c>
      <c r="AL207" s="26">
        <f>AL206+AK207+AJ207</f>
        <v/>
      </c>
      <c r="AM207" s="26">
        <f>INDEX(Calib!$U$1:$U$13,$D207)+(AM206-INDEX(Calib!$U$1:$U$13,$D207))*(1-p_amort)+p_sh_conc*AF207</f>
        <v/>
      </c>
      <c r="AN207" s="26">
        <f>AL207/AE207</f>
        <v/>
      </c>
      <c r="AO207" s="26">
        <f>INDEX(Calib!$K$1:$K$13,$D207)+p_eta*MAX(0,AN207-INDEX(Calib!$AA$1:$AA$13,$D207))</f>
        <v/>
      </c>
      <c r="AP207" s="26">
        <f>(1-INDEX(Calib!$H$1:$H$13,$D207))*(1-p_alpha)*AC207+AI207</f>
        <v/>
      </c>
      <c r="AQ207" s="26">
        <f>(AE207/O207-1)*100</f>
        <v/>
      </c>
      <c r="AR207" s="26">
        <f>(AE207/AE191-1)*100</f>
        <v/>
      </c>
      <c r="AS207" s="26">
        <f>(O207/O191-1)*100</f>
        <v/>
      </c>
      <c r="AT207" s="26">
        <f>(AN207-X207)*100</f>
        <v/>
      </c>
      <c r="AU207" s="26">
        <f>(AP207/Z207-1)*100</f>
        <v/>
      </c>
      <c r="AV207" s="26">
        <f>(AI207-S207)*100</f>
        <v/>
      </c>
    </row>
    <row r="208">
      <c r="A208" s="25" t="inlineStr">
        <is>
          <t>GHA</t>
        </is>
      </c>
      <c r="B208" s="25" t="n">
        <v>2041</v>
      </c>
      <c r="C208" s="25" t="n">
        <v>17</v>
      </c>
      <c r="D208" s="25" t="n">
        <v>9</v>
      </c>
      <c r="E208" s="25">
        <f>IF(AND(p_dis_year&gt;0,B208=p_dis_year),1,0)</f>
        <v/>
      </c>
      <c r="F208" s="26">
        <f>IF(AND(p_dis_year&gt;0,B208&gt;=p_dis_year),1-p_eps_a*p_rho_a^(B208-p_dis_year),1)</f>
        <v/>
      </c>
      <c r="G208" s="26">
        <f>INDEX(Calib!$N$1:$N$13,$D208)*(1-p_rent_decline*MIN(1,C208/26))</f>
        <v/>
      </c>
      <c r="H208" s="26">
        <f>IF(C208=0,0,SUMIFS(dl_val,dl_iso,$A208,dl_ind,"pub_cap",dl_year,$B208)/100)</f>
        <v/>
      </c>
      <c r="I208" s="26">
        <f>IF(C208=0,0,SUMIFS(dl_val,dl_iso,$A208,dl_ind,"pub_spend",dl_year,$B208)/100)</f>
        <v/>
      </c>
      <c r="J208" s="26">
        <f>IF(C208=0,0,SUMIFS(dl_val,dl_iso,$A208,dl_ind,"rev",dl_year,$B208)/100)</f>
        <v/>
      </c>
      <c r="K208" s="26">
        <f>(1-p_delta_g)*K207*(1-p_eps_g*$E208)+INDEX(Calib!$E$1:$E$13,$D208)*(INDEX(Calib!$G$1:$G$13,$D208)+0*$H208)</f>
        <v/>
      </c>
      <c r="L208" s="26">
        <f>L207*(1-p_eps_k*$E208)+p_lambda_k*(N208-L207*(1-p_eps_k*$E208))</f>
        <v/>
      </c>
      <c r="M208" s="26">
        <f>INDEX(Calib!$R$1:$R$13,$D208)*$F208*(K207*(1-p_eps_g*$E208))^INDEX(Calib!$Q$1:$Q$13,$D208)*(L207*(1-p_eps_k*$E208))^p_alpha</f>
        <v/>
      </c>
      <c r="N208" s="26">
        <f>p_alpha*(1-INDEX(Calib!$H$1:$H$13,$D208))*M208/(INDEX(Calib!$K$1:$K$13,$D208)+p_delta)</f>
        <v/>
      </c>
      <c r="O208" s="26">
        <f>M208+$G208</f>
        <v/>
      </c>
      <c r="P208" s="26">
        <f>0*($H208+$I208)</f>
        <v/>
      </c>
      <c r="Q208" s="26">
        <f>INDEX(Calib!$I$1:$I$13,$D208)+p_sh_grant*P208</f>
        <v/>
      </c>
      <c r="R208" s="26">
        <f>INDEX(Calib!$H$1:$H$13,$D208)*M208+p_gov_take*$G208+Q208+0*p_pricing*$J208</f>
        <v/>
      </c>
      <c r="S208" s="26">
        <f>INDEX(Calib!$Y$1:$Y$13,$D208)-INDEX(Calib!$Z$1:$Z$13,$D208)*(V207/O207-INDEX(Calib!$AA$1:$AA$13,$D208))</f>
        <v/>
      </c>
      <c r="T208" s="26">
        <f>INDEX(Calib!$X$1:$X$13,$D208)+INDEX(Calib!$G$1:$G$13,$D208)+P208+S208-R208</f>
        <v/>
      </c>
      <c r="U208" s="26">
        <f>p_rk*W207+Y207*(V207-W207)</f>
        <v/>
      </c>
      <c r="V208" s="26">
        <f>V207+U208+T208</f>
        <v/>
      </c>
      <c r="W208" s="26">
        <f>INDEX(Calib!$U$1:$U$13,$D208)+(W207-INDEX(Calib!$U$1:$U$13,$D208))*(1-p_amort)+p_sh_conc*P208</f>
        <v/>
      </c>
      <c r="X208" s="26">
        <f>V208/O208</f>
        <v/>
      </c>
      <c r="Y208" s="26">
        <f>INDEX(Calib!$K$1:$K$13,$D208)+p_eta*MAX(0,X208-INDEX(Calib!$AA$1:$AA$13,$D208))</f>
        <v/>
      </c>
      <c r="Z208" s="26">
        <f>(1-INDEX(Calib!$H$1:$H$13,$D208))*(1-p_alpha)*M208+S208</f>
        <v/>
      </c>
      <c r="AA208" s="26">
        <f>(1-p_delta_g)*AA207*(1-p_eps_g*$E208)+INDEX(Calib!$E$1:$E$13,$D208)*(INDEX(Calib!$G$1:$G$13,$D208)+p_programme*$H208)</f>
        <v/>
      </c>
      <c r="AB208" s="26">
        <f>AB207*(1-p_eps_k*$E208)+p_lambda_k*(AD208-AB207*(1-p_eps_k*$E208))</f>
        <v/>
      </c>
      <c r="AC208" s="26">
        <f>INDEX(Calib!$R$1:$R$13,$D208)*$F208*(AA207*(1-p_eps_g*$E208))^INDEX(Calib!$Q$1:$Q$13,$D208)*(AB207*(1-p_eps_k*$E208))^p_alpha</f>
        <v/>
      </c>
      <c r="AD208" s="26">
        <f>p_alpha*(1-INDEX(Calib!$H$1:$H$13,$D208))*AC208/(INDEX(Calib!$K$1:$K$13,$D208)+p_delta)</f>
        <v/>
      </c>
      <c r="AE208" s="26">
        <f>AC208+$G208</f>
        <v/>
      </c>
      <c r="AF208" s="26">
        <f>p_programme*($H208+$I208)</f>
        <v/>
      </c>
      <c r="AG208" s="26">
        <f>INDEX(Calib!$I$1:$I$13,$D208)+p_sh_grant*AF208</f>
        <v/>
      </c>
      <c r="AH208" s="26">
        <f>INDEX(Calib!$H$1:$H$13,$D208)*AC208+p_gov_take*$G208+AG208+p_programme*p_pricing*$J208</f>
        <v/>
      </c>
      <c r="AI208" s="26">
        <f>INDEX(Calib!$Y$1:$Y$13,$D208)-INDEX(Calib!$Z$1:$Z$13,$D208)*(AL207/AE207-INDEX(Calib!$AA$1:$AA$13,$D208))</f>
        <v/>
      </c>
      <c r="AJ208" s="26">
        <f>INDEX(Calib!$X$1:$X$13,$D208)+INDEX(Calib!$G$1:$G$13,$D208)+AF208+AI208-AH208</f>
        <v/>
      </c>
      <c r="AK208" s="26">
        <f>p_rk*AM207+AO207*(AL207-AM207)</f>
        <v/>
      </c>
      <c r="AL208" s="26">
        <f>AL207+AK208+AJ208</f>
        <v/>
      </c>
      <c r="AM208" s="26">
        <f>INDEX(Calib!$U$1:$U$13,$D208)+(AM207-INDEX(Calib!$U$1:$U$13,$D208))*(1-p_amort)+p_sh_conc*AF208</f>
        <v/>
      </c>
      <c r="AN208" s="26">
        <f>AL208/AE208</f>
        <v/>
      </c>
      <c r="AO208" s="26">
        <f>INDEX(Calib!$K$1:$K$13,$D208)+p_eta*MAX(0,AN208-INDEX(Calib!$AA$1:$AA$13,$D208))</f>
        <v/>
      </c>
      <c r="AP208" s="26">
        <f>(1-INDEX(Calib!$H$1:$H$13,$D208))*(1-p_alpha)*AC208+AI208</f>
        <v/>
      </c>
      <c r="AQ208" s="26">
        <f>(AE208/O208-1)*100</f>
        <v/>
      </c>
      <c r="AR208" s="26">
        <f>(AE208/AE191-1)*100</f>
        <v/>
      </c>
      <c r="AS208" s="26">
        <f>(O208/O191-1)*100</f>
        <v/>
      </c>
      <c r="AT208" s="26">
        <f>(AN208-X208)*100</f>
        <v/>
      </c>
      <c r="AU208" s="26">
        <f>(AP208/Z208-1)*100</f>
        <v/>
      </c>
      <c r="AV208" s="26">
        <f>(AI208-S208)*100</f>
        <v/>
      </c>
    </row>
    <row r="209">
      <c r="A209" s="25" t="inlineStr">
        <is>
          <t>GHA</t>
        </is>
      </c>
      <c r="B209" s="25" t="n">
        <v>2042</v>
      </c>
      <c r="C209" s="25" t="n">
        <v>18</v>
      </c>
      <c r="D209" s="25" t="n">
        <v>9</v>
      </c>
      <c r="E209" s="25">
        <f>IF(AND(p_dis_year&gt;0,B209=p_dis_year),1,0)</f>
        <v/>
      </c>
      <c r="F209" s="26">
        <f>IF(AND(p_dis_year&gt;0,B209&gt;=p_dis_year),1-p_eps_a*p_rho_a^(B209-p_dis_year),1)</f>
        <v/>
      </c>
      <c r="G209" s="26">
        <f>INDEX(Calib!$N$1:$N$13,$D209)*(1-p_rent_decline*MIN(1,C209/26))</f>
        <v/>
      </c>
      <c r="H209" s="26">
        <f>IF(C209=0,0,SUMIFS(dl_val,dl_iso,$A209,dl_ind,"pub_cap",dl_year,$B209)/100)</f>
        <v/>
      </c>
      <c r="I209" s="26">
        <f>IF(C209=0,0,SUMIFS(dl_val,dl_iso,$A209,dl_ind,"pub_spend",dl_year,$B209)/100)</f>
        <v/>
      </c>
      <c r="J209" s="26">
        <f>IF(C209=0,0,SUMIFS(dl_val,dl_iso,$A209,dl_ind,"rev",dl_year,$B209)/100)</f>
        <v/>
      </c>
      <c r="K209" s="26">
        <f>(1-p_delta_g)*K208*(1-p_eps_g*$E209)+INDEX(Calib!$E$1:$E$13,$D209)*(INDEX(Calib!$G$1:$G$13,$D209)+0*$H209)</f>
        <v/>
      </c>
      <c r="L209" s="26">
        <f>L208*(1-p_eps_k*$E209)+p_lambda_k*(N209-L208*(1-p_eps_k*$E209))</f>
        <v/>
      </c>
      <c r="M209" s="26">
        <f>INDEX(Calib!$R$1:$R$13,$D209)*$F209*(K208*(1-p_eps_g*$E209))^INDEX(Calib!$Q$1:$Q$13,$D209)*(L208*(1-p_eps_k*$E209))^p_alpha</f>
        <v/>
      </c>
      <c r="N209" s="26">
        <f>p_alpha*(1-INDEX(Calib!$H$1:$H$13,$D209))*M209/(INDEX(Calib!$K$1:$K$13,$D209)+p_delta)</f>
        <v/>
      </c>
      <c r="O209" s="26">
        <f>M209+$G209</f>
        <v/>
      </c>
      <c r="P209" s="26">
        <f>0*($H209+$I209)</f>
        <v/>
      </c>
      <c r="Q209" s="26">
        <f>INDEX(Calib!$I$1:$I$13,$D209)+p_sh_grant*P209</f>
        <v/>
      </c>
      <c r="R209" s="26">
        <f>INDEX(Calib!$H$1:$H$13,$D209)*M209+p_gov_take*$G209+Q209+0*p_pricing*$J209</f>
        <v/>
      </c>
      <c r="S209" s="26">
        <f>INDEX(Calib!$Y$1:$Y$13,$D209)-INDEX(Calib!$Z$1:$Z$13,$D209)*(V208/O208-INDEX(Calib!$AA$1:$AA$13,$D209))</f>
        <v/>
      </c>
      <c r="T209" s="26">
        <f>INDEX(Calib!$X$1:$X$13,$D209)+INDEX(Calib!$G$1:$G$13,$D209)+P209+S209-R209</f>
        <v/>
      </c>
      <c r="U209" s="26">
        <f>p_rk*W208+Y208*(V208-W208)</f>
        <v/>
      </c>
      <c r="V209" s="26">
        <f>V208+U209+T209</f>
        <v/>
      </c>
      <c r="W209" s="26">
        <f>INDEX(Calib!$U$1:$U$13,$D209)+(W208-INDEX(Calib!$U$1:$U$13,$D209))*(1-p_amort)+p_sh_conc*P209</f>
        <v/>
      </c>
      <c r="X209" s="26">
        <f>V209/O209</f>
        <v/>
      </c>
      <c r="Y209" s="26">
        <f>INDEX(Calib!$K$1:$K$13,$D209)+p_eta*MAX(0,X209-INDEX(Calib!$AA$1:$AA$13,$D209))</f>
        <v/>
      </c>
      <c r="Z209" s="26">
        <f>(1-INDEX(Calib!$H$1:$H$13,$D209))*(1-p_alpha)*M209+S209</f>
        <v/>
      </c>
      <c r="AA209" s="26">
        <f>(1-p_delta_g)*AA208*(1-p_eps_g*$E209)+INDEX(Calib!$E$1:$E$13,$D209)*(INDEX(Calib!$G$1:$G$13,$D209)+p_programme*$H209)</f>
        <v/>
      </c>
      <c r="AB209" s="26">
        <f>AB208*(1-p_eps_k*$E209)+p_lambda_k*(AD209-AB208*(1-p_eps_k*$E209))</f>
        <v/>
      </c>
      <c r="AC209" s="26">
        <f>INDEX(Calib!$R$1:$R$13,$D209)*$F209*(AA208*(1-p_eps_g*$E209))^INDEX(Calib!$Q$1:$Q$13,$D209)*(AB208*(1-p_eps_k*$E209))^p_alpha</f>
        <v/>
      </c>
      <c r="AD209" s="26">
        <f>p_alpha*(1-INDEX(Calib!$H$1:$H$13,$D209))*AC209/(INDEX(Calib!$K$1:$K$13,$D209)+p_delta)</f>
        <v/>
      </c>
      <c r="AE209" s="26">
        <f>AC209+$G209</f>
        <v/>
      </c>
      <c r="AF209" s="26">
        <f>p_programme*($H209+$I209)</f>
        <v/>
      </c>
      <c r="AG209" s="26">
        <f>INDEX(Calib!$I$1:$I$13,$D209)+p_sh_grant*AF209</f>
        <v/>
      </c>
      <c r="AH209" s="26">
        <f>INDEX(Calib!$H$1:$H$13,$D209)*AC209+p_gov_take*$G209+AG209+p_programme*p_pricing*$J209</f>
        <v/>
      </c>
      <c r="AI209" s="26">
        <f>INDEX(Calib!$Y$1:$Y$13,$D209)-INDEX(Calib!$Z$1:$Z$13,$D209)*(AL208/AE208-INDEX(Calib!$AA$1:$AA$13,$D209))</f>
        <v/>
      </c>
      <c r="AJ209" s="26">
        <f>INDEX(Calib!$X$1:$X$13,$D209)+INDEX(Calib!$G$1:$G$13,$D209)+AF209+AI209-AH209</f>
        <v/>
      </c>
      <c r="AK209" s="26">
        <f>p_rk*AM208+AO208*(AL208-AM208)</f>
        <v/>
      </c>
      <c r="AL209" s="26">
        <f>AL208+AK209+AJ209</f>
        <v/>
      </c>
      <c r="AM209" s="26">
        <f>INDEX(Calib!$U$1:$U$13,$D209)+(AM208-INDEX(Calib!$U$1:$U$13,$D209))*(1-p_amort)+p_sh_conc*AF209</f>
        <v/>
      </c>
      <c r="AN209" s="26">
        <f>AL209/AE209</f>
        <v/>
      </c>
      <c r="AO209" s="26">
        <f>INDEX(Calib!$K$1:$K$13,$D209)+p_eta*MAX(0,AN209-INDEX(Calib!$AA$1:$AA$13,$D209))</f>
        <v/>
      </c>
      <c r="AP209" s="26">
        <f>(1-INDEX(Calib!$H$1:$H$13,$D209))*(1-p_alpha)*AC209+AI209</f>
        <v/>
      </c>
      <c r="AQ209" s="26">
        <f>(AE209/O209-1)*100</f>
        <v/>
      </c>
      <c r="AR209" s="26">
        <f>(AE209/AE191-1)*100</f>
        <v/>
      </c>
      <c r="AS209" s="26">
        <f>(O209/O191-1)*100</f>
        <v/>
      </c>
      <c r="AT209" s="26">
        <f>(AN209-X209)*100</f>
        <v/>
      </c>
      <c r="AU209" s="26">
        <f>(AP209/Z209-1)*100</f>
        <v/>
      </c>
      <c r="AV209" s="26">
        <f>(AI209-S209)*100</f>
        <v/>
      </c>
    </row>
    <row r="210">
      <c r="A210" s="25" t="inlineStr">
        <is>
          <t>GHA</t>
        </is>
      </c>
      <c r="B210" s="25" t="n">
        <v>2043</v>
      </c>
      <c r="C210" s="25" t="n">
        <v>19</v>
      </c>
      <c r="D210" s="25" t="n">
        <v>9</v>
      </c>
      <c r="E210" s="25">
        <f>IF(AND(p_dis_year&gt;0,B210=p_dis_year),1,0)</f>
        <v/>
      </c>
      <c r="F210" s="26">
        <f>IF(AND(p_dis_year&gt;0,B210&gt;=p_dis_year),1-p_eps_a*p_rho_a^(B210-p_dis_year),1)</f>
        <v/>
      </c>
      <c r="G210" s="26">
        <f>INDEX(Calib!$N$1:$N$13,$D210)*(1-p_rent_decline*MIN(1,C210/26))</f>
        <v/>
      </c>
      <c r="H210" s="26">
        <f>IF(C210=0,0,SUMIFS(dl_val,dl_iso,$A210,dl_ind,"pub_cap",dl_year,$B210)/100)</f>
        <v/>
      </c>
      <c r="I210" s="26">
        <f>IF(C210=0,0,SUMIFS(dl_val,dl_iso,$A210,dl_ind,"pub_spend",dl_year,$B210)/100)</f>
        <v/>
      </c>
      <c r="J210" s="26">
        <f>IF(C210=0,0,SUMIFS(dl_val,dl_iso,$A210,dl_ind,"rev",dl_year,$B210)/100)</f>
        <v/>
      </c>
      <c r="K210" s="26">
        <f>(1-p_delta_g)*K209*(1-p_eps_g*$E210)+INDEX(Calib!$E$1:$E$13,$D210)*(INDEX(Calib!$G$1:$G$13,$D210)+0*$H210)</f>
        <v/>
      </c>
      <c r="L210" s="26">
        <f>L209*(1-p_eps_k*$E210)+p_lambda_k*(N210-L209*(1-p_eps_k*$E210))</f>
        <v/>
      </c>
      <c r="M210" s="26">
        <f>INDEX(Calib!$R$1:$R$13,$D210)*$F210*(K209*(1-p_eps_g*$E210))^INDEX(Calib!$Q$1:$Q$13,$D210)*(L209*(1-p_eps_k*$E210))^p_alpha</f>
        <v/>
      </c>
      <c r="N210" s="26">
        <f>p_alpha*(1-INDEX(Calib!$H$1:$H$13,$D210))*M210/(INDEX(Calib!$K$1:$K$13,$D210)+p_delta)</f>
        <v/>
      </c>
      <c r="O210" s="26">
        <f>M210+$G210</f>
        <v/>
      </c>
      <c r="P210" s="26">
        <f>0*($H210+$I210)</f>
        <v/>
      </c>
      <c r="Q210" s="26">
        <f>INDEX(Calib!$I$1:$I$13,$D210)+p_sh_grant*P210</f>
        <v/>
      </c>
      <c r="R210" s="26">
        <f>INDEX(Calib!$H$1:$H$13,$D210)*M210+p_gov_take*$G210+Q210+0*p_pricing*$J210</f>
        <v/>
      </c>
      <c r="S210" s="26">
        <f>INDEX(Calib!$Y$1:$Y$13,$D210)-INDEX(Calib!$Z$1:$Z$13,$D210)*(V209/O209-INDEX(Calib!$AA$1:$AA$13,$D210))</f>
        <v/>
      </c>
      <c r="T210" s="26">
        <f>INDEX(Calib!$X$1:$X$13,$D210)+INDEX(Calib!$G$1:$G$13,$D210)+P210+S210-R210</f>
        <v/>
      </c>
      <c r="U210" s="26">
        <f>p_rk*W209+Y209*(V209-W209)</f>
        <v/>
      </c>
      <c r="V210" s="26">
        <f>V209+U210+T210</f>
        <v/>
      </c>
      <c r="W210" s="26">
        <f>INDEX(Calib!$U$1:$U$13,$D210)+(W209-INDEX(Calib!$U$1:$U$13,$D210))*(1-p_amort)+p_sh_conc*P210</f>
        <v/>
      </c>
      <c r="X210" s="26">
        <f>V210/O210</f>
        <v/>
      </c>
      <c r="Y210" s="26">
        <f>INDEX(Calib!$K$1:$K$13,$D210)+p_eta*MAX(0,X210-INDEX(Calib!$AA$1:$AA$13,$D210))</f>
        <v/>
      </c>
      <c r="Z210" s="26">
        <f>(1-INDEX(Calib!$H$1:$H$13,$D210))*(1-p_alpha)*M210+S210</f>
        <v/>
      </c>
      <c r="AA210" s="26">
        <f>(1-p_delta_g)*AA209*(1-p_eps_g*$E210)+INDEX(Calib!$E$1:$E$13,$D210)*(INDEX(Calib!$G$1:$G$13,$D210)+p_programme*$H210)</f>
        <v/>
      </c>
      <c r="AB210" s="26">
        <f>AB209*(1-p_eps_k*$E210)+p_lambda_k*(AD210-AB209*(1-p_eps_k*$E210))</f>
        <v/>
      </c>
      <c r="AC210" s="26">
        <f>INDEX(Calib!$R$1:$R$13,$D210)*$F210*(AA209*(1-p_eps_g*$E210))^INDEX(Calib!$Q$1:$Q$13,$D210)*(AB209*(1-p_eps_k*$E210))^p_alpha</f>
        <v/>
      </c>
      <c r="AD210" s="26">
        <f>p_alpha*(1-INDEX(Calib!$H$1:$H$13,$D210))*AC210/(INDEX(Calib!$K$1:$K$13,$D210)+p_delta)</f>
        <v/>
      </c>
      <c r="AE210" s="26">
        <f>AC210+$G210</f>
        <v/>
      </c>
      <c r="AF210" s="26">
        <f>p_programme*($H210+$I210)</f>
        <v/>
      </c>
      <c r="AG210" s="26">
        <f>INDEX(Calib!$I$1:$I$13,$D210)+p_sh_grant*AF210</f>
        <v/>
      </c>
      <c r="AH210" s="26">
        <f>INDEX(Calib!$H$1:$H$13,$D210)*AC210+p_gov_take*$G210+AG210+p_programme*p_pricing*$J210</f>
        <v/>
      </c>
      <c r="AI210" s="26">
        <f>INDEX(Calib!$Y$1:$Y$13,$D210)-INDEX(Calib!$Z$1:$Z$13,$D210)*(AL209/AE209-INDEX(Calib!$AA$1:$AA$13,$D210))</f>
        <v/>
      </c>
      <c r="AJ210" s="26">
        <f>INDEX(Calib!$X$1:$X$13,$D210)+INDEX(Calib!$G$1:$G$13,$D210)+AF210+AI210-AH210</f>
        <v/>
      </c>
      <c r="AK210" s="26">
        <f>p_rk*AM209+AO209*(AL209-AM209)</f>
        <v/>
      </c>
      <c r="AL210" s="26">
        <f>AL209+AK210+AJ210</f>
        <v/>
      </c>
      <c r="AM210" s="26">
        <f>INDEX(Calib!$U$1:$U$13,$D210)+(AM209-INDEX(Calib!$U$1:$U$13,$D210))*(1-p_amort)+p_sh_conc*AF210</f>
        <v/>
      </c>
      <c r="AN210" s="26">
        <f>AL210/AE210</f>
        <v/>
      </c>
      <c r="AO210" s="26">
        <f>INDEX(Calib!$K$1:$K$13,$D210)+p_eta*MAX(0,AN210-INDEX(Calib!$AA$1:$AA$13,$D210))</f>
        <v/>
      </c>
      <c r="AP210" s="26">
        <f>(1-INDEX(Calib!$H$1:$H$13,$D210))*(1-p_alpha)*AC210+AI210</f>
        <v/>
      </c>
      <c r="AQ210" s="26">
        <f>(AE210/O210-1)*100</f>
        <v/>
      </c>
      <c r="AR210" s="26">
        <f>(AE210/AE191-1)*100</f>
        <v/>
      </c>
      <c r="AS210" s="26">
        <f>(O210/O191-1)*100</f>
        <v/>
      </c>
      <c r="AT210" s="26">
        <f>(AN210-X210)*100</f>
        <v/>
      </c>
      <c r="AU210" s="26">
        <f>(AP210/Z210-1)*100</f>
        <v/>
      </c>
      <c r="AV210" s="26">
        <f>(AI210-S210)*100</f>
        <v/>
      </c>
    </row>
    <row r="211">
      <c r="A211" s="25" t="inlineStr">
        <is>
          <t>GHA</t>
        </is>
      </c>
      <c r="B211" s="25" t="n">
        <v>2044</v>
      </c>
      <c r="C211" s="25" t="n">
        <v>20</v>
      </c>
      <c r="D211" s="25" t="n">
        <v>9</v>
      </c>
      <c r="E211" s="25">
        <f>IF(AND(p_dis_year&gt;0,B211=p_dis_year),1,0)</f>
        <v/>
      </c>
      <c r="F211" s="26">
        <f>IF(AND(p_dis_year&gt;0,B211&gt;=p_dis_year),1-p_eps_a*p_rho_a^(B211-p_dis_year),1)</f>
        <v/>
      </c>
      <c r="G211" s="26">
        <f>INDEX(Calib!$N$1:$N$13,$D211)*(1-p_rent_decline*MIN(1,C211/26))</f>
        <v/>
      </c>
      <c r="H211" s="26">
        <f>IF(C211=0,0,SUMIFS(dl_val,dl_iso,$A211,dl_ind,"pub_cap",dl_year,$B211)/100)</f>
        <v/>
      </c>
      <c r="I211" s="26">
        <f>IF(C211=0,0,SUMIFS(dl_val,dl_iso,$A211,dl_ind,"pub_spend",dl_year,$B211)/100)</f>
        <v/>
      </c>
      <c r="J211" s="26">
        <f>IF(C211=0,0,SUMIFS(dl_val,dl_iso,$A211,dl_ind,"rev",dl_year,$B211)/100)</f>
        <v/>
      </c>
      <c r="K211" s="26">
        <f>(1-p_delta_g)*K210*(1-p_eps_g*$E211)+INDEX(Calib!$E$1:$E$13,$D211)*(INDEX(Calib!$G$1:$G$13,$D211)+0*$H211)</f>
        <v/>
      </c>
      <c r="L211" s="26">
        <f>L210*(1-p_eps_k*$E211)+p_lambda_k*(N211-L210*(1-p_eps_k*$E211))</f>
        <v/>
      </c>
      <c r="M211" s="26">
        <f>INDEX(Calib!$R$1:$R$13,$D211)*$F211*(K210*(1-p_eps_g*$E211))^INDEX(Calib!$Q$1:$Q$13,$D211)*(L210*(1-p_eps_k*$E211))^p_alpha</f>
        <v/>
      </c>
      <c r="N211" s="26">
        <f>p_alpha*(1-INDEX(Calib!$H$1:$H$13,$D211))*M211/(INDEX(Calib!$K$1:$K$13,$D211)+p_delta)</f>
        <v/>
      </c>
      <c r="O211" s="26">
        <f>M211+$G211</f>
        <v/>
      </c>
      <c r="P211" s="26">
        <f>0*($H211+$I211)</f>
        <v/>
      </c>
      <c r="Q211" s="26">
        <f>INDEX(Calib!$I$1:$I$13,$D211)+p_sh_grant*P211</f>
        <v/>
      </c>
      <c r="R211" s="26">
        <f>INDEX(Calib!$H$1:$H$13,$D211)*M211+p_gov_take*$G211+Q211+0*p_pricing*$J211</f>
        <v/>
      </c>
      <c r="S211" s="26">
        <f>INDEX(Calib!$Y$1:$Y$13,$D211)-INDEX(Calib!$Z$1:$Z$13,$D211)*(V210/O210-INDEX(Calib!$AA$1:$AA$13,$D211))</f>
        <v/>
      </c>
      <c r="T211" s="26">
        <f>INDEX(Calib!$X$1:$X$13,$D211)+INDEX(Calib!$G$1:$G$13,$D211)+P211+S211-R211</f>
        <v/>
      </c>
      <c r="U211" s="26">
        <f>p_rk*W210+Y210*(V210-W210)</f>
        <v/>
      </c>
      <c r="V211" s="26">
        <f>V210+U211+T211</f>
        <v/>
      </c>
      <c r="W211" s="26">
        <f>INDEX(Calib!$U$1:$U$13,$D211)+(W210-INDEX(Calib!$U$1:$U$13,$D211))*(1-p_amort)+p_sh_conc*P211</f>
        <v/>
      </c>
      <c r="X211" s="26">
        <f>V211/O211</f>
        <v/>
      </c>
      <c r="Y211" s="26">
        <f>INDEX(Calib!$K$1:$K$13,$D211)+p_eta*MAX(0,X211-INDEX(Calib!$AA$1:$AA$13,$D211))</f>
        <v/>
      </c>
      <c r="Z211" s="26">
        <f>(1-INDEX(Calib!$H$1:$H$13,$D211))*(1-p_alpha)*M211+S211</f>
        <v/>
      </c>
      <c r="AA211" s="26">
        <f>(1-p_delta_g)*AA210*(1-p_eps_g*$E211)+INDEX(Calib!$E$1:$E$13,$D211)*(INDEX(Calib!$G$1:$G$13,$D211)+p_programme*$H211)</f>
        <v/>
      </c>
      <c r="AB211" s="26">
        <f>AB210*(1-p_eps_k*$E211)+p_lambda_k*(AD211-AB210*(1-p_eps_k*$E211))</f>
        <v/>
      </c>
      <c r="AC211" s="26">
        <f>INDEX(Calib!$R$1:$R$13,$D211)*$F211*(AA210*(1-p_eps_g*$E211))^INDEX(Calib!$Q$1:$Q$13,$D211)*(AB210*(1-p_eps_k*$E211))^p_alpha</f>
        <v/>
      </c>
      <c r="AD211" s="26">
        <f>p_alpha*(1-INDEX(Calib!$H$1:$H$13,$D211))*AC211/(INDEX(Calib!$K$1:$K$13,$D211)+p_delta)</f>
        <v/>
      </c>
      <c r="AE211" s="26">
        <f>AC211+$G211</f>
        <v/>
      </c>
      <c r="AF211" s="26">
        <f>p_programme*($H211+$I211)</f>
        <v/>
      </c>
      <c r="AG211" s="26">
        <f>INDEX(Calib!$I$1:$I$13,$D211)+p_sh_grant*AF211</f>
        <v/>
      </c>
      <c r="AH211" s="26">
        <f>INDEX(Calib!$H$1:$H$13,$D211)*AC211+p_gov_take*$G211+AG211+p_programme*p_pricing*$J211</f>
        <v/>
      </c>
      <c r="AI211" s="26">
        <f>INDEX(Calib!$Y$1:$Y$13,$D211)-INDEX(Calib!$Z$1:$Z$13,$D211)*(AL210/AE210-INDEX(Calib!$AA$1:$AA$13,$D211))</f>
        <v/>
      </c>
      <c r="AJ211" s="26">
        <f>INDEX(Calib!$X$1:$X$13,$D211)+INDEX(Calib!$G$1:$G$13,$D211)+AF211+AI211-AH211</f>
        <v/>
      </c>
      <c r="AK211" s="26">
        <f>p_rk*AM210+AO210*(AL210-AM210)</f>
        <v/>
      </c>
      <c r="AL211" s="26">
        <f>AL210+AK211+AJ211</f>
        <v/>
      </c>
      <c r="AM211" s="26">
        <f>INDEX(Calib!$U$1:$U$13,$D211)+(AM210-INDEX(Calib!$U$1:$U$13,$D211))*(1-p_amort)+p_sh_conc*AF211</f>
        <v/>
      </c>
      <c r="AN211" s="26">
        <f>AL211/AE211</f>
        <v/>
      </c>
      <c r="AO211" s="26">
        <f>INDEX(Calib!$K$1:$K$13,$D211)+p_eta*MAX(0,AN211-INDEX(Calib!$AA$1:$AA$13,$D211))</f>
        <v/>
      </c>
      <c r="AP211" s="26">
        <f>(1-INDEX(Calib!$H$1:$H$13,$D211))*(1-p_alpha)*AC211+AI211</f>
        <v/>
      </c>
      <c r="AQ211" s="26">
        <f>(AE211/O211-1)*100</f>
        <v/>
      </c>
      <c r="AR211" s="26">
        <f>(AE211/AE191-1)*100</f>
        <v/>
      </c>
      <c r="AS211" s="26">
        <f>(O211/O191-1)*100</f>
        <v/>
      </c>
      <c r="AT211" s="26">
        <f>(AN211-X211)*100</f>
        <v/>
      </c>
      <c r="AU211" s="26">
        <f>(AP211/Z211-1)*100</f>
        <v/>
      </c>
      <c r="AV211" s="26">
        <f>(AI211-S211)*100</f>
        <v/>
      </c>
    </row>
    <row r="212">
      <c r="A212" s="25" t="inlineStr">
        <is>
          <t>GHA</t>
        </is>
      </c>
      <c r="B212" s="25" t="n">
        <v>2045</v>
      </c>
      <c r="C212" s="25" t="n">
        <v>21</v>
      </c>
      <c r="D212" s="25" t="n">
        <v>9</v>
      </c>
      <c r="E212" s="25">
        <f>IF(AND(p_dis_year&gt;0,B212=p_dis_year),1,0)</f>
        <v/>
      </c>
      <c r="F212" s="26">
        <f>IF(AND(p_dis_year&gt;0,B212&gt;=p_dis_year),1-p_eps_a*p_rho_a^(B212-p_dis_year),1)</f>
        <v/>
      </c>
      <c r="G212" s="26">
        <f>INDEX(Calib!$N$1:$N$13,$D212)*(1-p_rent_decline*MIN(1,C212/26))</f>
        <v/>
      </c>
      <c r="H212" s="26">
        <f>IF(C212=0,0,SUMIFS(dl_val,dl_iso,$A212,dl_ind,"pub_cap",dl_year,$B212)/100)</f>
        <v/>
      </c>
      <c r="I212" s="26">
        <f>IF(C212=0,0,SUMIFS(dl_val,dl_iso,$A212,dl_ind,"pub_spend",dl_year,$B212)/100)</f>
        <v/>
      </c>
      <c r="J212" s="26">
        <f>IF(C212=0,0,SUMIFS(dl_val,dl_iso,$A212,dl_ind,"rev",dl_year,$B212)/100)</f>
        <v/>
      </c>
      <c r="K212" s="26">
        <f>(1-p_delta_g)*K211*(1-p_eps_g*$E212)+INDEX(Calib!$E$1:$E$13,$D212)*(INDEX(Calib!$G$1:$G$13,$D212)+0*$H212)</f>
        <v/>
      </c>
      <c r="L212" s="26">
        <f>L211*(1-p_eps_k*$E212)+p_lambda_k*(N212-L211*(1-p_eps_k*$E212))</f>
        <v/>
      </c>
      <c r="M212" s="26">
        <f>INDEX(Calib!$R$1:$R$13,$D212)*$F212*(K211*(1-p_eps_g*$E212))^INDEX(Calib!$Q$1:$Q$13,$D212)*(L211*(1-p_eps_k*$E212))^p_alpha</f>
        <v/>
      </c>
      <c r="N212" s="26">
        <f>p_alpha*(1-INDEX(Calib!$H$1:$H$13,$D212))*M212/(INDEX(Calib!$K$1:$K$13,$D212)+p_delta)</f>
        <v/>
      </c>
      <c r="O212" s="26">
        <f>M212+$G212</f>
        <v/>
      </c>
      <c r="P212" s="26">
        <f>0*($H212+$I212)</f>
        <v/>
      </c>
      <c r="Q212" s="26">
        <f>INDEX(Calib!$I$1:$I$13,$D212)+p_sh_grant*P212</f>
        <v/>
      </c>
      <c r="R212" s="26">
        <f>INDEX(Calib!$H$1:$H$13,$D212)*M212+p_gov_take*$G212+Q212+0*p_pricing*$J212</f>
        <v/>
      </c>
      <c r="S212" s="26">
        <f>INDEX(Calib!$Y$1:$Y$13,$D212)-INDEX(Calib!$Z$1:$Z$13,$D212)*(V211/O211-INDEX(Calib!$AA$1:$AA$13,$D212))</f>
        <v/>
      </c>
      <c r="T212" s="26">
        <f>INDEX(Calib!$X$1:$X$13,$D212)+INDEX(Calib!$G$1:$G$13,$D212)+P212+S212-R212</f>
        <v/>
      </c>
      <c r="U212" s="26">
        <f>p_rk*W211+Y211*(V211-W211)</f>
        <v/>
      </c>
      <c r="V212" s="26">
        <f>V211+U212+T212</f>
        <v/>
      </c>
      <c r="W212" s="26">
        <f>INDEX(Calib!$U$1:$U$13,$D212)+(W211-INDEX(Calib!$U$1:$U$13,$D212))*(1-p_amort)+p_sh_conc*P212</f>
        <v/>
      </c>
      <c r="X212" s="26">
        <f>V212/O212</f>
        <v/>
      </c>
      <c r="Y212" s="26">
        <f>INDEX(Calib!$K$1:$K$13,$D212)+p_eta*MAX(0,X212-INDEX(Calib!$AA$1:$AA$13,$D212))</f>
        <v/>
      </c>
      <c r="Z212" s="26">
        <f>(1-INDEX(Calib!$H$1:$H$13,$D212))*(1-p_alpha)*M212+S212</f>
        <v/>
      </c>
      <c r="AA212" s="26">
        <f>(1-p_delta_g)*AA211*(1-p_eps_g*$E212)+INDEX(Calib!$E$1:$E$13,$D212)*(INDEX(Calib!$G$1:$G$13,$D212)+p_programme*$H212)</f>
        <v/>
      </c>
      <c r="AB212" s="26">
        <f>AB211*(1-p_eps_k*$E212)+p_lambda_k*(AD212-AB211*(1-p_eps_k*$E212))</f>
        <v/>
      </c>
      <c r="AC212" s="26">
        <f>INDEX(Calib!$R$1:$R$13,$D212)*$F212*(AA211*(1-p_eps_g*$E212))^INDEX(Calib!$Q$1:$Q$13,$D212)*(AB211*(1-p_eps_k*$E212))^p_alpha</f>
        <v/>
      </c>
      <c r="AD212" s="26">
        <f>p_alpha*(1-INDEX(Calib!$H$1:$H$13,$D212))*AC212/(INDEX(Calib!$K$1:$K$13,$D212)+p_delta)</f>
        <v/>
      </c>
      <c r="AE212" s="26">
        <f>AC212+$G212</f>
        <v/>
      </c>
      <c r="AF212" s="26">
        <f>p_programme*($H212+$I212)</f>
        <v/>
      </c>
      <c r="AG212" s="26">
        <f>INDEX(Calib!$I$1:$I$13,$D212)+p_sh_grant*AF212</f>
        <v/>
      </c>
      <c r="AH212" s="26">
        <f>INDEX(Calib!$H$1:$H$13,$D212)*AC212+p_gov_take*$G212+AG212+p_programme*p_pricing*$J212</f>
        <v/>
      </c>
      <c r="AI212" s="26">
        <f>INDEX(Calib!$Y$1:$Y$13,$D212)-INDEX(Calib!$Z$1:$Z$13,$D212)*(AL211/AE211-INDEX(Calib!$AA$1:$AA$13,$D212))</f>
        <v/>
      </c>
      <c r="AJ212" s="26">
        <f>INDEX(Calib!$X$1:$X$13,$D212)+INDEX(Calib!$G$1:$G$13,$D212)+AF212+AI212-AH212</f>
        <v/>
      </c>
      <c r="AK212" s="26">
        <f>p_rk*AM211+AO211*(AL211-AM211)</f>
        <v/>
      </c>
      <c r="AL212" s="26">
        <f>AL211+AK212+AJ212</f>
        <v/>
      </c>
      <c r="AM212" s="26">
        <f>INDEX(Calib!$U$1:$U$13,$D212)+(AM211-INDEX(Calib!$U$1:$U$13,$D212))*(1-p_amort)+p_sh_conc*AF212</f>
        <v/>
      </c>
      <c r="AN212" s="26">
        <f>AL212/AE212</f>
        <v/>
      </c>
      <c r="AO212" s="26">
        <f>INDEX(Calib!$K$1:$K$13,$D212)+p_eta*MAX(0,AN212-INDEX(Calib!$AA$1:$AA$13,$D212))</f>
        <v/>
      </c>
      <c r="AP212" s="26">
        <f>(1-INDEX(Calib!$H$1:$H$13,$D212))*(1-p_alpha)*AC212+AI212</f>
        <v/>
      </c>
      <c r="AQ212" s="26">
        <f>(AE212/O212-1)*100</f>
        <v/>
      </c>
      <c r="AR212" s="26">
        <f>(AE212/AE191-1)*100</f>
        <v/>
      </c>
      <c r="AS212" s="26">
        <f>(O212/O191-1)*100</f>
        <v/>
      </c>
      <c r="AT212" s="26">
        <f>(AN212-X212)*100</f>
        <v/>
      </c>
      <c r="AU212" s="26">
        <f>(AP212/Z212-1)*100</f>
        <v/>
      </c>
      <c r="AV212" s="26">
        <f>(AI212-S212)*100</f>
        <v/>
      </c>
    </row>
    <row r="213">
      <c r="A213" s="25" t="inlineStr">
        <is>
          <t>GHA</t>
        </is>
      </c>
      <c r="B213" s="25" t="n">
        <v>2046</v>
      </c>
      <c r="C213" s="25" t="n">
        <v>22</v>
      </c>
      <c r="D213" s="25" t="n">
        <v>9</v>
      </c>
      <c r="E213" s="25">
        <f>IF(AND(p_dis_year&gt;0,B213=p_dis_year),1,0)</f>
        <v/>
      </c>
      <c r="F213" s="26">
        <f>IF(AND(p_dis_year&gt;0,B213&gt;=p_dis_year),1-p_eps_a*p_rho_a^(B213-p_dis_year),1)</f>
        <v/>
      </c>
      <c r="G213" s="26">
        <f>INDEX(Calib!$N$1:$N$13,$D213)*(1-p_rent_decline*MIN(1,C213/26))</f>
        <v/>
      </c>
      <c r="H213" s="26">
        <f>IF(C213=0,0,SUMIFS(dl_val,dl_iso,$A213,dl_ind,"pub_cap",dl_year,$B213)/100)</f>
        <v/>
      </c>
      <c r="I213" s="26">
        <f>IF(C213=0,0,SUMIFS(dl_val,dl_iso,$A213,dl_ind,"pub_spend",dl_year,$B213)/100)</f>
        <v/>
      </c>
      <c r="J213" s="26">
        <f>IF(C213=0,0,SUMIFS(dl_val,dl_iso,$A213,dl_ind,"rev",dl_year,$B213)/100)</f>
        <v/>
      </c>
      <c r="K213" s="26">
        <f>(1-p_delta_g)*K212*(1-p_eps_g*$E213)+INDEX(Calib!$E$1:$E$13,$D213)*(INDEX(Calib!$G$1:$G$13,$D213)+0*$H213)</f>
        <v/>
      </c>
      <c r="L213" s="26">
        <f>L212*(1-p_eps_k*$E213)+p_lambda_k*(N213-L212*(1-p_eps_k*$E213))</f>
        <v/>
      </c>
      <c r="M213" s="26">
        <f>INDEX(Calib!$R$1:$R$13,$D213)*$F213*(K212*(1-p_eps_g*$E213))^INDEX(Calib!$Q$1:$Q$13,$D213)*(L212*(1-p_eps_k*$E213))^p_alpha</f>
        <v/>
      </c>
      <c r="N213" s="26">
        <f>p_alpha*(1-INDEX(Calib!$H$1:$H$13,$D213))*M213/(INDEX(Calib!$K$1:$K$13,$D213)+p_delta)</f>
        <v/>
      </c>
      <c r="O213" s="26">
        <f>M213+$G213</f>
        <v/>
      </c>
      <c r="P213" s="26">
        <f>0*($H213+$I213)</f>
        <v/>
      </c>
      <c r="Q213" s="26">
        <f>INDEX(Calib!$I$1:$I$13,$D213)+p_sh_grant*P213</f>
        <v/>
      </c>
      <c r="R213" s="26">
        <f>INDEX(Calib!$H$1:$H$13,$D213)*M213+p_gov_take*$G213+Q213+0*p_pricing*$J213</f>
        <v/>
      </c>
      <c r="S213" s="26">
        <f>INDEX(Calib!$Y$1:$Y$13,$D213)-INDEX(Calib!$Z$1:$Z$13,$D213)*(V212/O212-INDEX(Calib!$AA$1:$AA$13,$D213))</f>
        <v/>
      </c>
      <c r="T213" s="26">
        <f>INDEX(Calib!$X$1:$X$13,$D213)+INDEX(Calib!$G$1:$G$13,$D213)+P213+S213-R213</f>
        <v/>
      </c>
      <c r="U213" s="26">
        <f>p_rk*W212+Y212*(V212-W212)</f>
        <v/>
      </c>
      <c r="V213" s="26">
        <f>V212+U213+T213</f>
        <v/>
      </c>
      <c r="W213" s="26">
        <f>INDEX(Calib!$U$1:$U$13,$D213)+(W212-INDEX(Calib!$U$1:$U$13,$D213))*(1-p_amort)+p_sh_conc*P213</f>
        <v/>
      </c>
      <c r="X213" s="26">
        <f>V213/O213</f>
        <v/>
      </c>
      <c r="Y213" s="26">
        <f>INDEX(Calib!$K$1:$K$13,$D213)+p_eta*MAX(0,X213-INDEX(Calib!$AA$1:$AA$13,$D213))</f>
        <v/>
      </c>
      <c r="Z213" s="26">
        <f>(1-INDEX(Calib!$H$1:$H$13,$D213))*(1-p_alpha)*M213+S213</f>
        <v/>
      </c>
      <c r="AA213" s="26">
        <f>(1-p_delta_g)*AA212*(1-p_eps_g*$E213)+INDEX(Calib!$E$1:$E$13,$D213)*(INDEX(Calib!$G$1:$G$13,$D213)+p_programme*$H213)</f>
        <v/>
      </c>
      <c r="AB213" s="26">
        <f>AB212*(1-p_eps_k*$E213)+p_lambda_k*(AD213-AB212*(1-p_eps_k*$E213))</f>
        <v/>
      </c>
      <c r="AC213" s="26">
        <f>INDEX(Calib!$R$1:$R$13,$D213)*$F213*(AA212*(1-p_eps_g*$E213))^INDEX(Calib!$Q$1:$Q$13,$D213)*(AB212*(1-p_eps_k*$E213))^p_alpha</f>
        <v/>
      </c>
      <c r="AD213" s="26">
        <f>p_alpha*(1-INDEX(Calib!$H$1:$H$13,$D213))*AC213/(INDEX(Calib!$K$1:$K$13,$D213)+p_delta)</f>
        <v/>
      </c>
      <c r="AE213" s="26">
        <f>AC213+$G213</f>
        <v/>
      </c>
      <c r="AF213" s="26">
        <f>p_programme*($H213+$I213)</f>
        <v/>
      </c>
      <c r="AG213" s="26">
        <f>INDEX(Calib!$I$1:$I$13,$D213)+p_sh_grant*AF213</f>
        <v/>
      </c>
      <c r="AH213" s="26">
        <f>INDEX(Calib!$H$1:$H$13,$D213)*AC213+p_gov_take*$G213+AG213+p_programme*p_pricing*$J213</f>
        <v/>
      </c>
      <c r="AI213" s="26">
        <f>INDEX(Calib!$Y$1:$Y$13,$D213)-INDEX(Calib!$Z$1:$Z$13,$D213)*(AL212/AE212-INDEX(Calib!$AA$1:$AA$13,$D213))</f>
        <v/>
      </c>
      <c r="AJ213" s="26">
        <f>INDEX(Calib!$X$1:$X$13,$D213)+INDEX(Calib!$G$1:$G$13,$D213)+AF213+AI213-AH213</f>
        <v/>
      </c>
      <c r="AK213" s="26">
        <f>p_rk*AM212+AO212*(AL212-AM212)</f>
        <v/>
      </c>
      <c r="AL213" s="26">
        <f>AL212+AK213+AJ213</f>
        <v/>
      </c>
      <c r="AM213" s="26">
        <f>INDEX(Calib!$U$1:$U$13,$D213)+(AM212-INDEX(Calib!$U$1:$U$13,$D213))*(1-p_amort)+p_sh_conc*AF213</f>
        <v/>
      </c>
      <c r="AN213" s="26">
        <f>AL213/AE213</f>
        <v/>
      </c>
      <c r="AO213" s="26">
        <f>INDEX(Calib!$K$1:$K$13,$D213)+p_eta*MAX(0,AN213-INDEX(Calib!$AA$1:$AA$13,$D213))</f>
        <v/>
      </c>
      <c r="AP213" s="26">
        <f>(1-INDEX(Calib!$H$1:$H$13,$D213))*(1-p_alpha)*AC213+AI213</f>
        <v/>
      </c>
      <c r="AQ213" s="26">
        <f>(AE213/O213-1)*100</f>
        <v/>
      </c>
      <c r="AR213" s="26">
        <f>(AE213/AE191-1)*100</f>
        <v/>
      </c>
      <c r="AS213" s="26">
        <f>(O213/O191-1)*100</f>
        <v/>
      </c>
      <c r="AT213" s="26">
        <f>(AN213-X213)*100</f>
        <v/>
      </c>
      <c r="AU213" s="26">
        <f>(AP213/Z213-1)*100</f>
        <v/>
      </c>
      <c r="AV213" s="26">
        <f>(AI213-S213)*100</f>
        <v/>
      </c>
    </row>
    <row r="214">
      <c r="A214" s="25" t="inlineStr">
        <is>
          <t>GHA</t>
        </is>
      </c>
      <c r="B214" s="25" t="n">
        <v>2047</v>
      </c>
      <c r="C214" s="25" t="n">
        <v>23</v>
      </c>
      <c r="D214" s="25" t="n">
        <v>9</v>
      </c>
      <c r="E214" s="25">
        <f>IF(AND(p_dis_year&gt;0,B214=p_dis_year),1,0)</f>
        <v/>
      </c>
      <c r="F214" s="26">
        <f>IF(AND(p_dis_year&gt;0,B214&gt;=p_dis_year),1-p_eps_a*p_rho_a^(B214-p_dis_year),1)</f>
        <v/>
      </c>
      <c r="G214" s="26">
        <f>INDEX(Calib!$N$1:$N$13,$D214)*(1-p_rent_decline*MIN(1,C214/26))</f>
        <v/>
      </c>
      <c r="H214" s="26">
        <f>IF(C214=0,0,SUMIFS(dl_val,dl_iso,$A214,dl_ind,"pub_cap",dl_year,$B214)/100)</f>
        <v/>
      </c>
      <c r="I214" s="26">
        <f>IF(C214=0,0,SUMIFS(dl_val,dl_iso,$A214,dl_ind,"pub_spend",dl_year,$B214)/100)</f>
        <v/>
      </c>
      <c r="J214" s="26">
        <f>IF(C214=0,0,SUMIFS(dl_val,dl_iso,$A214,dl_ind,"rev",dl_year,$B214)/100)</f>
        <v/>
      </c>
      <c r="K214" s="26">
        <f>(1-p_delta_g)*K213*(1-p_eps_g*$E214)+INDEX(Calib!$E$1:$E$13,$D214)*(INDEX(Calib!$G$1:$G$13,$D214)+0*$H214)</f>
        <v/>
      </c>
      <c r="L214" s="26">
        <f>L213*(1-p_eps_k*$E214)+p_lambda_k*(N214-L213*(1-p_eps_k*$E214))</f>
        <v/>
      </c>
      <c r="M214" s="26">
        <f>INDEX(Calib!$R$1:$R$13,$D214)*$F214*(K213*(1-p_eps_g*$E214))^INDEX(Calib!$Q$1:$Q$13,$D214)*(L213*(1-p_eps_k*$E214))^p_alpha</f>
        <v/>
      </c>
      <c r="N214" s="26">
        <f>p_alpha*(1-INDEX(Calib!$H$1:$H$13,$D214))*M214/(INDEX(Calib!$K$1:$K$13,$D214)+p_delta)</f>
        <v/>
      </c>
      <c r="O214" s="26">
        <f>M214+$G214</f>
        <v/>
      </c>
      <c r="P214" s="26">
        <f>0*($H214+$I214)</f>
        <v/>
      </c>
      <c r="Q214" s="26">
        <f>INDEX(Calib!$I$1:$I$13,$D214)+p_sh_grant*P214</f>
        <v/>
      </c>
      <c r="R214" s="26">
        <f>INDEX(Calib!$H$1:$H$13,$D214)*M214+p_gov_take*$G214+Q214+0*p_pricing*$J214</f>
        <v/>
      </c>
      <c r="S214" s="26">
        <f>INDEX(Calib!$Y$1:$Y$13,$D214)-INDEX(Calib!$Z$1:$Z$13,$D214)*(V213/O213-INDEX(Calib!$AA$1:$AA$13,$D214))</f>
        <v/>
      </c>
      <c r="T214" s="26">
        <f>INDEX(Calib!$X$1:$X$13,$D214)+INDEX(Calib!$G$1:$G$13,$D214)+P214+S214-R214</f>
        <v/>
      </c>
      <c r="U214" s="26">
        <f>p_rk*W213+Y213*(V213-W213)</f>
        <v/>
      </c>
      <c r="V214" s="26">
        <f>V213+U214+T214</f>
        <v/>
      </c>
      <c r="W214" s="26">
        <f>INDEX(Calib!$U$1:$U$13,$D214)+(W213-INDEX(Calib!$U$1:$U$13,$D214))*(1-p_amort)+p_sh_conc*P214</f>
        <v/>
      </c>
      <c r="X214" s="26">
        <f>V214/O214</f>
        <v/>
      </c>
      <c r="Y214" s="26">
        <f>INDEX(Calib!$K$1:$K$13,$D214)+p_eta*MAX(0,X214-INDEX(Calib!$AA$1:$AA$13,$D214))</f>
        <v/>
      </c>
      <c r="Z214" s="26">
        <f>(1-INDEX(Calib!$H$1:$H$13,$D214))*(1-p_alpha)*M214+S214</f>
        <v/>
      </c>
      <c r="AA214" s="26">
        <f>(1-p_delta_g)*AA213*(1-p_eps_g*$E214)+INDEX(Calib!$E$1:$E$13,$D214)*(INDEX(Calib!$G$1:$G$13,$D214)+p_programme*$H214)</f>
        <v/>
      </c>
      <c r="AB214" s="26">
        <f>AB213*(1-p_eps_k*$E214)+p_lambda_k*(AD214-AB213*(1-p_eps_k*$E214))</f>
        <v/>
      </c>
      <c r="AC214" s="26">
        <f>INDEX(Calib!$R$1:$R$13,$D214)*$F214*(AA213*(1-p_eps_g*$E214))^INDEX(Calib!$Q$1:$Q$13,$D214)*(AB213*(1-p_eps_k*$E214))^p_alpha</f>
        <v/>
      </c>
      <c r="AD214" s="26">
        <f>p_alpha*(1-INDEX(Calib!$H$1:$H$13,$D214))*AC214/(INDEX(Calib!$K$1:$K$13,$D214)+p_delta)</f>
        <v/>
      </c>
      <c r="AE214" s="26">
        <f>AC214+$G214</f>
        <v/>
      </c>
      <c r="AF214" s="26">
        <f>p_programme*($H214+$I214)</f>
        <v/>
      </c>
      <c r="AG214" s="26">
        <f>INDEX(Calib!$I$1:$I$13,$D214)+p_sh_grant*AF214</f>
        <v/>
      </c>
      <c r="AH214" s="26">
        <f>INDEX(Calib!$H$1:$H$13,$D214)*AC214+p_gov_take*$G214+AG214+p_programme*p_pricing*$J214</f>
        <v/>
      </c>
      <c r="AI214" s="26">
        <f>INDEX(Calib!$Y$1:$Y$13,$D214)-INDEX(Calib!$Z$1:$Z$13,$D214)*(AL213/AE213-INDEX(Calib!$AA$1:$AA$13,$D214))</f>
        <v/>
      </c>
      <c r="AJ214" s="26">
        <f>INDEX(Calib!$X$1:$X$13,$D214)+INDEX(Calib!$G$1:$G$13,$D214)+AF214+AI214-AH214</f>
        <v/>
      </c>
      <c r="AK214" s="26">
        <f>p_rk*AM213+AO213*(AL213-AM213)</f>
        <v/>
      </c>
      <c r="AL214" s="26">
        <f>AL213+AK214+AJ214</f>
        <v/>
      </c>
      <c r="AM214" s="26">
        <f>INDEX(Calib!$U$1:$U$13,$D214)+(AM213-INDEX(Calib!$U$1:$U$13,$D214))*(1-p_amort)+p_sh_conc*AF214</f>
        <v/>
      </c>
      <c r="AN214" s="26">
        <f>AL214/AE214</f>
        <v/>
      </c>
      <c r="AO214" s="26">
        <f>INDEX(Calib!$K$1:$K$13,$D214)+p_eta*MAX(0,AN214-INDEX(Calib!$AA$1:$AA$13,$D214))</f>
        <v/>
      </c>
      <c r="AP214" s="26">
        <f>(1-INDEX(Calib!$H$1:$H$13,$D214))*(1-p_alpha)*AC214+AI214</f>
        <v/>
      </c>
      <c r="AQ214" s="26">
        <f>(AE214/O214-1)*100</f>
        <v/>
      </c>
      <c r="AR214" s="26">
        <f>(AE214/AE191-1)*100</f>
        <v/>
      </c>
      <c r="AS214" s="26">
        <f>(O214/O191-1)*100</f>
        <v/>
      </c>
      <c r="AT214" s="26">
        <f>(AN214-X214)*100</f>
        <v/>
      </c>
      <c r="AU214" s="26">
        <f>(AP214/Z214-1)*100</f>
        <v/>
      </c>
      <c r="AV214" s="26">
        <f>(AI214-S214)*100</f>
        <v/>
      </c>
    </row>
    <row r="215">
      <c r="A215" s="25" t="inlineStr">
        <is>
          <t>GHA</t>
        </is>
      </c>
      <c r="B215" s="25" t="n">
        <v>2048</v>
      </c>
      <c r="C215" s="25" t="n">
        <v>24</v>
      </c>
      <c r="D215" s="25" t="n">
        <v>9</v>
      </c>
      <c r="E215" s="25">
        <f>IF(AND(p_dis_year&gt;0,B215=p_dis_year),1,0)</f>
        <v/>
      </c>
      <c r="F215" s="26">
        <f>IF(AND(p_dis_year&gt;0,B215&gt;=p_dis_year),1-p_eps_a*p_rho_a^(B215-p_dis_year),1)</f>
        <v/>
      </c>
      <c r="G215" s="26">
        <f>INDEX(Calib!$N$1:$N$13,$D215)*(1-p_rent_decline*MIN(1,C215/26))</f>
        <v/>
      </c>
      <c r="H215" s="26">
        <f>IF(C215=0,0,SUMIFS(dl_val,dl_iso,$A215,dl_ind,"pub_cap",dl_year,$B215)/100)</f>
        <v/>
      </c>
      <c r="I215" s="26">
        <f>IF(C215=0,0,SUMIFS(dl_val,dl_iso,$A215,dl_ind,"pub_spend",dl_year,$B215)/100)</f>
        <v/>
      </c>
      <c r="J215" s="26">
        <f>IF(C215=0,0,SUMIFS(dl_val,dl_iso,$A215,dl_ind,"rev",dl_year,$B215)/100)</f>
        <v/>
      </c>
      <c r="K215" s="26">
        <f>(1-p_delta_g)*K214*(1-p_eps_g*$E215)+INDEX(Calib!$E$1:$E$13,$D215)*(INDEX(Calib!$G$1:$G$13,$D215)+0*$H215)</f>
        <v/>
      </c>
      <c r="L215" s="26">
        <f>L214*(1-p_eps_k*$E215)+p_lambda_k*(N215-L214*(1-p_eps_k*$E215))</f>
        <v/>
      </c>
      <c r="M215" s="26">
        <f>INDEX(Calib!$R$1:$R$13,$D215)*$F215*(K214*(1-p_eps_g*$E215))^INDEX(Calib!$Q$1:$Q$13,$D215)*(L214*(1-p_eps_k*$E215))^p_alpha</f>
        <v/>
      </c>
      <c r="N215" s="26">
        <f>p_alpha*(1-INDEX(Calib!$H$1:$H$13,$D215))*M215/(INDEX(Calib!$K$1:$K$13,$D215)+p_delta)</f>
        <v/>
      </c>
      <c r="O215" s="26">
        <f>M215+$G215</f>
        <v/>
      </c>
      <c r="P215" s="26">
        <f>0*($H215+$I215)</f>
        <v/>
      </c>
      <c r="Q215" s="26">
        <f>INDEX(Calib!$I$1:$I$13,$D215)+p_sh_grant*P215</f>
        <v/>
      </c>
      <c r="R215" s="26">
        <f>INDEX(Calib!$H$1:$H$13,$D215)*M215+p_gov_take*$G215+Q215+0*p_pricing*$J215</f>
        <v/>
      </c>
      <c r="S215" s="26">
        <f>INDEX(Calib!$Y$1:$Y$13,$D215)-INDEX(Calib!$Z$1:$Z$13,$D215)*(V214/O214-INDEX(Calib!$AA$1:$AA$13,$D215))</f>
        <v/>
      </c>
      <c r="T215" s="26">
        <f>INDEX(Calib!$X$1:$X$13,$D215)+INDEX(Calib!$G$1:$G$13,$D215)+P215+S215-R215</f>
        <v/>
      </c>
      <c r="U215" s="26">
        <f>p_rk*W214+Y214*(V214-W214)</f>
        <v/>
      </c>
      <c r="V215" s="26">
        <f>V214+U215+T215</f>
        <v/>
      </c>
      <c r="W215" s="26">
        <f>INDEX(Calib!$U$1:$U$13,$D215)+(W214-INDEX(Calib!$U$1:$U$13,$D215))*(1-p_amort)+p_sh_conc*P215</f>
        <v/>
      </c>
      <c r="X215" s="26">
        <f>V215/O215</f>
        <v/>
      </c>
      <c r="Y215" s="26">
        <f>INDEX(Calib!$K$1:$K$13,$D215)+p_eta*MAX(0,X215-INDEX(Calib!$AA$1:$AA$13,$D215))</f>
        <v/>
      </c>
      <c r="Z215" s="26">
        <f>(1-INDEX(Calib!$H$1:$H$13,$D215))*(1-p_alpha)*M215+S215</f>
        <v/>
      </c>
      <c r="AA215" s="26">
        <f>(1-p_delta_g)*AA214*(1-p_eps_g*$E215)+INDEX(Calib!$E$1:$E$13,$D215)*(INDEX(Calib!$G$1:$G$13,$D215)+p_programme*$H215)</f>
        <v/>
      </c>
      <c r="AB215" s="26">
        <f>AB214*(1-p_eps_k*$E215)+p_lambda_k*(AD215-AB214*(1-p_eps_k*$E215))</f>
        <v/>
      </c>
      <c r="AC215" s="26">
        <f>INDEX(Calib!$R$1:$R$13,$D215)*$F215*(AA214*(1-p_eps_g*$E215))^INDEX(Calib!$Q$1:$Q$13,$D215)*(AB214*(1-p_eps_k*$E215))^p_alpha</f>
        <v/>
      </c>
      <c r="AD215" s="26">
        <f>p_alpha*(1-INDEX(Calib!$H$1:$H$13,$D215))*AC215/(INDEX(Calib!$K$1:$K$13,$D215)+p_delta)</f>
        <v/>
      </c>
      <c r="AE215" s="26">
        <f>AC215+$G215</f>
        <v/>
      </c>
      <c r="AF215" s="26">
        <f>p_programme*($H215+$I215)</f>
        <v/>
      </c>
      <c r="AG215" s="26">
        <f>INDEX(Calib!$I$1:$I$13,$D215)+p_sh_grant*AF215</f>
        <v/>
      </c>
      <c r="AH215" s="26">
        <f>INDEX(Calib!$H$1:$H$13,$D215)*AC215+p_gov_take*$G215+AG215+p_programme*p_pricing*$J215</f>
        <v/>
      </c>
      <c r="AI215" s="26">
        <f>INDEX(Calib!$Y$1:$Y$13,$D215)-INDEX(Calib!$Z$1:$Z$13,$D215)*(AL214/AE214-INDEX(Calib!$AA$1:$AA$13,$D215))</f>
        <v/>
      </c>
      <c r="AJ215" s="26">
        <f>INDEX(Calib!$X$1:$X$13,$D215)+INDEX(Calib!$G$1:$G$13,$D215)+AF215+AI215-AH215</f>
        <v/>
      </c>
      <c r="AK215" s="26">
        <f>p_rk*AM214+AO214*(AL214-AM214)</f>
        <v/>
      </c>
      <c r="AL215" s="26">
        <f>AL214+AK215+AJ215</f>
        <v/>
      </c>
      <c r="AM215" s="26">
        <f>INDEX(Calib!$U$1:$U$13,$D215)+(AM214-INDEX(Calib!$U$1:$U$13,$D215))*(1-p_amort)+p_sh_conc*AF215</f>
        <v/>
      </c>
      <c r="AN215" s="26">
        <f>AL215/AE215</f>
        <v/>
      </c>
      <c r="AO215" s="26">
        <f>INDEX(Calib!$K$1:$K$13,$D215)+p_eta*MAX(0,AN215-INDEX(Calib!$AA$1:$AA$13,$D215))</f>
        <v/>
      </c>
      <c r="AP215" s="26">
        <f>(1-INDEX(Calib!$H$1:$H$13,$D215))*(1-p_alpha)*AC215+AI215</f>
        <v/>
      </c>
      <c r="AQ215" s="26">
        <f>(AE215/O215-1)*100</f>
        <v/>
      </c>
      <c r="AR215" s="26">
        <f>(AE215/AE191-1)*100</f>
        <v/>
      </c>
      <c r="AS215" s="26">
        <f>(O215/O191-1)*100</f>
        <v/>
      </c>
      <c r="AT215" s="26">
        <f>(AN215-X215)*100</f>
        <v/>
      </c>
      <c r="AU215" s="26">
        <f>(AP215/Z215-1)*100</f>
        <v/>
      </c>
      <c r="AV215" s="26">
        <f>(AI215-S215)*100</f>
        <v/>
      </c>
    </row>
    <row r="216">
      <c r="A216" s="25" t="inlineStr">
        <is>
          <t>GHA</t>
        </is>
      </c>
      <c r="B216" s="25" t="n">
        <v>2049</v>
      </c>
      <c r="C216" s="25" t="n">
        <v>25</v>
      </c>
      <c r="D216" s="25" t="n">
        <v>9</v>
      </c>
      <c r="E216" s="25">
        <f>IF(AND(p_dis_year&gt;0,B216=p_dis_year),1,0)</f>
        <v/>
      </c>
      <c r="F216" s="26">
        <f>IF(AND(p_dis_year&gt;0,B216&gt;=p_dis_year),1-p_eps_a*p_rho_a^(B216-p_dis_year),1)</f>
        <v/>
      </c>
      <c r="G216" s="26">
        <f>INDEX(Calib!$N$1:$N$13,$D216)*(1-p_rent_decline*MIN(1,C216/26))</f>
        <v/>
      </c>
      <c r="H216" s="26">
        <f>IF(C216=0,0,SUMIFS(dl_val,dl_iso,$A216,dl_ind,"pub_cap",dl_year,$B216)/100)</f>
        <v/>
      </c>
      <c r="I216" s="26">
        <f>IF(C216=0,0,SUMIFS(dl_val,dl_iso,$A216,dl_ind,"pub_spend",dl_year,$B216)/100)</f>
        <v/>
      </c>
      <c r="J216" s="26">
        <f>IF(C216=0,0,SUMIFS(dl_val,dl_iso,$A216,dl_ind,"rev",dl_year,$B216)/100)</f>
        <v/>
      </c>
      <c r="K216" s="26">
        <f>(1-p_delta_g)*K215*(1-p_eps_g*$E216)+INDEX(Calib!$E$1:$E$13,$D216)*(INDEX(Calib!$G$1:$G$13,$D216)+0*$H216)</f>
        <v/>
      </c>
      <c r="L216" s="26">
        <f>L215*(1-p_eps_k*$E216)+p_lambda_k*(N216-L215*(1-p_eps_k*$E216))</f>
        <v/>
      </c>
      <c r="M216" s="26">
        <f>INDEX(Calib!$R$1:$R$13,$D216)*$F216*(K215*(1-p_eps_g*$E216))^INDEX(Calib!$Q$1:$Q$13,$D216)*(L215*(1-p_eps_k*$E216))^p_alpha</f>
        <v/>
      </c>
      <c r="N216" s="26">
        <f>p_alpha*(1-INDEX(Calib!$H$1:$H$13,$D216))*M216/(INDEX(Calib!$K$1:$K$13,$D216)+p_delta)</f>
        <v/>
      </c>
      <c r="O216" s="26">
        <f>M216+$G216</f>
        <v/>
      </c>
      <c r="P216" s="26">
        <f>0*($H216+$I216)</f>
        <v/>
      </c>
      <c r="Q216" s="26">
        <f>INDEX(Calib!$I$1:$I$13,$D216)+p_sh_grant*P216</f>
        <v/>
      </c>
      <c r="R216" s="26">
        <f>INDEX(Calib!$H$1:$H$13,$D216)*M216+p_gov_take*$G216+Q216+0*p_pricing*$J216</f>
        <v/>
      </c>
      <c r="S216" s="26">
        <f>INDEX(Calib!$Y$1:$Y$13,$D216)-INDEX(Calib!$Z$1:$Z$13,$D216)*(V215/O215-INDEX(Calib!$AA$1:$AA$13,$D216))</f>
        <v/>
      </c>
      <c r="T216" s="26">
        <f>INDEX(Calib!$X$1:$X$13,$D216)+INDEX(Calib!$G$1:$G$13,$D216)+P216+S216-R216</f>
        <v/>
      </c>
      <c r="U216" s="26">
        <f>p_rk*W215+Y215*(V215-W215)</f>
        <v/>
      </c>
      <c r="V216" s="26">
        <f>V215+U216+T216</f>
        <v/>
      </c>
      <c r="W216" s="26">
        <f>INDEX(Calib!$U$1:$U$13,$D216)+(W215-INDEX(Calib!$U$1:$U$13,$D216))*(1-p_amort)+p_sh_conc*P216</f>
        <v/>
      </c>
      <c r="X216" s="26">
        <f>V216/O216</f>
        <v/>
      </c>
      <c r="Y216" s="26">
        <f>INDEX(Calib!$K$1:$K$13,$D216)+p_eta*MAX(0,X216-INDEX(Calib!$AA$1:$AA$13,$D216))</f>
        <v/>
      </c>
      <c r="Z216" s="26">
        <f>(1-INDEX(Calib!$H$1:$H$13,$D216))*(1-p_alpha)*M216+S216</f>
        <v/>
      </c>
      <c r="AA216" s="26">
        <f>(1-p_delta_g)*AA215*(1-p_eps_g*$E216)+INDEX(Calib!$E$1:$E$13,$D216)*(INDEX(Calib!$G$1:$G$13,$D216)+p_programme*$H216)</f>
        <v/>
      </c>
      <c r="AB216" s="26">
        <f>AB215*(1-p_eps_k*$E216)+p_lambda_k*(AD216-AB215*(1-p_eps_k*$E216))</f>
        <v/>
      </c>
      <c r="AC216" s="26">
        <f>INDEX(Calib!$R$1:$R$13,$D216)*$F216*(AA215*(1-p_eps_g*$E216))^INDEX(Calib!$Q$1:$Q$13,$D216)*(AB215*(1-p_eps_k*$E216))^p_alpha</f>
        <v/>
      </c>
      <c r="AD216" s="26">
        <f>p_alpha*(1-INDEX(Calib!$H$1:$H$13,$D216))*AC216/(INDEX(Calib!$K$1:$K$13,$D216)+p_delta)</f>
        <v/>
      </c>
      <c r="AE216" s="26">
        <f>AC216+$G216</f>
        <v/>
      </c>
      <c r="AF216" s="26">
        <f>p_programme*($H216+$I216)</f>
        <v/>
      </c>
      <c r="AG216" s="26">
        <f>INDEX(Calib!$I$1:$I$13,$D216)+p_sh_grant*AF216</f>
        <v/>
      </c>
      <c r="AH216" s="26">
        <f>INDEX(Calib!$H$1:$H$13,$D216)*AC216+p_gov_take*$G216+AG216+p_programme*p_pricing*$J216</f>
        <v/>
      </c>
      <c r="AI216" s="26">
        <f>INDEX(Calib!$Y$1:$Y$13,$D216)-INDEX(Calib!$Z$1:$Z$13,$D216)*(AL215/AE215-INDEX(Calib!$AA$1:$AA$13,$D216))</f>
        <v/>
      </c>
      <c r="AJ216" s="26">
        <f>INDEX(Calib!$X$1:$X$13,$D216)+INDEX(Calib!$G$1:$G$13,$D216)+AF216+AI216-AH216</f>
        <v/>
      </c>
      <c r="AK216" s="26">
        <f>p_rk*AM215+AO215*(AL215-AM215)</f>
        <v/>
      </c>
      <c r="AL216" s="26">
        <f>AL215+AK216+AJ216</f>
        <v/>
      </c>
      <c r="AM216" s="26">
        <f>INDEX(Calib!$U$1:$U$13,$D216)+(AM215-INDEX(Calib!$U$1:$U$13,$D216))*(1-p_amort)+p_sh_conc*AF216</f>
        <v/>
      </c>
      <c r="AN216" s="26">
        <f>AL216/AE216</f>
        <v/>
      </c>
      <c r="AO216" s="26">
        <f>INDEX(Calib!$K$1:$K$13,$D216)+p_eta*MAX(0,AN216-INDEX(Calib!$AA$1:$AA$13,$D216))</f>
        <v/>
      </c>
      <c r="AP216" s="26">
        <f>(1-INDEX(Calib!$H$1:$H$13,$D216))*(1-p_alpha)*AC216+AI216</f>
        <v/>
      </c>
      <c r="AQ216" s="26">
        <f>(AE216/O216-1)*100</f>
        <v/>
      </c>
      <c r="AR216" s="26">
        <f>(AE216/AE191-1)*100</f>
        <v/>
      </c>
      <c r="AS216" s="26">
        <f>(O216/O191-1)*100</f>
        <v/>
      </c>
      <c r="AT216" s="26">
        <f>(AN216-X216)*100</f>
        <v/>
      </c>
      <c r="AU216" s="26">
        <f>(AP216/Z216-1)*100</f>
        <v/>
      </c>
      <c r="AV216" s="26">
        <f>(AI216-S216)*100</f>
        <v/>
      </c>
    </row>
    <row r="217">
      <c r="A217" s="25" t="inlineStr">
        <is>
          <t>GHA</t>
        </is>
      </c>
      <c r="B217" s="25" t="n">
        <v>2050</v>
      </c>
      <c r="C217" s="25" t="n">
        <v>26</v>
      </c>
      <c r="D217" s="25" t="n">
        <v>9</v>
      </c>
      <c r="E217" s="25">
        <f>IF(AND(p_dis_year&gt;0,B217=p_dis_year),1,0)</f>
        <v/>
      </c>
      <c r="F217" s="26">
        <f>IF(AND(p_dis_year&gt;0,B217&gt;=p_dis_year),1-p_eps_a*p_rho_a^(B217-p_dis_year),1)</f>
        <v/>
      </c>
      <c r="G217" s="26">
        <f>INDEX(Calib!$N$1:$N$13,$D217)*(1-p_rent_decline*MIN(1,C217/26))</f>
        <v/>
      </c>
      <c r="H217" s="26">
        <f>IF(C217=0,0,SUMIFS(dl_val,dl_iso,$A217,dl_ind,"pub_cap",dl_year,$B217)/100)</f>
        <v/>
      </c>
      <c r="I217" s="26">
        <f>IF(C217=0,0,SUMIFS(dl_val,dl_iso,$A217,dl_ind,"pub_spend",dl_year,$B217)/100)</f>
        <v/>
      </c>
      <c r="J217" s="26">
        <f>IF(C217=0,0,SUMIFS(dl_val,dl_iso,$A217,dl_ind,"rev",dl_year,$B217)/100)</f>
        <v/>
      </c>
      <c r="K217" s="26">
        <f>(1-p_delta_g)*K216*(1-p_eps_g*$E217)+INDEX(Calib!$E$1:$E$13,$D217)*(INDEX(Calib!$G$1:$G$13,$D217)+0*$H217)</f>
        <v/>
      </c>
      <c r="L217" s="26">
        <f>L216*(1-p_eps_k*$E217)+p_lambda_k*(N217-L216*(1-p_eps_k*$E217))</f>
        <v/>
      </c>
      <c r="M217" s="26">
        <f>INDEX(Calib!$R$1:$R$13,$D217)*$F217*(K216*(1-p_eps_g*$E217))^INDEX(Calib!$Q$1:$Q$13,$D217)*(L216*(1-p_eps_k*$E217))^p_alpha</f>
        <v/>
      </c>
      <c r="N217" s="26">
        <f>p_alpha*(1-INDEX(Calib!$H$1:$H$13,$D217))*M217/(INDEX(Calib!$K$1:$K$13,$D217)+p_delta)</f>
        <v/>
      </c>
      <c r="O217" s="26">
        <f>M217+$G217</f>
        <v/>
      </c>
      <c r="P217" s="26">
        <f>0*($H217+$I217)</f>
        <v/>
      </c>
      <c r="Q217" s="26">
        <f>INDEX(Calib!$I$1:$I$13,$D217)+p_sh_grant*P217</f>
        <v/>
      </c>
      <c r="R217" s="26">
        <f>INDEX(Calib!$H$1:$H$13,$D217)*M217+p_gov_take*$G217+Q217+0*p_pricing*$J217</f>
        <v/>
      </c>
      <c r="S217" s="26">
        <f>INDEX(Calib!$Y$1:$Y$13,$D217)-INDEX(Calib!$Z$1:$Z$13,$D217)*(V216/O216-INDEX(Calib!$AA$1:$AA$13,$D217))</f>
        <v/>
      </c>
      <c r="T217" s="26">
        <f>INDEX(Calib!$X$1:$X$13,$D217)+INDEX(Calib!$G$1:$G$13,$D217)+P217+S217-R217</f>
        <v/>
      </c>
      <c r="U217" s="26">
        <f>p_rk*W216+Y216*(V216-W216)</f>
        <v/>
      </c>
      <c r="V217" s="26">
        <f>V216+U217+T217</f>
        <v/>
      </c>
      <c r="W217" s="26">
        <f>INDEX(Calib!$U$1:$U$13,$D217)+(W216-INDEX(Calib!$U$1:$U$13,$D217))*(1-p_amort)+p_sh_conc*P217</f>
        <v/>
      </c>
      <c r="X217" s="26">
        <f>V217/O217</f>
        <v/>
      </c>
      <c r="Y217" s="26">
        <f>INDEX(Calib!$K$1:$K$13,$D217)+p_eta*MAX(0,X217-INDEX(Calib!$AA$1:$AA$13,$D217))</f>
        <v/>
      </c>
      <c r="Z217" s="26">
        <f>(1-INDEX(Calib!$H$1:$H$13,$D217))*(1-p_alpha)*M217+S217</f>
        <v/>
      </c>
      <c r="AA217" s="26">
        <f>(1-p_delta_g)*AA216*(1-p_eps_g*$E217)+INDEX(Calib!$E$1:$E$13,$D217)*(INDEX(Calib!$G$1:$G$13,$D217)+p_programme*$H217)</f>
        <v/>
      </c>
      <c r="AB217" s="26">
        <f>AB216*(1-p_eps_k*$E217)+p_lambda_k*(AD217-AB216*(1-p_eps_k*$E217))</f>
        <v/>
      </c>
      <c r="AC217" s="26">
        <f>INDEX(Calib!$R$1:$R$13,$D217)*$F217*(AA216*(1-p_eps_g*$E217))^INDEX(Calib!$Q$1:$Q$13,$D217)*(AB216*(1-p_eps_k*$E217))^p_alpha</f>
        <v/>
      </c>
      <c r="AD217" s="26">
        <f>p_alpha*(1-INDEX(Calib!$H$1:$H$13,$D217))*AC217/(INDEX(Calib!$K$1:$K$13,$D217)+p_delta)</f>
        <v/>
      </c>
      <c r="AE217" s="26">
        <f>AC217+$G217</f>
        <v/>
      </c>
      <c r="AF217" s="26">
        <f>p_programme*($H217+$I217)</f>
        <v/>
      </c>
      <c r="AG217" s="26">
        <f>INDEX(Calib!$I$1:$I$13,$D217)+p_sh_grant*AF217</f>
        <v/>
      </c>
      <c r="AH217" s="26">
        <f>INDEX(Calib!$H$1:$H$13,$D217)*AC217+p_gov_take*$G217+AG217+p_programme*p_pricing*$J217</f>
        <v/>
      </c>
      <c r="AI217" s="26">
        <f>INDEX(Calib!$Y$1:$Y$13,$D217)-INDEX(Calib!$Z$1:$Z$13,$D217)*(AL216/AE216-INDEX(Calib!$AA$1:$AA$13,$D217))</f>
        <v/>
      </c>
      <c r="AJ217" s="26">
        <f>INDEX(Calib!$X$1:$X$13,$D217)+INDEX(Calib!$G$1:$G$13,$D217)+AF217+AI217-AH217</f>
        <v/>
      </c>
      <c r="AK217" s="26">
        <f>p_rk*AM216+AO216*(AL216-AM216)</f>
        <v/>
      </c>
      <c r="AL217" s="26">
        <f>AL216+AK217+AJ217</f>
        <v/>
      </c>
      <c r="AM217" s="26">
        <f>INDEX(Calib!$U$1:$U$13,$D217)+(AM216-INDEX(Calib!$U$1:$U$13,$D217))*(1-p_amort)+p_sh_conc*AF217</f>
        <v/>
      </c>
      <c r="AN217" s="26">
        <f>AL217/AE217</f>
        <v/>
      </c>
      <c r="AO217" s="26">
        <f>INDEX(Calib!$K$1:$K$13,$D217)+p_eta*MAX(0,AN217-INDEX(Calib!$AA$1:$AA$13,$D217))</f>
        <v/>
      </c>
      <c r="AP217" s="26">
        <f>(1-INDEX(Calib!$H$1:$H$13,$D217))*(1-p_alpha)*AC217+AI217</f>
        <v/>
      </c>
      <c r="AQ217" s="26">
        <f>(AE217/O217-1)*100</f>
        <v/>
      </c>
      <c r="AR217" s="26">
        <f>(AE217/AE191-1)*100</f>
        <v/>
      </c>
      <c r="AS217" s="26">
        <f>(O217/O191-1)*100</f>
        <v/>
      </c>
      <c r="AT217" s="26">
        <f>(AN217-X217)*100</f>
        <v/>
      </c>
      <c r="AU217" s="26">
        <f>(AP217/Z217-1)*100</f>
        <v/>
      </c>
      <c r="AV217" s="26">
        <f>(AI217-S217)*100</f>
        <v/>
      </c>
    </row>
    <row r="218">
      <c r="A218" s="25" t="inlineStr">
        <is>
          <t>SEN</t>
        </is>
      </c>
      <c r="B218" s="25" t="n">
        <v>2024</v>
      </c>
      <c r="C218" s="25" t="n">
        <v>0</v>
      </c>
      <c r="D218" s="25" t="n">
        <v>10</v>
      </c>
      <c r="E218" s="25">
        <f>IF(AND(p_dis_year&gt;0,B218=p_dis_year),1,0)</f>
        <v/>
      </c>
      <c r="F218" s="26">
        <f>IF(AND(p_dis_year&gt;0,B218&gt;=p_dis_year),1-p_eps_a*p_rho_a^(B218-p_dis_year),1)</f>
        <v/>
      </c>
      <c r="G218" s="26">
        <f>INDEX(Calib!$N$1:$N$13,$D218)*(1-p_rent_decline*MIN(1,C218/26))</f>
        <v/>
      </c>
      <c r="H218" s="26">
        <f>IF(C218=0,0,SUMIFS(dl_val,dl_iso,$A218,dl_ind,"pub_cap",dl_year,$B218)/100)</f>
        <v/>
      </c>
      <c r="I218" s="26">
        <f>IF(C218=0,0,SUMIFS(dl_val,dl_iso,$A218,dl_ind,"pub_spend",dl_year,$B218)/100)</f>
        <v/>
      </c>
      <c r="J218" s="26">
        <f>IF(C218=0,0,SUMIFS(dl_val,dl_iso,$A218,dl_ind,"rev",dl_year,$B218)/100)</f>
        <v/>
      </c>
      <c r="K218" s="26">
        <f>INDEX(Calib!$P$1:$P$13,$D218)</f>
        <v/>
      </c>
      <c r="L218" s="26">
        <f>INDEX(Calib!$O$1:$O$13,$D218)</f>
        <v/>
      </c>
      <c r="M218" s="26">
        <f>1</f>
        <v/>
      </c>
      <c r="N218" s="26">
        <f>INDEX(Calib!$O$1:$O$13,$D218)</f>
        <v/>
      </c>
      <c r="O218" s="26">
        <f>INDEX(Calib!$S$1:$S$13,$D218)</f>
        <v/>
      </c>
      <c r="P218" s="26">
        <f>0</f>
        <v/>
      </c>
      <c r="Q218" s="26">
        <f>INDEX(Calib!$I$1:$I$13,$D218)</f>
        <v/>
      </c>
      <c r="R218" s="26">
        <f>INDEX(Calib!$W$1:$W$13,$D218)</f>
        <v/>
      </c>
      <c r="S218" s="26">
        <f>INDEX(Calib!$Y$1:$Y$13,$D218)</f>
        <v/>
      </c>
      <c r="T218" s="26">
        <f>-INDEX(Calib!$V$1:$V$13,$D218)</f>
        <v/>
      </c>
      <c r="U218" s="26">
        <f>INDEX(Calib!$V$1:$V$13,$D218)</f>
        <v/>
      </c>
      <c r="V218" s="26">
        <f>INDEX(Calib!$T$1:$T$13,$D218)</f>
        <v/>
      </c>
      <c r="W218" s="26">
        <f>INDEX(Calib!$U$1:$U$13,$D218)</f>
        <v/>
      </c>
      <c r="X218" s="26">
        <f>V218/O218</f>
        <v/>
      </c>
      <c r="Y218" s="26">
        <f>INDEX(Calib!$K$1:$K$13,$D218)</f>
        <v/>
      </c>
      <c r="Z218" s="26">
        <f>(1-INDEX(Calib!$H$1:$H$13,$D218))*(1-p_alpha)*M218+S218</f>
        <v/>
      </c>
      <c r="AA218" s="26">
        <f>INDEX(Calib!$P$1:$P$13,$D218)</f>
        <v/>
      </c>
      <c r="AB218" s="26">
        <f>INDEX(Calib!$O$1:$O$13,$D218)</f>
        <v/>
      </c>
      <c r="AC218" s="26">
        <f>1</f>
        <v/>
      </c>
      <c r="AD218" s="26">
        <f>INDEX(Calib!$O$1:$O$13,$D218)</f>
        <v/>
      </c>
      <c r="AE218" s="26">
        <f>INDEX(Calib!$S$1:$S$13,$D218)</f>
        <v/>
      </c>
      <c r="AF218" s="26">
        <f>0</f>
        <v/>
      </c>
      <c r="AG218" s="26">
        <f>INDEX(Calib!$I$1:$I$13,$D218)</f>
        <v/>
      </c>
      <c r="AH218" s="26">
        <f>INDEX(Calib!$W$1:$W$13,$D218)</f>
        <v/>
      </c>
      <c r="AI218" s="26">
        <f>INDEX(Calib!$Y$1:$Y$13,$D218)</f>
        <v/>
      </c>
      <c r="AJ218" s="26">
        <f>-INDEX(Calib!$V$1:$V$13,$D218)</f>
        <v/>
      </c>
      <c r="AK218" s="26">
        <f>INDEX(Calib!$V$1:$V$13,$D218)</f>
        <v/>
      </c>
      <c r="AL218" s="26">
        <f>INDEX(Calib!$T$1:$T$13,$D218)</f>
        <v/>
      </c>
      <c r="AM218" s="26">
        <f>INDEX(Calib!$U$1:$U$13,$D218)</f>
        <v/>
      </c>
      <c r="AN218" s="26">
        <f>AL218/AE218</f>
        <v/>
      </c>
      <c r="AO218" s="26">
        <f>INDEX(Calib!$K$1:$K$13,$D218)</f>
        <v/>
      </c>
      <c r="AP218" s="26">
        <f>(1-INDEX(Calib!$H$1:$H$13,$D218))*(1-p_alpha)*AC218+AI218</f>
        <v/>
      </c>
      <c r="AQ218" s="26">
        <f>(AE218/O218-1)*100</f>
        <v/>
      </c>
      <c r="AR218" s="26">
        <f>(AE218/AE218-1)*100</f>
        <v/>
      </c>
      <c r="AS218" s="26">
        <f>(O218/O218-1)*100</f>
        <v/>
      </c>
      <c r="AT218" s="26">
        <f>(AN218-X218)*100</f>
        <v/>
      </c>
      <c r="AU218" s="26">
        <f>(AP218/Z218-1)*100</f>
        <v/>
      </c>
      <c r="AV218" s="26">
        <f>(AI218-S218)*100</f>
        <v/>
      </c>
    </row>
    <row r="219">
      <c r="A219" s="25" t="inlineStr">
        <is>
          <t>SEN</t>
        </is>
      </c>
      <c r="B219" s="25" t="n">
        <v>2025</v>
      </c>
      <c r="C219" s="25" t="n">
        <v>1</v>
      </c>
      <c r="D219" s="25" t="n">
        <v>10</v>
      </c>
      <c r="E219" s="25">
        <f>IF(AND(p_dis_year&gt;0,B219=p_dis_year),1,0)</f>
        <v/>
      </c>
      <c r="F219" s="26">
        <f>IF(AND(p_dis_year&gt;0,B219&gt;=p_dis_year),1-p_eps_a*p_rho_a^(B219-p_dis_year),1)</f>
        <v/>
      </c>
      <c r="G219" s="26">
        <f>INDEX(Calib!$N$1:$N$13,$D219)*(1-p_rent_decline*MIN(1,C219/26))</f>
        <v/>
      </c>
      <c r="H219" s="26">
        <f>IF(C219=0,0,SUMIFS(dl_val,dl_iso,$A219,dl_ind,"pub_cap",dl_year,$B219)/100)</f>
        <v/>
      </c>
      <c r="I219" s="26">
        <f>IF(C219=0,0,SUMIFS(dl_val,dl_iso,$A219,dl_ind,"pub_spend",dl_year,$B219)/100)</f>
        <v/>
      </c>
      <c r="J219" s="26">
        <f>IF(C219=0,0,SUMIFS(dl_val,dl_iso,$A219,dl_ind,"rev",dl_year,$B219)/100)</f>
        <v/>
      </c>
      <c r="K219" s="26">
        <f>(1-p_delta_g)*K218*(1-p_eps_g*$E219)+INDEX(Calib!$E$1:$E$13,$D219)*(INDEX(Calib!$G$1:$G$13,$D219)+0*$H219)</f>
        <v/>
      </c>
      <c r="L219" s="26">
        <f>L218*(1-p_eps_k*$E219)+p_lambda_k*(N219-L218*(1-p_eps_k*$E219))</f>
        <v/>
      </c>
      <c r="M219" s="26">
        <f>INDEX(Calib!$R$1:$R$13,$D219)*$F219*(K218*(1-p_eps_g*$E219))^INDEX(Calib!$Q$1:$Q$13,$D219)*(L218*(1-p_eps_k*$E219))^p_alpha</f>
        <v/>
      </c>
      <c r="N219" s="26">
        <f>p_alpha*(1-INDEX(Calib!$H$1:$H$13,$D219))*M219/(INDEX(Calib!$K$1:$K$13,$D219)+p_delta)</f>
        <v/>
      </c>
      <c r="O219" s="26">
        <f>M219+$G219</f>
        <v/>
      </c>
      <c r="P219" s="26">
        <f>0*($H219+$I219)</f>
        <v/>
      </c>
      <c r="Q219" s="26">
        <f>INDEX(Calib!$I$1:$I$13,$D219)+p_sh_grant*P219</f>
        <v/>
      </c>
      <c r="R219" s="26">
        <f>INDEX(Calib!$H$1:$H$13,$D219)*M219+p_gov_take*$G219+Q219+0*p_pricing*$J219</f>
        <v/>
      </c>
      <c r="S219" s="26">
        <f>INDEX(Calib!$Y$1:$Y$13,$D219)-INDEX(Calib!$Z$1:$Z$13,$D219)*(V218/O218-INDEX(Calib!$AA$1:$AA$13,$D219))</f>
        <v/>
      </c>
      <c r="T219" s="26">
        <f>INDEX(Calib!$X$1:$X$13,$D219)+INDEX(Calib!$G$1:$G$13,$D219)+P219+S219-R219</f>
        <v/>
      </c>
      <c r="U219" s="26">
        <f>p_rk*W218+Y218*(V218-W218)</f>
        <v/>
      </c>
      <c r="V219" s="26">
        <f>V218+U219+T219</f>
        <v/>
      </c>
      <c r="W219" s="26">
        <f>INDEX(Calib!$U$1:$U$13,$D219)+(W218-INDEX(Calib!$U$1:$U$13,$D219))*(1-p_amort)+p_sh_conc*P219</f>
        <v/>
      </c>
      <c r="X219" s="26">
        <f>V219/O219</f>
        <v/>
      </c>
      <c r="Y219" s="26">
        <f>INDEX(Calib!$K$1:$K$13,$D219)+p_eta*MAX(0,X219-INDEX(Calib!$AA$1:$AA$13,$D219))</f>
        <v/>
      </c>
      <c r="Z219" s="26">
        <f>(1-INDEX(Calib!$H$1:$H$13,$D219))*(1-p_alpha)*M219+S219</f>
        <v/>
      </c>
      <c r="AA219" s="26">
        <f>(1-p_delta_g)*AA218*(1-p_eps_g*$E219)+INDEX(Calib!$E$1:$E$13,$D219)*(INDEX(Calib!$G$1:$G$13,$D219)+p_programme*$H219)</f>
        <v/>
      </c>
      <c r="AB219" s="26">
        <f>AB218*(1-p_eps_k*$E219)+p_lambda_k*(AD219-AB218*(1-p_eps_k*$E219))</f>
        <v/>
      </c>
      <c r="AC219" s="26">
        <f>INDEX(Calib!$R$1:$R$13,$D219)*$F219*(AA218*(1-p_eps_g*$E219))^INDEX(Calib!$Q$1:$Q$13,$D219)*(AB218*(1-p_eps_k*$E219))^p_alpha</f>
        <v/>
      </c>
      <c r="AD219" s="26">
        <f>p_alpha*(1-INDEX(Calib!$H$1:$H$13,$D219))*AC219/(INDEX(Calib!$K$1:$K$13,$D219)+p_delta)</f>
        <v/>
      </c>
      <c r="AE219" s="26">
        <f>AC219+$G219</f>
        <v/>
      </c>
      <c r="AF219" s="26">
        <f>p_programme*($H219+$I219)</f>
        <v/>
      </c>
      <c r="AG219" s="26">
        <f>INDEX(Calib!$I$1:$I$13,$D219)+p_sh_grant*AF219</f>
        <v/>
      </c>
      <c r="AH219" s="26">
        <f>INDEX(Calib!$H$1:$H$13,$D219)*AC219+p_gov_take*$G219+AG219+p_programme*p_pricing*$J219</f>
        <v/>
      </c>
      <c r="AI219" s="26">
        <f>INDEX(Calib!$Y$1:$Y$13,$D219)-INDEX(Calib!$Z$1:$Z$13,$D219)*(AL218/AE218-INDEX(Calib!$AA$1:$AA$13,$D219))</f>
        <v/>
      </c>
      <c r="AJ219" s="26">
        <f>INDEX(Calib!$X$1:$X$13,$D219)+INDEX(Calib!$G$1:$G$13,$D219)+AF219+AI219-AH219</f>
        <v/>
      </c>
      <c r="AK219" s="26">
        <f>p_rk*AM218+AO218*(AL218-AM218)</f>
        <v/>
      </c>
      <c r="AL219" s="26">
        <f>AL218+AK219+AJ219</f>
        <v/>
      </c>
      <c r="AM219" s="26">
        <f>INDEX(Calib!$U$1:$U$13,$D219)+(AM218-INDEX(Calib!$U$1:$U$13,$D219))*(1-p_amort)+p_sh_conc*AF219</f>
        <v/>
      </c>
      <c r="AN219" s="26">
        <f>AL219/AE219</f>
        <v/>
      </c>
      <c r="AO219" s="26">
        <f>INDEX(Calib!$K$1:$K$13,$D219)+p_eta*MAX(0,AN219-INDEX(Calib!$AA$1:$AA$13,$D219))</f>
        <v/>
      </c>
      <c r="AP219" s="26">
        <f>(1-INDEX(Calib!$H$1:$H$13,$D219))*(1-p_alpha)*AC219+AI219</f>
        <v/>
      </c>
      <c r="AQ219" s="26">
        <f>(AE219/O219-1)*100</f>
        <v/>
      </c>
      <c r="AR219" s="26">
        <f>(AE219/AE218-1)*100</f>
        <v/>
      </c>
      <c r="AS219" s="26">
        <f>(O219/O218-1)*100</f>
        <v/>
      </c>
      <c r="AT219" s="26">
        <f>(AN219-X219)*100</f>
        <v/>
      </c>
      <c r="AU219" s="26">
        <f>(AP219/Z219-1)*100</f>
        <v/>
      </c>
      <c r="AV219" s="26">
        <f>(AI219-S219)*100</f>
        <v/>
      </c>
    </row>
    <row r="220">
      <c r="A220" s="25" t="inlineStr">
        <is>
          <t>SEN</t>
        </is>
      </c>
      <c r="B220" s="25" t="n">
        <v>2026</v>
      </c>
      <c r="C220" s="25" t="n">
        <v>2</v>
      </c>
      <c r="D220" s="25" t="n">
        <v>10</v>
      </c>
      <c r="E220" s="25">
        <f>IF(AND(p_dis_year&gt;0,B220=p_dis_year),1,0)</f>
        <v/>
      </c>
      <c r="F220" s="26">
        <f>IF(AND(p_dis_year&gt;0,B220&gt;=p_dis_year),1-p_eps_a*p_rho_a^(B220-p_dis_year),1)</f>
        <v/>
      </c>
      <c r="G220" s="26">
        <f>INDEX(Calib!$N$1:$N$13,$D220)*(1-p_rent_decline*MIN(1,C220/26))</f>
        <v/>
      </c>
      <c r="H220" s="26">
        <f>IF(C220=0,0,SUMIFS(dl_val,dl_iso,$A220,dl_ind,"pub_cap",dl_year,$B220)/100)</f>
        <v/>
      </c>
      <c r="I220" s="26">
        <f>IF(C220=0,0,SUMIFS(dl_val,dl_iso,$A220,dl_ind,"pub_spend",dl_year,$B220)/100)</f>
        <v/>
      </c>
      <c r="J220" s="26">
        <f>IF(C220=0,0,SUMIFS(dl_val,dl_iso,$A220,dl_ind,"rev",dl_year,$B220)/100)</f>
        <v/>
      </c>
      <c r="K220" s="26">
        <f>(1-p_delta_g)*K219*(1-p_eps_g*$E220)+INDEX(Calib!$E$1:$E$13,$D220)*(INDEX(Calib!$G$1:$G$13,$D220)+0*$H220)</f>
        <v/>
      </c>
      <c r="L220" s="26">
        <f>L219*(1-p_eps_k*$E220)+p_lambda_k*(N220-L219*(1-p_eps_k*$E220))</f>
        <v/>
      </c>
      <c r="M220" s="26">
        <f>INDEX(Calib!$R$1:$R$13,$D220)*$F220*(K219*(1-p_eps_g*$E220))^INDEX(Calib!$Q$1:$Q$13,$D220)*(L219*(1-p_eps_k*$E220))^p_alpha</f>
        <v/>
      </c>
      <c r="N220" s="26">
        <f>p_alpha*(1-INDEX(Calib!$H$1:$H$13,$D220))*M220/(INDEX(Calib!$K$1:$K$13,$D220)+p_delta)</f>
        <v/>
      </c>
      <c r="O220" s="26">
        <f>M220+$G220</f>
        <v/>
      </c>
      <c r="P220" s="26">
        <f>0*($H220+$I220)</f>
        <v/>
      </c>
      <c r="Q220" s="26">
        <f>INDEX(Calib!$I$1:$I$13,$D220)+p_sh_grant*P220</f>
        <v/>
      </c>
      <c r="R220" s="26">
        <f>INDEX(Calib!$H$1:$H$13,$D220)*M220+p_gov_take*$G220+Q220+0*p_pricing*$J220</f>
        <v/>
      </c>
      <c r="S220" s="26">
        <f>INDEX(Calib!$Y$1:$Y$13,$D220)-INDEX(Calib!$Z$1:$Z$13,$D220)*(V219/O219-INDEX(Calib!$AA$1:$AA$13,$D220))</f>
        <v/>
      </c>
      <c r="T220" s="26">
        <f>INDEX(Calib!$X$1:$X$13,$D220)+INDEX(Calib!$G$1:$G$13,$D220)+P220+S220-R220</f>
        <v/>
      </c>
      <c r="U220" s="26">
        <f>p_rk*W219+Y219*(V219-W219)</f>
        <v/>
      </c>
      <c r="V220" s="26">
        <f>V219+U220+T220</f>
        <v/>
      </c>
      <c r="W220" s="26">
        <f>INDEX(Calib!$U$1:$U$13,$D220)+(W219-INDEX(Calib!$U$1:$U$13,$D220))*(1-p_amort)+p_sh_conc*P220</f>
        <v/>
      </c>
      <c r="X220" s="26">
        <f>V220/O220</f>
        <v/>
      </c>
      <c r="Y220" s="26">
        <f>INDEX(Calib!$K$1:$K$13,$D220)+p_eta*MAX(0,X220-INDEX(Calib!$AA$1:$AA$13,$D220))</f>
        <v/>
      </c>
      <c r="Z220" s="26">
        <f>(1-INDEX(Calib!$H$1:$H$13,$D220))*(1-p_alpha)*M220+S220</f>
        <v/>
      </c>
      <c r="AA220" s="26">
        <f>(1-p_delta_g)*AA219*(1-p_eps_g*$E220)+INDEX(Calib!$E$1:$E$13,$D220)*(INDEX(Calib!$G$1:$G$13,$D220)+p_programme*$H220)</f>
        <v/>
      </c>
      <c r="AB220" s="26">
        <f>AB219*(1-p_eps_k*$E220)+p_lambda_k*(AD220-AB219*(1-p_eps_k*$E220))</f>
        <v/>
      </c>
      <c r="AC220" s="26">
        <f>INDEX(Calib!$R$1:$R$13,$D220)*$F220*(AA219*(1-p_eps_g*$E220))^INDEX(Calib!$Q$1:$Q$13,$D220)*(AB219*(1-p_eps_k*$E220))^p_alpha</f>
        <v/>
      </c>
      <c r="AD220" s="26">
        <f>p_alpha*(1-INDEX(Calib!$H$1:$H$13,$D220))*AC220/(INDEX(Calib!$K$1:$K$13,$D220)+p_delta)</f>
        <v/>
      </c>
      <c r="AE220" s="26">
        <f>AC220+$G220</f>
        <v/>
      </c>
      <c r="AF220" s="26">
        <f>p_programme*($H220+$I220)</f>
        <v/>
      </c>
      <c r="AG220" s="26">
        <f>INDEX(Calib!$I$1:$I$13,$D220)+p_sh_grant*AF220</f>
        <v/>
      </c>
      <c r="AH220" s="26">
        <f>INDEX(Calib!$H$1:$H$13,$D220)*AC220+p_gov_take*$G220+AG220+p_programme*p_pricing*$J220</f>
        <v/>
      </c>
      <c r="AI220" s="26">
        <f>INDEX(Calib!$Y$1:$Y$13,$D220)-INDEX(Calib!$Z$1:$Z$13,$D220)*(AL219/AE219-INDEX(Calib!$AA$1:$AA$13,$D220))</f>
        <v/>
      </c>
      <c r="AJ220" s="26">
        <f>INDEX(Calib!$X$1:$X$13,$D220)+INDEX(Calib!$G$1:$G$13,$D220)+AF220+AI220-AH220</f>
        <v/>
      </c>
      <c r="AK220" s="26">
        <f>p_rk*AM219+AO219*(AL219-AM219)</f>
        <v/>
      </c>
      <c r="AL220" s="26">
        <f>AL219+AK220+AJ220</f>
        <v/>
      </c>
      <c r="AM220" s="26">
        <f>INDEX(Calib!$U$1:$U$13,$D220)+(AM219-INDEX(Calib!$U$1:$U$13,$D220))*(1-p_amort)+p_sh_conc*AF220</f>
        <v/>
      </c>
      <c r="AN220" s="26">
        <f>AL220/AE220</f>
        <v/>
      </c>
      <c r="AO220" s="26">
        <f>INDEX(Calib!$K$1:$K$13,$D220)+p_eta*MAX(0,AN220-INDEX(Calib!$AA$1:$AA$13,$D220))</f>
        <v/>
      </c>
      <c r="AP220" s="26">
        <f>(1-INDEX(Calib!$H$1:$H$13,$D220))*(1-p_alpha)*AC220+AI220</f>
        <v/>
      </c>
      <c r="AQ220" s="26">
        <f>(AE220/O220-1)*100</f>
        <v/>
      </c>
      <c r="AR220" s="26">
        <f>(AE220/AE218-1)*100</f>
        <v/>
      </c>
      <c r="AS220" s="26">
        <f>(O220/O218-1)*100</f>
        <v/>
      </c>
      <c r="AT220" s="26">
        <f>(AN220-X220)*100</f>
        <v/>
      </c>
      <c r="AU220" s="26">
        <f>(AP220/Z220-1)*100</f>
        <v/>
      </c>
      <c r="AV220" s="26">
        <f>(AI220-S220)*100</f>
        <v/>
      </c>
    </row>
    <row r="221">
      <c r="A221" s="25" t="inlineStr">
        <is>
          <t>SEN</t>
        </is>
      </c>
      <c r="B221" s="25" t="n">
        <v>2027</v>
      </c>
      <c r="C221" s="25" t="n">
        <v>3</v>
      </c>
      <c r="D221" s="25" t="n">
        <v>10</v>
      </c>
      <c r="E221" s="25">
        <f>IF(AND(p_dis_year&gt;0,B221=p_dis_year),1,0)</f>
        <v/>
      </c>
      <c r="F221" s="26">
        <f>IF(AND(p_dis_year&gt;0,B221&gt;=p_dis_year),1-p_eps_a*p_rho_a^(B221-p_dis_year),1)</f>
        <v/>
      </c>
      <c r="G221" s="26">
        <f>INDEX(Calib!$N$1:$N$13,$D221)*(1-p_rent_decline*MIN(1,C221/26))</f>
        <v/>
      </c>
      <c r="H221" s="26">
        <f>IF(C221=0,0,SUMIFS(dl_val,dl_iso,$A221,dl_ind,"pub_cap",dl_year,$B221)/100)</f>
        <v/>
      </c>
      <c r="I221" s="26">
        <f>IF(C221=0,0,SUMIFS(dl_val,dl_iso,$A221,dl_ind,"pub_spend",dl_year,$B221)/100)</f>
        <v/>
      </c>
      <c r="J221" s="26">
        <f>IF(C221=0,0,SUMIFS(dl_val,dl_iso,$A221,dl_ind,"rev",dl_year,$B221)/100)</f>
        <v/>
      </c>
      <c r="K221" s="26">
        <f>(1-p_delta_g)*K220*(1-p_eps_g*$E221)+INDEX(Calib!$E$1:$E$13,$D221)*(INDEX(Calib!$G$1:$G$13,$D221)+0*$H221)</f>
        <v/>
      </c>
      <c r="L221" s="26">
        <f>L220*(1-p_eps_k*$E221)+p_lambda_k*(N221-L220*(1-p_eps_k*$E221))</f>
        <v/>
      </c>
      <c r="M221" s="26">
        <f>INDEX(Calib!$R$1:$R$13,$D221)*$F221*(K220*(1-p_eps_g*$E221))^INDEX(Calib!$Q$1:$Q$13,$D221)*(L220*(1-p_eps_k*$E221))^p_alpha</f>
        <v/>
      </c>
      <c r="N221" s="26">
        <f>p_alpha*(1-INDEX(Calib!$H$1:$H$13,$D221))*M221/(INDEX(Calib!$K$1:$K$13,$D221)+p_delta)</f>
        <v/>
      </c>
      <c r="O221" s="26">
        <f>M221+$G221</f>
        <v/>
      </c>
      <c r="P221" s="26">
        <f>0*($H221+$I221)</f>
        <v/>
      </c>
      <c r="Q221" s="26">
        <f>INDEX(Calib!$I$1:$I$13,$D221)+p_sh_grant*P221</f>
        <v/>
      </c>
      <c r="R221" s="26">
        <f>INDEX(Calib!$H$1:$H$13,$D221)*M221+p_gov_take*$G221+Q221+0*p_pricing*$J221</f>
        <v/>
      </c>
      <c r="S221" s="26">
        <f>INDEX(Calib!$Y$1:$Y$13,$D221)-INDEX(Calib!$Z$1:$Z$13,$D221)*(V220/O220-INDEX(Calib!$AA$1:$AA$13,$D221))</f>
        <v/>
      </c>
      <c r="T221" s="26">
        <f>INDEX(Calib!$X$1:$X$13,$D221)+INDEX(Calib!$G$1:$G$13,$D221)+P221+S221-R221</f>
        <v/>
      </c>
      <c r="U221" s="26">
        <f>p_rk*W220+Y220*(V220-W220)</f>
        <v/>
      </c>
      <c r="V221" s="26">
        <f>V220+U221+T221</f>
        <v/>
      </c>
      <c r="W221" s="26">
        <f>INDEX(Calib!$U$1:$U$13,$D221)+(W220-INDEX(Calib!$U$1:$U$13,$D221))*(1-p_amort)+p_sh_conc*P221</f>
        <v/>
      </c>
      <c r="X221" s="26">
        <f>V221/O221</f>
        <v/>
      </c>
      <c r="Y221" s="26">
        <f>INDEX(Calib!$K$1:$K$13,$D221)+p_eta*MAX(0,X221-INDEX(Calib!$AA$1:$AA$13,$D221))</f>
        <v/>
      </c>
      <c r="Z221" s="26">
        <f>(1-INDEX(Calib!$H$1:$H$13,$D221))*(1-p_alpha)*M221+S221</f>
        <v/>
      </c>
      <c r="AA221" s="26">
        <f>(1-p_delta_g)*AA220*(1-p_eps_g*$E221)+INDEX(Calib!$E$1:$E$13,$D221)*(INDEX(Calib!$G$1:$G$13,$D221)+p_programme*$H221)</f>
        <v/>
      </c>
      <c r="AB221" s="26">
        <f>AB220*(1-p_eps_k*$E221)+p_lambda_k*(AD221-AB220*(1-p_eps_k*$E221))</f>
        <v/>
      </c>
      <c r="AC221" s="26">
        <f>INDEX(Calib!$R$1:$R$13,$D221)*$F221*(AA220*(1-p_eps_g*$E221))^INDEX(Calib!$Q$1:$Q$13,$D221)*(AB220*(1-p_eps_k*$E221))^p_alpha</f>
        <v/>
      </c>
      <c r="AD221" s="26">
        <f>p_alpha*(1-INDEX(Calib!$H$1:$H$13,$D221))*AC221/(INDEX(Calib!$K$1:$K$13,$D221)+p_delta)</f>
        <v/>
      </c>
      <c r="AE221" s="26">
        <f>AC221+$G221</f>
        <v/>
      </c>
      <c r="AF221" s="26">
        <f>p_programme*($H221+$I221)</f>
        <v/>
      </c>
      <c r="AG221" s="26">
        <f>INDEX(Calib!$I$1:$I$13,$D221)+p_sh_grant*AF221</f>
        <v/>
      </c>
      <c r="AH221" s="26">
        <f>INDEX(Calib!$H$1:$H$13,$D221)*AC221+p_gov_take*$G221+AG221+p_programme*p_pricing*$J221</f>
        <v/>
      </c>
      <c r="AI221" s="26">
        <f>INDEX(Calib!$Y$1:$Y$13,$D221)-INDEX(Calib!$Z$1:$Z$13,$D221)*(AL220/AE220-INDEX(Calib!$AA$1:$AA$13,$D221))</f>
        <v/>
      </c>
      <c r="AJ221" s="26">
        <f>INDEX(Calib!$X$1:$X$13,$D221)+INDEX(Calib!$G$1:$G$13,$D221)+AF221+AI221-AH221</f>
        <v/>
      </c>
      <c r="AK221" s="26">
        <f>p_rk*AM220+AO220*(AL220-AM220)</f>
        <v/>
      </c>
      <c r="AL221" s="26">
        <f>AL220+AK221+AJ221</f>
        <v/>
      </c>
      <c r="AM221" s="26">
        <f>INDEX(Calib!$U$1:$U$13,$D221)+(AM220-INDEX(Calib!$U$1:$U$13,$D221))*(1-p_amort)+p_sh_conc*AF221</f>
        <v/>
      </c>
      <c r="AN221" s="26">
        <f>AL221/AE221</f>
        <v/>
      </c>
      <c r="AO221" s="26">
        <f>INDEX(Calib!$K$1:$K$13,$D221)+p_eta*MAX(0,AN221-INDEX(Calib!$AA$1:$AA$13,$D221))</f>
        <v/>
      </c>
      <c r="AP221" s="26">
        <f>(1-INDEX(Calib!$H$1:$H$13,$D221))*(1-p_alpha)*AC221+AI221</f>
        <v/>
      </c>
      <c r="AQ221" s="26">
        <f>(AE221/O221-1)*100</f>
        <v/>
      </c>
      <c r="AR221" s="26">
        <f>(AE221/AE218-1)*100</f>
        <v/>
      </c>
      <c r="AS221" s="26">
        <f>(O221/O218-1)*100</f>
        <v/>
      </c>
      <c r="AT221" s="26">
        <f>(AN221-X221)*100</f>
        <v/>
      </c>
      <c r="AU221" s="26">
        <f>(AP221/Z221-1)*100</f>
        <v/>
      </c>
      <c r="AV221" s="26">
        <f>(AI221-S221)*100</f>
        <v/>
      </c>
    </row>
    <row r="222">
      <c r="A222" s="25" t="inlineStr">
        <is>
          <t>SEN</t>
        </is>
      </c>
      <c r="B222" s="25" t="n">
        <v>2028</v>
      </c>
      <c r="C222" s="25" t="n">
        <v>4</v>
      </c>
      <c r="D222" s="25" t="n">
        <v>10</v>
      </c>
      <c r="E222" s="25">
        <f>IF(AND(p_dis_year&gt;0,B222=p_dis_year),1,0)</f>
        <v/>
      </c>
      <c r="F222" s="26">
        <f>IF(AND(p_dis_year&gt;0,B222&gt;=p_dis_year),1-p_eps_a*p_rho_a^(B222-p_dis_year),1)</f>
        <v/>
      </c>
      <c r="G222" s="26">
        <f>INDEX(Calib!$N$1:$N$13,$D222)*(1-p_rent_decline*MIN(1,C222/26))</f>
        <v/>
      </c>
      <c r="H222" s="26">
        <f>IF(C222=0,0,SUMIFS(dl_val,dl_iso,$A222,dl_ind,"pub_cap",dl_year,$B222)/100)</f>
        <v/>
      </c>
      <c r="I222" s="26">
        <f>IF(C222=0,0,SUMIFS(dl_val,dl_iso,$A222,dl_ind,"pub_spend",dl_year,$B222)/100)</f>
        <v/>
      </c>
      <c r="J222" s="26">
        <f>IF(C222=0,0,SUMIFS(dl_val,dl_iso,$A222,dl_ind,"rev",dl_year,$B222)/100)</f>
        <v/>
      </c>
      <c r="K222" s="26">
        <f>(1-p_delta_g)*K221*(1-p_eps_g*$E222)+INDEX(Calib!$E$1:$E$13,$D222)*(INDEX(Calib!$G$1:$G$13,$D222)+0*$H222)</f>
        <v/>
      </c>
      <c r="L222" s="26">
        <f>L221*(1-p_eps_k*$E222)+p_lambda_k*(N222-L221*(1-p_eps_k*$E222))</f>
        <v/>
      </c>
      <c r="M222" s="26">
        <f>INDEX(Calib!$R$1:$R$13,$D222)*$F222*(K221*(1-p_eps_g*$E222))^INDEX(Calib!$Q$1:$Q$13,$D222)*(L221*(1-p_eps_k*$E222))^p_alpha</f>
        <v/>
      </c>
      <c r="N222" s="26">
        <f>p_alpha*(1-INDEX(Calib!$H$1:$H$13,$D222))*M222/(INDEX(Calib!$K$1:$K$13,$D222)+p_delta)</f>
        <v/>
      </c>
      <c r="O222" s="26">
        <f>M222+$G222</f>
        <v/>
      </c>
      <c r="P222" s="26">
        <f>0*($H222+$I222)</f>
        <v/>
      </c>
      <c r="Q222" s="26">
        <f>INDEX(Calib!$I$1:$I$13,$D222)+p_sh_grant*P222</f>
        <v/>
      </c>
      <c r="R222" s="26">
        <f>INDEX(Calib!$H$1:$H$13,$D222)*M222+p_gov_take*$G222+Q222+0*p_pricing*$J222</f>
        <v/>
      </c>
      <c r="S222" s="26">
        <f>INDEX(Calib!$Y$1:$Y$13,$D222)-INDEX(Calib!$Z$1:$Z$13,$D222)*(V221/O221-INDEX(Calib!$AA$1:$AA$13,$D222))</f>
        <v/>
      </c>
      <c r="T222" s="26">
        <f>INDEX(Calib!$X$1:$X$13,$D222)+INDEX(Calib!$G$1:$G$13,$D222)+P222+S222-R222</f>
        <v/>
      </c>
      <c r="U222" s="26">
        <f>p_rk*W221+Y221*(V221-W221)</f>
        <v/>
      </c>
      <c r="V222" s="26">
        <f>V221+U222+T222</f>
        <v/>
      </c>
      <c r="W222" s="26">
        <f>INDEX(Calib!$U$1:$U$13,$D222)+(W221-INDEX(Calib!$U$1:$U$13,$D222))*(1-p_amort)+p_sh_conc*P222</f>
        <v/>
      </c>
      <c r="X222" s="26">
        <f>V222/O222</f>
        <v/>
      </c>
      <c r="Y222" s="26">
        <f>INDEX(Calib!$K$1:$K$13,$D222)+p_eta*MAX(0,X222-INDEX(Calib!$AA$1:$AA$13,$D222))</f>
        <v/>
      </c>
      <c r="Z222" s="26">
        <f>(1-INDEX(Calib!$H$1:$H$13,$D222))*(1-p_alpha)*M222+S222</f>
        <v/>
      </c>
      <c r="AA222" s="26">
        <f>(1-p_delta_g)*AA221*(1-p_eps_g*$E222)+INDEX(Calib!$E$1:$E$13,$D222)*(INDEX(Calib!$G$1:$G$13,$D222)+p_programme*$H222)</f>
        <v/>
      </c>
      <c r="AB222" s="26">
        <f>AB221*(1-p_eps_k*$E222)+p_lambda_k*(AD222-AB221*(1-p_eps_k*$E222))</f>
        <v/>
      </c>
      <c r="AC222" s="26">
        <f>INDEX(Calib!$R$1:$R$13,$D222)*$F222*(AA221*(1-p_eps_g*$E222))^INDEX(Calib!$Q$1:$Q$13,$D222)*(AB221*(1-p_eps_k*$E222))^p_alpha</f>
        <v/>
      </c>
      <c r="AD222" s="26">
        <f>p_alpha*(1-INDEX(Calib!$H$1:$H$13,$D222))*AC222/(INDEX(Calib!$K$1:$K$13,$D222)+p_delta)</f>
        <v/>
      </c>
      <c r="AE222" s="26">
        <f>AC222+$G222</f>
        <v/>
      </c>
      <c r="AF222" s="26">
        <f>p_programme*($H222+$I222)</f>
        <v/>
      </c>
      <c r="AG222" s="26">
        <f>INDEX(Calib!$I$1:$I$13,$D222)+p_sh_grant*AF222</f>
        <v/>
      </c>
      <c r="AH222" s="26">
        <f>INDEX(Calib!$H$1:$H$13,$D222)*AC222+p_gov_take*$G222+AG222+p_programme*p_pricing*$J222</f>
        <v/>
      </c>
      <c r="AI222" s="26">
        <f>INDEX(Calib!$Y$1:$Y$13,$D222)-INDEX(Calib!$Z$1:$Z$13,$D222)*(AL221/AE221-INDEX(Calib!$AA$1:$AA$13,$D222))</f>
        <v/>
      </c>
      <c r="AJ222" s="26">
        <f>INDEX(Calib!$X$1:$X$13,$D222)+INDEX(Calib!$G$1:$G$13,$D222)+AF222+AI222-AH222</f>
        <v/>
      </c>
      <c r="AK222" s="26">
        <f>p_rk*AM221+AO221*(AL221-AM221)</f>
        <v/>
      </c>
      <c r="AL222" s="26">
        <f>AL221+AK222+AJ222</f>
        <v/>
      </c>
      <c r="AM222" s="26">
        <f>INDEX(Calib!$U$1:$U$13,$D222)+(AM221-INDEX(Calib!$U$1:$U$13,$D222))*(1-p_amort)+p_sh_conc*AF222</f>
        <v/>
      </c>
      <c r="AN222" s="26">
        <f>AL222/AE222</f>
        <v/>
      </c>
      <c r="AO222" s="26">
        <f>INDEX(Calib!$K$1:$K$13,$D222)+p_eta*MAX(0,AN222-INDEX(Calib!$AA$1:$AA$13,$D222))</f>
        <v/>
      </c>
      <c r="AP222" s="26">
        <f>(1-INDEX(Calib!$H$1:$H$13,$D222))*(1-p_alpha)*AC222+AI222</f>
        <v/>
      </c>
      <c r="AQ222" s="26">
        <f>(AE222/O222-1)*100</f>
        <v/>
      </c>
      <c r="AR222" s="26">
        <f>(AE222/AE218-1)*100</f>
        <v/>
      </c>
      <c r="AS222" s="26">
        <f>(O222/O218-1)*100</f>
        <v/>
      </c>
      <c r="AT222" s="26">
        <f>(AN222-X222)*100</f>
        <v/>
      </c>
      <c r="AU222" s="26">
        <f>(AP222/Z222-1)*100</f>
        <v/>
      </c>
      <c r="AV222" s="26">
        <f>(AI222-S222)*100</f>
        <v/>
      </c>
    </row>
    <row r="223">
      <c r="A223" s="25" t="inlineStr">
        <is>
          <t>SEN</t>
        </is>
      </c>
      <c r="B223" s="25" t="n">
        <v>2029</v>
      </c>
      <c r="C223" s="25" t="n">
        <v>5</v>
      </c>
      <c r="D223" s="25" t="n">
        <v>10</v>
      </c>
      <c r="E223" s="25">
        <f>IF(AND(p_dis_year&gt;0,B223=p_dis_year),1,0)</f>
        <v/>
      </c>
      <c r="F223" s="26">
        <f>IF(AND(p_dis_year&gt;0,B223&gt;=p_dis_year),1-p_eps_a*p_rho_a^(B223-p_dis_year),1)</f>
        <v/>
      </c>
      <c r="G223" s="26">
        <f>INDEX(Calib!$N$1:$N$13,$D223)*(1-p_rent_decline*MIN(1,C223/26))</f>
        <v/>
      </c>
      <c r="H223" s="26">
        <f>IF(C223=0,0,SUMIFS(dl_val,dl_iso,$A223,dl_ind,"pub_cap",dl_year,$B223)/100)</f>
        <v/>
      </c>
      <c r="I223" s="26">
        <f>IF(C223=0,0,SUMIFS(dl_val,dl_iso,$A223,dl_ind,"pub_spend",dl_year,$B223)/100)</f>
        <v/>
      </c>
      <c r="J223" s="26">
        <f>IF(C223=0,0,SUMIFS(dl_val,dl_iso,$A223,dl_ind,"rev",dl_year,$B223)/100)</f>
        <v/>
      </c>
      <c r="K223" s="26">
        <f>(1-p_delta_g)*K222*(1-p_eps_g*$E223)+INDEX(Calib!$E$1:$E$13,$D223)*(INDEX(Calib!$G$1:$G$13,$D223)+0*$H223)</f>
        <v/>
      </c>
      <c r="L223" s="26">
        <f>L222*(1-p_eps_k*$E223)+p_lambda_k*(N223-L222*(1-p_eps_k*$E223))</f>
        <v/>
      </c>
      <c r="M223" s="26">
        <f>INDEX(Calib!$R$1:$R$13,$D223)*$F223*(K222*(1-p_eps_g*$E223))^INDEX(Calib!$Q$1:$Q$13,$D223)*(L222*(1-p_eps_k*$E223))^p_alpha</f>
        <v/>
      </c>
      <c r="N223" s="26">
        <f>p_alpha*(1-INDEX(Calib!$H$1:$H$13,$D223))*M223/(INDEX(Calib!$K$1:$K$13,$D223)+p_delta)</f>
        <v/>
      </c>
      <c r="O223" s="26">
        <f>M223+$G223</f>
        <v/>
      </c>
      <c r="P223" s="26">
        <f>0*($H223+$I223)</f>
        <v/>
      </c>
      <c r="Q223" s="26">
        <f>INDEX(Calib!$I$1:$I$13,$D223)+p_sh_grant*P223</f>
        <v/>
      </c>
      <c r="R223" s="26">
        <f>INDEX(Calib!$H$1:$H$13,$D223)*M223+p_gov_take*$G223+Q223+0*p_pricing*$J223</f>
        <v/>
      </c>
      <c r="S223" s="26">
        <f>INDEX(Calib!$Y$1:$Y$13,$D223)-INDEX(Calib!$Z$1:$Z$13,$D223)*(V222/O222-INDEX(Calib!$AA$1:$AA$13,$D223))</f>
        <v/>
      </c>
      <c r="T223" s="26">
        <f>INDEX(Calib!$X$1:$X$13,$D223)+INDEX(Calib!$G$1:$G$13,$D223)+P223+S223-R223</f>
        <v/>
      </c>
      <c r="U223" s="26">
        <f>p_rk*W222+Y222*(V222-W222)</f>
        <v/>
      </c>
      <c r="V223" s="26">
        <f>V222+U223+T223</f>
        <v/>
      </c>
      <c r="W223" s="26">
        <f>INDEX(Calib!$U$1:$U$13,$D223)+(W222-INDEX(Calib!$U$1:$U$13,$D223))*(1-p_amort)+p_sh_conc*P223</f>
        <v/>
      </c>
      <c r="X223" s="26">
        <f>V223/O223</f>
        <v/>
      </c>
      <c r="Y223" s="26">
        <f>INDEX(Calib!$K$1:$K$13,$D223)+p_eta*MAX(0,X223-INDEX(Calib!$AA$1:$AA$13,$D223))</f>
        <v/>
      </c>
      <c r="Z223" s="26">
        <f>(1-INDEX(Calib!$H$1:$H$13,$D223))*(1-p_alpha)*M223+S223</f>
        <v/>
      </c>
      <c r="AA223" s="26">
        <f>(1-p_delta_g)*AA222*(1-p_eps_g*$E223)+INDEX(Calib!$E$1:$E$13,$D223)*(INDEX(Calib!$G$1:$G$13,$D223)+p_programme*$H223)</f>
        <v/>
      </c>
      <c r="AB223" s="26">
        <f>AB222*(1-p_eps_k*$E223)+p_lambda_k*(AD223-AB222*(1-p_eps_k*$E223))</f>
        <v/>
      </c>
      <c r="AC223" s="26">
        <f>INDEX(Calib!$R$1:$R$13,$D223)*$F223*(AA222*(1-p_eps_g*$E223))^INDEX(Calib!$Q$1:$Q$13,$D223)*(AB222*(1-p_eps_k*$E223))^p_alpha</f>
        <v/>
      </c>
      <c r="AD223" s="26">
        <f>p_alpha*(1-INDEX(Calib!$H$1:$H$13,$D223))*AC223/(INDEX(Calib!$K$1:$K$13,$D223)+p_delta)</f>
        <v/>
      </c>
      <c r="AE223" s="26">
        <f>AC223+$G223</f>
        <v/>
      </c>
      <c r="AF223" s="26">
        <f>p_programme*($H223+$I223)</f>
        <v/>
      </c>
      <c r="AG223" s="26">
        <f>INDEX(Calib!$I$1:$I$13,$D223)+p_sh_grant*AF223</f>
        <v/>
      </c>
      <c r="AH223" s="26">
        <f>INDEX(Calib!$H$1:$H$13,$D223)*AC223+p_gov_take*$G223+AG223+p_programme*p_pricing*$J223</f>
        <v/>
      </c>
      <c r="AI223" s="26">
        <f>INDEX(Calib!$Y$1:$Y$13,$D223)-INDEX(Calib!$Z$1:$Z$13,$D223)*(AL222/AE222-INDEX(Calib!$AA$1:$AA$13,$D223))</f>
        <v/>
      </c>
      <c r="AJ223" s="26">
        <f>INDEX(Calib!$X$1:$X$13,$D223)+INDEX(Calib!$G$1:$G$13,$D223)+AF223+AI223-AH223</f>
        <v/>
      </c>
      <c r="AK223" s="26">
        <f>p_rk*AM222+AO222*(AL222-AM222)</f>
        <v/>
      </c>
      <c r="AL223" s="26">
        <f>AL222+AK223+AJ223</f>
        <v/>
      </c>
      <c r="AM223" s="26">
        <f>INDEX(Calib!$U$1:$U$13,$D223)+(AM222-INDEX(Calib!$U$1:$U$13,$D223))*(1-p_amort)+p_sh_conc*AF223</f>
        <v/>
      </c>
      <c r="AN223" s="26">
        <f>AL223/AE223</f>
        <v/>
      </c>
      <c r="AO223" s="26">
        <f>INDEX(Calib!$K$1:$K$13,$D223)+p_eta*MAX(0,AN223-INDEX(Calib!$AA$1:$AA$13,$D223))</f>
        <v/>
      </c>
      <c r="AP223" s="26">
        <f>(1-INDEX(Calib!$H$1:$H$13,$D223))*(1-p_alpha)*AC223+AI223</f>
        <v/>
      </c>
      <c r="AQ223" s="26">
        <f>(AE223/O223-1)*100</f>
        <v/>
      </c>
      <c r="AR223" s="26">
        <f>(AE223/AE218-1)*100</f>
        <v/>
      </c>
      <c r="AS223" s="26">
        <f>(O223/O218-1)*100</f>
        <v/>
      </c>
      <c r="AT223" s="26">
        <f>(AN223-X223)*100</f>
        <v/>
      </c>
      <c r="AU223" s="26">
        <f>(AP223/Z223-1)*100</f>
        <v/>
      </c>
      <c r="AV223" s="26">
        <f>(AI223-S223)*100</f>
        <v/>
      </c>
    </row>
    <row r="224">
      <c r="A224" s="25" t="inlineStr">
        <is>
          <t>SEN</t>
        </is>
      </c>
      <c r="B224" s="25" t="n">
        <v>2030</v>
      </c>
      <c r="C224" s="25" t="n">
        <v>6</v>
      </c>
      <c r="D224" s="25" t="n">
        <v>10</v>
      </c>
      <c r="E224" s="25">
        <f>IF(AND(p_dis_year&gt;0,B224=p_dis_year),1,0)</f>
        <v/>
      </c>
      <c r="F224" s="26">
        <f>IF(AND(p_dis_year&gt;0,B224&gt;=p_dis_year),1-p_eps_a*p_rho_a^(B224-p_dis_year),1)</f>
        <v/>
      </c>
      <c r="G224" s="26">
        <f>INDEX(Calib!$N$1:$N$13,$D224)*(1-p_rent_decline*MIN(1,C224/26))</f>
        <v/>
      </c>
      <c r="H224" s="26">
        <f>IF(C224=0,0,SUMIFS(dl_val,dl_iso,$A224,dl_ind,"pub_cap",dl_year,$B224)/100)</f>
        <v/>
      </c>
      <c r="I224" s="26">
        <f>IF(C224=0,0,SUMIFS(dl_val,dl_iso,$A224,dl_ind,"pub_spend",dl_year,$B224)/100)</f>
        <v/>
      </c>
      <c r="J224" s="26">
        <f>IF(C224=0,0,SUMIFS(dl_val,dl_iso,$A224,dl_ind,"rev",dl_year,$B224)/100)</f>
        <v/>
      </c>
      <c r="K224" s="26">
        <f>(1-p_delta_g)*K223*(1-p_eps_g*$E224)+INDEX(Calib!$E$1:$E$13,$D224)*(INDEX(Calib!$G$1:$G$13,$D224)+0*$H224)</f>
        <v/>
      </c>
      <c r="L224" s="26">
        <f>L223*(1-p_eps_k*$E224)+p_lambda_k*(N224-L223*(1-p_eps_k*$E224))</f>
        <v/>
      </c>
      <c r="M224" s="26">
        <f>INDEX(Calib!$R$1:$R$13,$D224)*$F224*(K223*(1-p_eps_g*$E224))^INDEX(Calib!$Q$1:$Q$13,$D224)*(L223*(1-p_eps_k*$E224))^p_alpha</f>
        <v/>
      </c>
      <c r="N224" s="26">
        <f>p_alpha*(1-INDEX(Calib!$H$1:$H$13,$D224))*M224/(INDEX(Calib!$K$1:$K$13,$D224)+p_delta)</f>
        <v/>
      </c>
      <c r="O224" s="26">
        <f>M224+$G224</f>
        <v/>
      </c>
      <c r="P224" s="26">
        <f>0*($H224+$I224)</f>
        <v/>
      </c>
      <c r="Q224" s="26">
        <f>INDEX(Calib!$I$1:$I$13,$D224)+p_sh_grant*P224</f>
        <v/>
      </c>
      <c r="R224" s="26">
        <f>INDEX(Calib!$H$1:$H$13,$D224)*M224+p_gov_take*$G224+Q224+0*p_pricing*$J224</f>
        <v/>
      </c>
      <c r="S224" s="26">
        <f>INDEX(Calib!$Y$1:$Y$13,$D224)-INDEX(Calib!$Z$1:$Z$13,$D224)*(V223/O223-INDEX(Calib!$AA$1:$AA$13,$D224))</f>
        <v/>
      </c>
      <c r="T224" s="26">
        <f>INDEX(Calib!$X$1:$X$13,$D224)+INDEX(Calib!$G$1:$G$13,$D224)+P224+S224-R224</f>
        <v/>
      </c>
      <c r="U224" s="26">
        <f>p_rk*W223+Y223*(V223-W223)</f>
        <v/>
      </c>
      <c r="V224" s="26">
        <f>V223+U224+T224</f>
        <v/>
      </c>
      <c r="W224" s="26">
        <f>INDEX(Calib!$U$1:$U$13,$D224)+(W223-INDEX(Calib!$U$1:$U$13,$D224))*(1-p_amort)+p_sh_conc*P224</f>
        <v/>
      </c>
      <c r="X224" s="26">
        <f>V224/O224</f>
        <v/>
      </c>
      <c r="Y224" s="26">
        <f>INDEX(Calib!$K$1:$K$13,$D224)+p_eta*MAX(0,X224-INDEX(Calib!$AA$1:$AA$13,$D224))</f>
        <v/>
      </c>
      <c r="Z224" s="26">
        <f>(1-INDEX(Calib!$H$1:$H$13,$D224))*(1-p_alpha)*M224+S224</f>
        <v/>
      </c>
      <c r="AA224" s="26">
        <f>(1-p_delta_g)*AA223*(1-p_eps_g*$E224)+INDEX(Calib!$E$1:$E$13,$D224)*(INDEX(Calib!$G$1:$G$13,$D224)+p_programme*$H224)</f>
        <v/>
      </c>
      <c r="AB224" s="26">
        <f>AB223*(1-p_eps_k*$E224)+p_lambda_k*(AD224-AB223*(1-p_eps_k*$E224))</f>
        <v/>
      </c>
      <c r="AC224" s="26">
        <f>INDEX(Calib!$R$1:$R$13,$D224)*$F224*(AA223*(1-p_eps_g*$E224))^INDEX(Calib!$Q$1:$Q$13,$D224)*(AB223*(1-p_eps_k*$E224))^p_alpha</f>
        <v/>
      </c>
      <c r="AD224" s="26">
        <f>p_alpha*(1-INDEX(Calib!$H$1:$H$13,$D224))*AC224/(INDEX(Calib!$K$1:$K$13,$D224)+p_delta)</f>
        <v/>
      </c>
      <c r="AE224" s="26">
        <f>AC224+$G224</f>
        <v/>
      </c>
      <c r="AF224" s="26">
        <f>p_programme*($H224+$I224)</f>
        <v/>
      </c>
      <c r="AG224" s="26">
        <f>INDEX(Calib!$I$1:$I$13,$D224)+p_sh_grant*AF224</f>
        <v/>
      </c>
      <c r="AH224" s="26">
        <f>INDEX(Calib!$H$1:$H$13,$D224)*AC224+p_gov_take*$G224+AG224+p_programme*p_pricing*$J224</f>
        <v/>
      </c>
      <c r="AI224" s="26">
        <f>INDEX(Calib!$Y$1:$Y$13,$D224)-INDEX(Calib!$Z$1:$Z$13,$D224)*(AL223/AE223-INDEX(Calib!$AA$1:$AA$13,$D224))</f>
        <v/>
      </c>
      <c r="AJ224" s="26">
        <f>INDEX(Calib!$X$1:$X$13,$D224)+INDEX(Calib!$G$1:$G$13,$D224)+AF224+AI224-AH224</f>
        <v/>
      </c>
      <c r="AK224" s="26">
        <f>p_rk*AM223+AO223*(AL223-AM223)</f>
        <v/>
      </c>
      <c r="AL224" s="26">
        <f>AL223+AK224+AJ224</f>
        <v/>
      </c>
      <c r="AM224" s="26">
        <f>INDEX(Calib!$U$1:$U$13,$D224)+(AM223-INDEX(Calib!$U$1:$U$13,$D224))*(1-p_amort)+p_sh_conc*AF224</f>
        <v/>
      </c>
      <c r="AN224" s="26">
        <f>AL224/AE224</f>
        <v/>
      </c>
      <c r="AO224" s="26">
        <f>INDEX(Calib!$K$1:$K$13,$D224)+p_eta*MAX(0,AN224-INDEX(Calib!$AA$1:$AA$13,$D224))</f>
        <v/>
      </c>
      <c r="AP224" s="26">
        <f>(1-INDEX(Calib!$H$1:$H$13,$D224))*(1-p_alpha)*AC224+AI224</f>
        <v/>
      </c>
      <c r="AQ224" s="26">
        <f>(AE224/O224-1)*100</f>
        <v/>
      </c>
      <c r="AR224" s="26">
        <f>(AE224/AE218-1)*100</f>
        <v/>
      </c>
      <c r="AS224" s="26">
        <f>(O224/O218-1)*100</f>
        <v/>
      </c>
      <c r="AT224" s="26">
        <f>(AN224-X224)*100</f>
        <v/>
      </c>
      <c r="AU224" s="26">
        <f>(AP224/Z224-1)*100</f>
        <v/>
      </c>
      <c r="AV224" s="26">
        <f>(AI224-S224)*100</f>
        <v/>
      </c>
    </row>
    <row r="225">
      <c r="A225" s="25" t="inlineStr">
        <is>
          <t>SEN</t>
        </is>
      </c>
      <c r="B225" s="25" t="n">
        <v>2031</v>
      </c>
      <c r="C225" s="25" t="n">
        <v>7</v>
      </c>
      <c r="D225" s="25" t="n">
        <v>10</v>
      </c>
      <c r="E225" s="25">
        <f>IF(AND(p_dis_year&gt;0,B225=p_dis_year),1,0)</f>
        <v/>
      </c>
      <c r="F225" s="26">
        <f>IF(AND(p_dis_year&gt;0,B225&gt;=p_dis_year),1-p_eps_a*p_rho_a^(B225-p_dis_year),1)</f>
        <v/>
      </c>
      <c r="G225" s="26">
        <f>INDEX(Calib!$N$1:$N$13,$D225)*(1-p_rent_decline*MIN(1,C225/26))</f>
        <v/>
      </c>
      <c r="H225" s="26">
        <f>IF(C225=0,0,SUMIFS(dl_val,dl_iso,$A225,dl_ind,"pub_cap",dl_year,$B225)/100)</f>
        <v/>
      </c>
      <c r="I225" s="26">
        <f>IF(C225=0,0,SUMIFS(dl_val,dl_iso,$A225,dl_ind,"pub_spend",dl_year,$B225)/100)</f>
        <v/>
      </c>
      <c r="J225" s="26">
        <f>IF(C225=0,0,SUMIFS(dl_val,dl_iso,$A225,dl_ind,"rev",dl_year,$B225)/100)</f>
        <v/>
      </c>
      <c r="K225" s="26">
        <f>(1-p_delta_g)*K224*(1-p_eps_g*$E225)+INDEX(Calib!$E$1:$E$13,$D225)*(INDEX(Calib!$G$1:$G$13,$D225)+0*$H225)</f>
        <v/>
      </c>
      <c r="L225" s="26">
        <f>L224*(1-p_eps_k*$E225)+p_lambda_k*(N225-L224*(1-p_eps_k*$E225))</f>
        <v/>
      </c>
      <c r="M225" s="26">
        <f>INDEX(Calib!$R$1:$R$13,$D225)*$F225*(K224*(1-p_eps_g*$E225))^INDEX(Calib!$Q$1:$Q$13,$D225)*(L224*(1-p_eps_k*$E225))^p_alpha</f>
        <v/>
      </c>
      <c r="N225" s="26">
        <f>p_alpha*(1-INDEX(Calib!$H$1:$H$13,$D225))*M225/(INDEX(Calib!$K$1:$K$13,$D225)+p_delta)</f>
        <v/>
      </c>
      <c r="O225" s="26">
        <f>M225+$G225</f>
        <v/>
      </c>
      <c r="P225" s="26">
        <f>0*($H225+$I225)</f>
        <v/>
      </c>
      <c r="Q225" s="26">
        <f>INDEX(Calib!$I$1:$I$13,$D225)+p_sh_grant*P225</f>
        <v/>
      </c>
      <c r="R225" s="26">
        <f>INDEX(Calib!$H$1:$H$13,$D225)*M225+p_gov_take*$G225+Q225+0*p_pricing*$J225</f>
        <v/>
      </c>
      <c r="S225" s="26">
        <f>INDEX(Calib!$Y$1:$Y$13,$D225)-INDEX(Calib!$Z$1:$Z$13,$D225)*(V224/O224-INDEX(Calib!$AA$1:$AA$13,$D225))</f>
        <v/>
      </c>
      <c r="T225" s="26">
        <f>INDEX(Calib!$X$1:$X$13,$D225)+INDEX(Calib!$G$1:$G$13,$D225)+P225+S225-R225</f>
        <v/>
      </c>
      <c r="U225" s="26">
        <f>p_rk*W224+Y224*(V224-W224)</f>
        <v/>
      </c>
      <c r="V225" s="26">
        <f>V224+U225+T225</f>
        <v/>
      </c>
      <c r="W225" s="26">
        <f>INDEX(Calib!$U$1:$U$13,$D225)+(W224-INDEX(Calib!$U$1:$U$13,$D225))*(1-p_amort)+p_sh_conc*P225</f>
        <v/>
      </c>
      <c r="X225" s="26">
        <f>V225/O225</f>
        <v/>
      </c>
      <c r="Y225" s="26">
        <f>INDEX(Calib!$K$1:$K$13,$D225)+p_eta*MAX(0,X225-INDEX(Calib!$AA$1:$AA$13,$D225))</f>
        <v/>
      </c>
      <c r="Z225" s="26">
        <f>(1-INDEX(Calib!$H$1:$H$13,$D225))*(1-p_alpha)*M225+S225</f>
        <v/>
      </c>
      <c r="AA225" s="26">
        <f>(1-p_delta_g)*AA224*(1-p_eps_g*$E225)+INDEX(Calib!$E$1:$E$13,$D225)*(INDEX(Calib!$G$1:$G$13,$D225)+p_programme*$H225)</f>
        <v/>
      </c>
      <c r="AB225" s="26">
        <f>AB224*(1-p_eps_k*$E225)+p_lambda_k*(AD225-AB224*(1-p_eps_k*$E225))</f>
        <v/>
      </c>
      <c r="AC225" s="26">
        <f>INDEX(Calib!$R$1:$R$13,$D225)*$F225*(AA224*(1-p_eps_g*$E225))^INDEX(Calib!$Q$1:$Q$13,$D225)*(AB224*(1-p_eps_k*$E225))^p_alpha</f>
        <v/>
      </c>
      <c r="AD225" s="26">
        <f>p_alpha*(1-INDEX(Calib!$H$1:$H$13,$D225))*AC225/(INDEX(Calib!$K$1:$K$13,$D225)+p_delta)</f>
        <v/>
      </c>
      <c r="AE225" s="26">
        <f>AC225+$G225</f>
        <v/>
      </c>
      <c r="AF225" s="26">
        <f>p_programme*($H225+$I225)</f>
        <v/>
      </c>
      <c r="AG225" s="26">
        <f>INDEX(Calib!$I$1:$I$13,$D225)+p_sh_grant*AF225</f>
        <v/>
      </c>
      <c r="AH225" s="26">
        <f>INDEX(Calib!$H$1:$H$13,$D225)*AC225+p_gov_take*$G225+AG225+p_programme*p_pricing*$J225</f>
        <v/>
      </c>
      <c r="AI225" s="26">
        <f>INDEX(Calib!$Y$1:$Y$13,$D225)-INDEX(Calib!$Z$1:$Z$13,$D225)*(AL224/AE224-INDEX(Calib!$AA$1:$AA$13,$D225))</f>
        <v/>
      </c>
      <c r="AJ225" s="26">
        <f>INDEX(Calib!$X$1:$X$13,$D225)+INDEX(Calib!$G$1:$G$13,$D225)+AF225+AI225-AH225</f>
        <v/>
      </c>
      <c r="AK225" s="26">
        <f>p_rk*AM224+AO224*(AL224-AM224)</f>
        <v/>
      </c>
      <c r="AL225" s="26">
        <f>AL224+AK225+AJ225</f>
        <v/>
      </c>
      <c r="AM225" s="26">
        <f>INDEX(Calib!$U$1:$U$13,$D225)+(AM224-INDEX(Calib!$U$1:$U$13,$D225))*(1-p_amort)+p_sh_conc*AF225</f>
        <v/>
      </c>
      <c r="AN225" s="26">
        <f>AL225/AE225</f>
        <v/>
      </c>
      <c r="AO225" s="26">
        <f>INDEX(Calib!$K$1:$K$13,$D225)+p_eta*MAX(0,AN225-INDEX(Calib!$AA$1:$AA$13,$D225))</f>
        <v/>
      </c>
      <c r="AP225" s="26">
        <f>(1-INDEX(Calib!$H$1:$H$13,$D225))*(1-p_alpha)*AC225+AI225</f>
        <v/>
      </c>
      <c r="AQ225" s="26">
        <f>(AE225/O225-1)*100</f>
        <v/>
      </c>
      <c r="AR225" s="26">
        <f>(AE225/AE218-1)*100</f>
        <v/>
      </c>
      <c r="AS225" s="26">
        <f>(O225/O218-1)*100</f>
        <v/>
      </c>
      <c r="AT225" s="26">
        <f>(AN225-X225)*100</f>
        <v/>
      </c>
      <c r="AU225" s="26">
        <f>(AP225/Z225-1)*100</f>
        <v/>
      </c>
      <c r="AV225" s="26">
        <f>(AI225-S225)*100</f>
        <v/>
      </c>
    </row>
    <row r="226">
      <c r="A226" s="25" t="inlineStr">
        <is>
          <t>SEN</t>
        </is>
      </c>
      <c r="B226" s="25" t="n">
        <v>2032</v>
      </c>
      <c r="C226" s="25" t="n">
        <v>8</v>
      </c>
      <c r="D226" s="25" t="n">
        <v>10</v>
      </c>
      <c r="E226" s="25">
        <f>IF(AND(p_dis_year&gt;0,B226=p_dis_year),1,0)</f>
        <v/>
      </c>
      <c r="F226" s="26">
        <f>IF(AND(p_dis_year&gt;0,B226&gt;=p_dis_year),1-p_eps_a*p_rho_a^(B226-p_dis_year),1)</f>
        <v/>
      </c>
      <c r="G226" s="26">
        <f>INDEX(Calib!$N$1:$N$13,$D226)*(1-p_rent_decline*MIN(1,C226/26))</f>
        <v/>
      </c>
      <c r="H226" s="26">
        <f>IF(C226=0,0,SUMIFS(dl_val,dl_iso,$A226,dl_ind,"pub_cap",dl_year,$B226)/100)</f>
        <v/>
      </c>
      <c r="I226" s="26">
        <f>IF(C226=0,0,SUMIFS(dl_val,dl_iso,$A226,dl_ind,"pub_spend",dl_year,$B226)/100)</f>
        <v/>
      </c>
      <c r="J226" s="26">
        <f>IF(C226=0,0,SUMIFS(dl_val,dl_iso,$A226,dl_ind,"rev",dl_year,$B226)/100)</f>
        <v/>
      </c>
      <c r="K226" s="26">
        <f>(1-p_delta_g)*K225*(1-p_eps_g*$E226)+INDEX(Calib!$E$1:$E$13,$D226)*(INDEX(Calib!$G$1:$G$13,$D226)+0*$H226)</f>
        <v/>
      </c>
      <c r="L226" s="26">
        <f>L225*(1-p_eps_k*$E226)+p_lambda_k*(N226-L225*(1-p_eps_k*$E226))</f>
        <v/>
      </c>
      <c r="M226" s="26">
        <f>INDEX(Calib!$R$1:$R$13,$D226)*$F226*(K225*(1-p_eps_g*$E226))^INDEX(Calib!$Q$1:$Q$13,$D226)*(L225*(1-p_eps_k*$E226))^p_alpha</f>
        <v/>
      </c>
      <c r="N226" s="26">
        <f>p_alpha*(1-INDEX(Calib!$H$1:$H$13,$D226))*M226/(INDEX(Calib!$K$1:$K$13,$D226)+p_delta)</f>
        <v/>
      </c>
      <c r="O226" s="26">
        <f>M226+$G226</f>
        <v/>
      </c>
      <c r="P226" s="26">
        <f>0*($H226+$I226)</f>
        <v/>
      </c>
      <c r="Q226" s="26">
        <f>INDEX(Calib!$I$1:$I$13,$D226)+p_sh_grant*P226</f>
        <v/>
      </c>
      <c r="R226" s="26">
        <f>INDEX(Calib!$H$1:$H$13,$D226)*M226+p_gov_take*$G226+Q226+0*p_pricing*$J226</f>
        <v/>
      </c>
      <c r="S226" s="26">
        <f>INDEX(Calib!$Y$1:$Y$13,$D226)-INDEX(Calib!$Z$1:$Z$13,$D226)*(V225/O225-INDEX(Calib!$AA$1:$AA$13,$D226))</f>
        <v/>
      </c>
      <c r="T226" s="26">
        <f>INDEX(Calib!$X$1:$X$13,$D226)+INDEX(Calib!$G$1:$G$13,$D226)+P226+S226-R226</f>
        <v/>
      </c>
      <c r="U226" s="26">
        <f>p_rk*W225+Y225*(V225-W225)</f>
        <v/>
      </c>
      <c r="V226" s="26">
        <f>V225+U226+T226</f>
        <v/>
      </c>
      <c r="W226" s="26">
        <f>INDEX(Calib!$U$1:$U$13,$D226)+(W225-INDEX(Calib!$U$1:$U$13,$D226))*(1-p_amort)+p_sh_conc*P226</f>
        <v/>
      </c>
      <c r="X226" s="26">
        <f>V226/O226</f>
        <v/>
      </c>
      <c r="Y226" s="26">
        <f>INDEX(Calib!$K$1:$K$13,$D226)+p_eta*MAX(0,X226-INDEX(Calib!$AA$1:$AA$13,$D226))</f>
        <v/>
      </c>
      <c r="Z226" s="26">
        <f>(1-INDEX(Calib!$H$1:$H$13,$D226))*(1-p_alpha)*M226+S226</f>
        <v/>
      </c>
      <c r="AA226" s="26">
        <f>(1-p_delta_g)*AA225*(1-p_eps_g*$E226)+INDEX(Calib!$E$1:$E$13,$D226)*(INDEX(Calib!$G$1:$G$13,$D226)+p_programme*$H226)</f>
        <v/>
      </c>
      <c r="AB226" s="26">
        <f>AB225*(1-p_eps_k*$E226)+p_lambda_k*(AD226-AB225*(1-p_eps_k*$E226))</f>
        <v/>
      </c>
      <c r="AC226" s="26">
        <f>INDEX(Calib!$R$1:$R$13,$D226)*$F226*(AA225*(1-p_eps_g*$E226))^INDEX(Calib!$Q$1:$Q$13,$D226)*(AB225*(1-p_eps_k*$E226))^p_alpha</f>
        <v/>
      </c>
      <c r="AD226" s="26">
        <f>p_alpha*(1-INDEX(Calib!$H$1:$H$13,$D226))*AC226/(INDEX(Calib!$K$1:$K$13,$D226)+p_delta)</f>
        <v/>
      </c>
      <c r="AE226" s="26">
        <f>AC226+$G226</f>
        <v/>
      </c>
      <c r="AF226" s="26">
        <f>p_programme*($H226+$I226)</f>
        <v/>
      </c>
      <c r="AG226" s="26">
        <f>INDEX(Calib!$I$1:$I$13,$D226)+p_sh_grant*AF226</f>
        <v/>
      </c>
      <c r="AH226" s="26">
        <f>INDEX(Calib!$H$1:$H$13,$D226)*AC226+p_gov_take*$G226+AG226+p_programme*p_pricing*$J226</f>
        <v/>
      </c>
      <c r="AI226" s="26">
        <f>INDEX(Calib!$Y$1:$Y$13,$D226)-INDEX(Calib!$Z$1:$Z$13,$D226)*(AL225/AE225-INDEX(Calib!$AA$1:$AA$13,$D226))</f>
        <v/>
      </c>
      <c r="AJ226" s="26">
        <f>INDEX(Calib!$X$1:$X$13,$D226)+INDEX(Calib!$G$1:$G$13,$D226)+AF226+AI226-AH226</f>
        <v/>
      </c>
      <c r="AK226" s="26">
        <f>p_rk*AM225+AO225*(AL225-AM225)</f>
        <v/>
      </c>
      <c r="AL226" s="26">
        <f>AL225+AK226+AJ226</f>
        <v/>
      </c>
      <c r="AM226" s="26">
        <f>INDEX(Calib!$U$1:$U$13,$D226)+(AM225-INDEX(Calib!$U$1:$U$13,$D226))*(1-p_amort)+p_sh_conc*AF226</f>
        <v/>
      </c>
      <c r="AN226" s="26">
        <f>AL226/AE226</f>
        <v/>
      </c>
      <c r="AO226" s="26">
        <f>INDEX(Calib!$K$1:$K$13,$D226)+p_eta*MAX(0,AN226-INDEX(Calib!$AA$1:$AA$13,$D226))</f>
        <v/>
      </c>
      <c r="AP226" s="26">
        <f>(1-INDEX(Calib!$H$1:$H$13,$D226))*(1-p_alpha)*AC226+AI226</f>
        <v/>
      </c>
      <c r="AQ226" s="26">
        <f>(AE226/O226-1)*100</f>
        <v/>
      </c>
      <c r="AR226" s="26">
        <f>(AE226/AE218-1)*100</f>
        <v/>
      </c>
      <c r="AS226" s="26">
        <f>(O226/O218-1)*100</f>
        <v/>
      </c>
      <c r="AT226" s="26">
        <f>(AN226-X226)*100</f>
        <v/>
      </c>
      <c r="AU226" s="26">
        <f>(AP226/Z226-1)*100</f>
        <v/>
      </c>
      <c r="AV226" s="26">
        <f>(AI226-S226)*100</f>
        <v/>
      </c>
    </row>
    <row r="227">
      <c r="A227" s="25" t="inlineStr">
        <is>
          <t>SEN</t>
        </is>
      </c>
      <c r="B227" s="25" t="n">
        <v>2033</v>
      </c>
      <c r="C227" s="25" t="n">
        <v>9</v>
      </c>
      <c r="D227" s="25" t="n">
        <v>10</v>
      </c>
      <c r="E227" s="25">
        <f>IF(AND(p_dis_year&gt;0,B227=p_dis_year),1,0)</f>
        <v/>
      </c>
      <c r="F227" s="26">
        <f>IF(AND(p_dis_year&gt;0,B227&gt;=p_dis_year),1-p_eps_a*p_rho_a^(B227-p_dis_year),1)</f>
        <v/>
      </c>
      <c r="G227" s="26">
        <f>INDEX(Calib!$N$1:$N$13,$D227)*(1-p_rent_decline*MIN(1,C227/26))</f>
        <v/>
      </c>
      <c r="H227" s="26">
        <f>IF(C227=0,0,SUMIFS(dl_val,dl_iso,$A227,dl_ind,"pub_cap",dl_year,$B227)/100)</f>
        <v/>
      </c>
      <c r="I227" s="26">
        <f>IF(C227=0,0,SUMIFS(dl_val,dl_iso,$A227,dl_ind,"pub_spend",dl_year,$B227)/100)</f>
        <v/>
      </c>
      <c r="J227" s="26">
        <f>IF(C227=0,0,SUMIFS(dl_val,dl_iso,$A227,dl_ind,"rev",dl_year,$B227)/100)</f>
        <v/>
      </c>
      <c r="K227" s="26">
        <f>(1-p_delta_g)*K226*(1-p_eps_g*$E227)+INDEX(Calib!$E$1:$E$13,$D227)*(INDEX(Calib!$G$1:$G$13,$D227)+0*$H227)</f>
        <v/>
      </c>
      <c r="L227" s="26">
        <f>L226*(1-p_eps_k*$E227)+p_lambda_k*(N227-L226*(1-p_eps_k*$E227))</f>
        <v/>
      </c>
      <c r="M227" s="26">
        <f>INDEX(Calib!$R$1:$R$13,$D227)*$F227*(K226*(1-p_eps_g*$E227))^INDEX(Calib!$Q$1:$Q$13,$D227)*(L226*(1-p_eps_k*$E227))^p_alpha</f>
        <v/>
      </c>
      <c r="N227" s="26">
        <f>p_alpha*(1-INDEX(Calib!$H$1:$H$13,$D227))*M227/(INDEX(Calib!$K$1:$K$13,$D227)+p_delta)</f>
        <v/>
      </c>
      <c r="O227" s="26">
        <f>M227+$G227</f>
        <v/>
      </c>
      <c r="P227" s="26">
        <f>0*($H227+$I227)</f>
        <v/>
      </c>
      <c r="Q227" s="26">
        <f>INDEX(Calib!$I$1:$I$13,$D227)+p_sh_grant*P227</f>
        <v/>
      </c>
      <c r="R227" s="26">
        <f>INDEX(Calib!$H$1:$H$13,$D227)*M227+p_gov_take*$G227+Q227+0*p_pricing*$J227</f>
        <v/>
      </c>
      <c r="S227" s="26">
        <f>INDEX(Calib!$Y$1:$Y$13,$D227)-INDEX(Calib!$Z$1:$Z$13,$D227)*(V226/O226-INDEX(Calib!$AA$1:$AA$13,$D227))</f>
        <v/>
      </c>
      <c r="T227" s="26">
        <f>INDEX(Calib!$X$1:$X$13,$D227)+INDEX(Calib!$G$1:$G$13,$D227)+P227+S227-R227</f>
        <v/>
      </c>
      <c r="U227" s="26">
        <f>p_rk*W226+Y226*(V226-W226)</f>
        <v/>
      </c>
      <c r="V227" s="26">
        <f>V226+U227+T227</f>
        <v/>
      </c>
      <c r="W227" s="26">
        <f>INDEX(Calib!$U$1:$U$13,$D227)+(W226-INDEX(Calib!$U$1:$U$13,$D227))*(1-p_amort)+p_sh_conc*P227</f>
        <v/>
      </c>
      <c r="X227" s="26">
        <f>V227/O227</f>
        <v/>
      </c>
      <c r="Y227" s="26">
        <f>INDEX(Calib!$K$1:$K$13,$D227)+p_eta*MAX(0,X227-INDEX(Calib!$AA$1:$AA$13,$D227))</f>
        <v/>
      </c>
      <c r="Z227" s="26">
        <f>(1-INDEX(Calib!$H$1:$H$13,$D227))*(1-p_alpha)*M227+S227</f>
        <v/>
      </c>
      <c r="AA227" s="26">
        <f>(1-p_delta_g)*AA226*(1-p_eps_g*$E227)+INDEX(Calib!$E$1:$E$13,$D227)*(INDEX(Calib!$G$1:$G$13,$D227)+p_programme*$H227)</f>
        <v/>
      </c>
      <c r="AB227" s="26">
        <f>AB226*(1-p_eps_k*$E227)+p_lambda_k*(AD227-AB226*(1-p_eps_k*$E227))</f>
        <v/>
      </c>
      <c r="AC227" s="26">
        <f>INDEX(Calib!$R$1:$R$13,$D227)*$F227*(AA226*(1-p_eps_g*$E227))^INDEX(Calib!$Q$1:$Q$13,$D227)*(AB226*(1-p_eps_k*$E227))^p_alpha</f>
        <v/>
      </c>
      <c r="AD227" s="26">
        <f>p_alpha*(1-INDEX(Calib!$H$1:$H$13,$D227))*AC227/(INDEX(Calib!$K$1:$K$13,$D227)+p_delta)</f>
        <v/>
      </c>
      <c r="AE227" s="26">
        <f>AC227+$G227</f>
        <v/>
      </c>
      <c r="AF227" s="26">
        <f>p_programme*($H227+$I227)</f>
        <v/>
      </c>
      <c r="AG227" s="26">
        <f>INDEX(Calib!$I$1:$I$13,$D227)+p_sh_grant*AF227</f>
        <v/>
      </c>
      <c r="AH227" s="26">
        <f>INDEX(Calib!$H$1:$H$13,$D227)*AC227+p_gov_take*$G227+AG227+p_programme*p_pricing*$J227</f>
        <v/>
      </c>
      <c r="AI227" s="26">
        <f>INDEX(Calib!$Y$1:$Y$13,$D227)-INDEX(Calib!$Z$1:$Z$13,$D227)*(AL226/AE226-INDEX(Calib!$AA$1:$AA$13,$D227))</f>
        <v/>
      </c>
      <c r="AJ227" s="26">
        <f>INDEX(Calib!$X$1:$X$13,$D227)+INDEX(Calib!$G$1:$G$13,$D227)+AF227+AI227-AH227</f>
        <v/>
      </c>
      <c r="AK227" s="26">
        <f>p_rk*AM226+AO226*(AL226-AM226)</f>
        <v/>
      </c>
      <c r="AL227" s="26">
        <f>AL226+AK227+AJ227</f>
        <v/>
      </c>
      <c r="AM227" s="26">
        <f>INDEX(Calib!$U$1:$U$13,$D227)+(AM226-INDEX(Calib!$U$1:$U$13,$D227))*(1-p_amort)+p_sh_conc*AF227</f>
        <v/>
      </c>
      <c r="AN227" s="26">
        <f>AL227/AE227</f>
        <v/>
      </c>
      <c r="AO227" s="26">
        <f>INDEX(Calib!$K$1:$K$13,$D227)+p_eta*MAX(0,AN227-INDEX(Calib!$AA$1:$AA$13,$D227))</f>
        <v/>
      </c>
      <c r="AP227" s="26">
        <f>(1-INDEX(Calib!$H$1:$H$13,$D227))*(1-p_alpha)*AC227+AI227</f>
        <v/>
      </c>
      <c r="AQ227" s="26">
        <f>(AE227/O227-1)*100</f>
        <v/>
      </c>
      <c r="AR227" s="26">
        <f>(AE227/AE218-1)*100</f>
        <v/>
      </c>
      <c r="AS227" s="26">
        <f>(O227/O218-1)*100</f>
        <v/>
      </c>
      <c r="AT227" s="26">
        <f>(AN227-X227)*100</f>
        <v/>
      </c>
      <c r="AU227" s="26">
        <f>(AP227/Z227-1)*100</f>
        <v/>
      </c>
      <c r="AV227" s="26">
        <f>(AI227-S227)*100</f>
        <v/>
      </c>
    </row>
    <row r="228">
      <c r="A228" s="25" t="inlineStr">
        <is>
          <t>SEN</t>
        </is>
      </c>
      <c r="B228" s="25" t="n">
        <v>2034</v>
      </c>
      <c r="C228" s="25" t="n">
        <v>10</v>
      </c>
      <c r="D228" s="25" t="n">
        <v>10</v>
      </c>
      <c r="E228" s="25">
        <f>IF(AND(p_dis_year&gt;0,B228=p_dis_year),1,0)</f>
        <v/>
      </c>
      <c r="F228" s="26">
        <f>IF(AND(p_dis_year&gt;0,B228&gt;=p_dis_year),1-p_eps_a*p_rho_a^(B228-p_dis_year),1)</f>
        <v/>
      </c>
      <c r="G228" s="26">
        <f>INDEX(Calib!$N$1:$N$13,$D228)*(1-p_rent_decline*MIN(1,C228/26))</f>
        <v/>
      </c>
      <c r="H228" s="26">
        <f>IF(C228=0,0,SUMIFS(dl_val,dl_iso,$A228,dl_ind,"pub_cap",dl_year,$B228)/100)</f>
        <v/>
      </c>
      <c r="I228" s="26">
        <f>IF(C228=0,0,SUMIFS(dl_val,dl_iso,$A228,dl_ind,"pub_spend",dl_year,$B228)/100)</f>
        <v/>
      </c>
      <c r="J228" s="26">
        <f>IF(C228=0,0,SUMIFS(dl_val,dl_iso,$A228,dl_ind,"rev",dl_year,$B228)/100)</f>
        <v/>
      </c>
      <c r="K228" s="26">
        <f>(1-p_delta_g)*K227*(1-p_eps_g*$E228)+INDEX(Calib!$E$1:$E$13,$D228)*(INDEX(Calib!$G$1:$G$13,$D228)+0*$H228)</f>
        <v/>
      </c>
      <c r="L228" s="26">
        <f>L227*(1-p_eps_k*$E228)+p_lambda_k*(N228-L227*(1-p_eps_k*$E228))</f>
        <v/>
      </c>
      <c r="M228" s="26">
        <f>INDEX(Calib!$R$1:$R$13,$D228)*$F228*(K227*(1-p_eps_g*$E228))^INDEX(Calib!$Q$1:$Q$13,$D228)*(L227*(1-p_eps_k*$E228))^p_alpha</f>
        <v/>
      </c>
      <c r="N228" s="26">
        <f>p_alpha*(1-INDEX(Calib!$H$1:$H$13,$D228))*M228/(INDEX(Calib!$K$1:$K$13,$D228)+p_delta)</f>
        <v/>
      </c>
      <c r="O228" s="26">
        <f>M228+$G228</f>
        <v/>
      </c>
      <c r="P228" s="26">
        <f>0*($H228+$I228)</f>
        <v/>
      </c>
      <c r="Q228" s="26">
        <f>INDEX(Calib!$I$1:$I$13,$D228)+p_sh_grant*P228</f>
        <v/>
      </c>
      <c r="R228" s="26">
        <f>INDEX(Calib!$H$1:$H$13,$D228)*M228+p_gov_take*$G228+Q228+0*p_pricing*$J228</f>
        <v/>
      </c>
      <c r="S228" s="26">
        <f>INDEX(Calib!$Y$1:$Y$13,$D228)-INDEX(Calib!$Z$1:$Z$13,$D228)*(V227/O227-INDEX(Calib!$AA$1:$AA$13,$D228))</f>
        <v/>
      </c>
      <c r="T228" s="26">
        <f>INDEX(Calib!$X$1:$X$13,$D228)+INDEX(Calib!$G$1:$G$13,$D228)+P228+S228-R228</f>
        <v/>
      </c>
      <c r="U228" s="26">
        <f>p_rk*W227+Y227*(V227-W227)</f>
        <v/>
      </c>
      <c r="V228" s="26">
        <f>V227+U228+T228</f>
        <v/>
      </c>
      <c r="W228" s="26">
        <f>INDEX(Calib!$U$1:$U$13,$D228)+(W227-INDEX(Calib!$U$1:$U$13,$D228))*(1-p_amort)+p_sh_conc*P228</f>
        <v/>
      </c>
      <c r="X228" s="26">
        <f>V228/O228</f>
        <v/>
      </c>
      <c r="Y228" s="26">
        <f>INDEX(Calib!$K$1:$K$13,$D228)+p_eta*MAX(0,X228-INDEX(Calib!$AA$1:$AA$13,$D228))</f>
        <v/>
      </c>
      <c r="Z228" s="26">
        <f>(1-INDEX(Calib!$H$1:$H$13,$D228))*(1-p_alpha)*M228+S228</f>
        <v/>
      </c>
      <c r="AA228" s="26">
        <f>(1-p_delta_g)*AA227*(1-p_eps_g*$E228)+INDEX(Calib!$E$1:$E$13,$D228)*(INDEX(Calib!$G$1:$G$13,$D228)+p_programme*$H228)</f>
        <v/>
      </c>
      <c r="AB228" s="26">
        <f>AB227*(1-p_eps_k*$E228)+p_lambda_k*(AD228-AB227*(1-p_eps_k*$E228))</f>
        <v/>
      </c>
      <c r="AC228" s="26">
        <f>INDEX(Calib!$R$1:$R$13,$D228)*$F228*(AA227*(1-p_eps_g*$E228))^INDEX(Calib!$Q$1:$Q$13,$D228)*(AB227*(1-p_eps_k*$E228))^p_alpha</f>
        <v/>
      </c>
      <c r="AD228" s="26">
        <f>p_alpha*(1-INDEX(Calib!$H$1:$H$13,$D228))*AC228/(INDEX(Calib!$K$1:$K$13,$D228)+p_delta)</f>
        <v/>
      </c>
      <c r="AE228" s="26">
        <f>AC228+$G228</f>
        <v/>
      </c>
      <c r="AF228" s="26">
        <f>p_programme*($H228+$I228)</f>
        <v/>
      </c>
      <c r="AG228" s="26">
        <f>INDEX(Calib!$I$1:$I$13,$D228)+p_sh_grant*AF228</f>
        <v/>
      </c>
      <c r="AH228" s="26">
        <f>INDEX(Calib!$H$1:$H$13,$D228)*AC228+p_gov_take*$G228+AG228+p_programme*p_pricing*$J228</f>
        <v/>
      </c>
      <c r="AI228" s="26">
        <f>INDEX(Calib!$Y$1:$Y$13,$D228)-INDEX(Calib!$Z$1:$Z$13,$D228)*(AL227/AE227-INDEX(Calib!$AA$1:$AA$13,$D228))</f>
        <v/>
      </c>
      <c r="AJ228" s="26">
        <f>INDEX(Calib!$X$1:$X$13,$D228)+INDEX(Calib!$G$1:$G$13,$D228)+AF228+AI228-AH228</f>
        <v/>
      </c>
      <c r="AK228" s="26">
        <f>p_rk*AM227+AO227*(AL227-AM227)</f>
        <v/>
      </c>
      <c r="AL228" s="26">
        <f>AL227+AK228+AJ228</f>
        <v/>
      </c>
      <c r="AM228" s="26">
        <f>INDEX(Calib!$U$1:$U$13,$D228)+(AM227-INDEX(Calib!$U$1:$U$13,$D228))*(1-p_amort)+p_sh_conc*AF228</f>
        <v/>
      </c>
      <c r="AN228" s="26">
        <f>AL228/AE228</f>
        <v/>
      </c>
      <c r="AO228" s="26">
        <f>INDEX(Calib!$K$1:$K$13,$D228)+p_eta*MAX(0,AN228-INDEX(Calib!$AA$1:$AA$13,$D228))</f>
        <v/>
      </c>
      <c r="AP228" s="26">
        <f>(1-INDEX(Calib!$H$1:$H$13,$D228))*(1-p_alpha)*AC228+AI228</f>
        <v/>
      </c>
      <c r="AQ228" s="26">
        <f>(AE228/O228-1)*100</f>
        <v/>
      </c>
      <c r="AR228" s="26">
        <f>(AE228/AE218-1)*100</f>
        <v/>
      </c>
      <c r="AS228" s="26">
        <f>(O228/O218-1)*100</f>
        <v/>
      </c>
      <c r="AT228" s="26">
        <f>(AN228-X228)*100</f>
        <v/>
      </c>
      <c r="AU228" s="26">
        <f>(AP228/Z228-1)*100</f>
        <v/>
      </c>
      <c r="AV228" s="26">
        <f>(AI228-S228)*100</f>
        <v/>
      </c>
    </row>
    <row r="229">
      <c r="A229" s="25" t="inlineStr">
        <is>
          <t>SEN</t>
        </is>
      </c>
      <c r="B229" s="25" t="n">
        <v>2035</v>
      </c>
      <c r="C229" s="25" t="n">
        <v>11</v>
      </c>
      <c r="D229" s="25" t="n">
        <v>10</v>
      </c>
      <c r="E229" s="25">
        <f>IF(AND(p_dis_year&gt;0,B229=p_dis_year),1,0)</f>
        <v/>
      </c>
      <c r="F229" s="26">
        <f>IF(AND(p_dis_year&gt;0,B229&gt;=p_dis_year),1-p_eps_a*p_rho_a^(B229-p_dis_year),1)</f>
        <v/>
      </c>
      <c r="G229" s="26">
        <f>INDEX(Calib!$N$1:$N$13,$D229)*(1-p_rent_decline*MIN(1,C229/26))</f>
        <v/>
      </c>
      <c r="H229" s="26">
        <f>IF(C229=0,0,SUMIFS(dl_val,dl_iso,$A229,dl_ind,"pub_cap",dl_year,$B229)/100)</f>
        <v/>
      </c>
      <c r="I229" s="26">
        <f>IF(C229=0,0,SUMIFS(dl_val,dl_iso,$A229,dl_ind,"pub_spend",dl_year,$B229)/100)</f>
        <v/>
      </c>
      <c r="J229" s="26">
        <f>IF(C229=0,0,SUMIFS(dl_val,dl_iso,$A229,dl_ind,"rev",dl_year,$B229)/100)</f>
        <v/>
      </c>
      <c r="K229" s="26">
        <f>(1-p_delta_g)*K228*(1-p_eps_g*$E229)+INDEX(Calib!$E$1:$E$13,$D229)*(INDEX(Calib!$G$1:$G$13,$D229)+0*$H229)</f>
        <v/>
      </c>
      <c r="L229" s="26">
        <f>L228*(1-p_eps_k*$E229)+p_lambda_k*(N229-L228*(1-p_eps_k*$E229))</f>
        <v/>
      </c>
      <c r="M229" s="26">
        <f>INDEX(Calib!$R$1:$R$13,$D229)*$F229*(K228*(1-p_eps_g*$E229))^INDEX(Calib!$Q$1:$Q$13,$D229)*(L228*(1-p_eps_k*$E229))^p_alpha</f>
        <v/>
      </c>
      <c r="N229" s="26">
        <f>p_alpha*(1-INDEX(Calib!$H$1:$H$13,$D229))*M229/(INDEX(Calib!$K$1:$K$13,$D229)+p_delta)</f>
        <v/>
      </c>
      <c r="O229" s="26">
        <f>M229+$G229</f>
        <v/>
      </c>
      <c r="P229" s="26">
        <f>0*($H229+$I229)</f>
        <v/>
      </c>
      <c r="Q229" s="26">
        <f>INDEX(Calib!$I$1:$I$13,$D229)+p_sh_grant*P229</f>
        <v/>
      </c>
      <c r="R229" s="26">
        <f>INDEX(Calib!$H$1:$H$13,$D229)*M229+p_gov_take*$G229+Q229+0*p_pricing*$J229</f>
        <v/>
      </c>
      <c r="S229" s="26">
        <f>INDEX(Calib!$Y$1:$Y$13,$D229)-INDEX(Calib!$Z$1:$Z$13,$D229)*(V228/O228-INDEX(Calib!$AA$1:$AA$13,$D229))</f>
        <v/>
      </c>
      <c r="T229" s="26">
        <f>INDEX(Calib!$X$1:$X$13,$D229)+INDEX(Calib!$G$1:$G$13,$D229)+P229+S229-R229</f>
        <v/>
      </c>
      <c r="U229" s="26">
        <f>p_rk*W228+Y228*(V228-W228)</f>
        <v/>
      </c>
      <c r="V229" s="26">
        <f>V228+U229+T229</f>
        <v/>
      </c>
      <c r="W229" s="26">
        <f>INDEX(Calib!$U$1:$U$13,$D229)+(W228-INDEX(Calib!$U$1:$U$13,$D229))*(1-p_amort)+p_sh_conc*P229</f>
        <v/>
      </c>
      <c r="X229" s="26">
        <f>V229/O229</f>
        <v/>
      </c>
      <c r="Y229" s="26">
        <f>INDEX(Calib!$K$1:$K$13,$D229)+p_eta*MAX(0,X229-INDEX(Calib!$AA$1:$AA$13,$D229))</f>
        <v/>
      </c>
      <c r="Z229" s="26">
        <f>(1-INDEX(Calib!$H$1:$H$13,$D229))*(1-p_alpha)*M229+S229</f>
        <v/>
      </c>
      <c r="AA229" s="26">
        <f>(1-p_delta_g)*AA228*(1-p_eps_g*$E229)+INDEX(Calib!$E$1:$E$13,$D229)*(INDEX(Calib!$G$1:$G$13,$D229)+p_programme*$H229)</f>
        <v/>
      </c>
      <c r="AB229" s="26">
        <f>AB228*(1-p_eps_k*$E229)+p_lambda_k*(AD229-AB228*(1-p_eps_k*$E229))</f>
        <v/>
      </c>
      <c r="AC229" s="26">
        <f>INDEX(Calib!$R$1:$R$13,$D229)*$F229*(AA228*(1-p_eps_g*$E229))^INDEX(Calib!$Q$1:$Q$13,$D229)*(AB228*(1-p_eps_k*$E229))^p_alpha</f>
        <v/>
      </c>
      <c r="AD229" s="26">
        <f>p_alpha*(1-INDEX(Calib!$H$1:$H$13,$D229))*AC229/(INDEX(Calib!$K$1:$K$13,$D229)+p_delta)</f>
        <v/>
      </c>
      <c r="AE229" s="26">
        <f>AC229+$G229</f>
        <v/>
      </c>
      <c r="AF229" s="26">
        <f>p_programme*($H229+$I229)</f>
        <v/>
      </c>
      <c r="AG229" s="26">
        <f>INDEX(Calib!$I$1:$I$13,$D229)+p_sh_grant*AF229</f>
        <v/>
      </c>
      <c r="AH229" s="26">
        <f>INDEX(Calib!$H$1:$H$13,$D229)*AC229+p_gov_take*$G229+AG229+p_programme*p_pricing*$J229</f>
        <v/>
      </c>
      <c r="AI229" s="26">
        <f>INDEX(Calib!$Y$1:$Y$13,$D229)-INDEX(Calib!$Z$1:$Z$13,$D229)*(AL228/AE228-INDEX(Calib!$AA$1:$AA$13,$D229))</f>
        <v/>
      </c>
      <c r="AJ229" s="26">
        <f>INDEX(Calib!$X$1:$X$13,$D229)+INDEX(Calib!$G$1:$G$13,$D229)+AF229+AI229-AH229</f>
        <v/>
      </c>
      <c r="AK229" s="26">
        <f>p_rk*AM228+AO228*(AL228-AM228)</f>
        <v/>
      </c>
      <c r="AL229" s="26">
        <f>AL228+AK229+AJ229</f>
        <v/>
      </c>
      <c r="AM229" s="26">
        <f>INDEX(Calib!$U$1:$U$13,$D229)+(AM228-INDEX(Calib!$U$1:$U$13,$D229))*(1-p_amort)+p_sh_conc*AF229</f>
        <v/>
      </c>
      <c r="AN229" s="26">
        <f>AL229/AE229</f>
        <v/>
      </c>
      <c r="AO229" s="26">
        <f>INDEX(Calib!$K$1:$K$13,$D229)+p_eta*MAX(0,AN229-INDEX(Calib!$AA$1:$AA$13,$D229))</f>
        <v/>
      </c>
      <c r="AP229" s="26">
        <f>(1-INDEX(Calib!$H$1:$H$13,$D229))*(1-p_alpha)*AC229+AI229</f>
        <v/>
      </c>
      <c r="AQ229" s="26">
        <f>(AE229/O229-1)*100</f>
        <v/>
      </c>
      <c r="AR229" s="26">
        <f>(AE229/AE218-1)*100</f>
        <v/>
      </c>
      <c r="AS229" s="26">
        <f>(O229/O218-1)*100</f>
        <v/>
      </c>
      <c r="AT229" s="26">
        <f>(AN229-X229)*100</f>
        <v/>
      </c>
      <c r="AU229" s="26">
        <f>(AP229/Z229-1)*100</f>
        <v/>
      </c>
      <c r="AV229" s="26">
        <f>(AI229-S229)*100</f>
        <v/>
      </c>
    </row>
    <row r="230">
      <c r="A230" s="25" t="inlineStr">
        <is>
          <t>SEN</t>
        </is>
      </c>
      <c r="B230" s="25" t="n">
        <v>2036</v>
      </c>
      <c r="C230" s="25" t="n">
        <v>12</v>
      </c>
      <c r="D230" s="25" t="n">
        <v>10</v>
      </c>
      <c r="E230" s="25">
        <f>IF(AND(p_dis_year&gt;0,B230=p_dis_year),1,0)</f>
        <v/>
      </c>
      <c r="F230" s="26">
        <f>IF(AND(p_dis_year&gt;0,B230&gt;=p_dis_year),1-p_eps_a*p_rho_a^(B230-p_dis_year),1)</f>
        <v/>
      </c>
      <c r="G230" s="26">
        <f>INDEX(Calib!$N$1:$N$13,$D230)*(1-p_rent_decline*MIN(1,C230/26))</f>
        <v/>
      </c>
      <c r="H230" s="26">
        <f>IF(C230=0,0,SUMIFS(dl_val,dl_iso,$A230,dl_ind,"pub_cap",dl_year,$B230)/100)</f>
        <v/>
      </c>
      <c r="I230" s="26">
        <f>IF(C230=0,0,SUMIFS(dl_val,dl_iso,$A230,dl_ind,"pub_spend",dl_year,$B230)/100)</f>
        <v/>
      </c>
      <c r="J230" s="26">
        <f>IF(C230=0,0,SUMIFS(dl_val,dl_iso,$A230,dl_ind,"rev",dl_year,$B230)/100)</f>
        <v/>
      </c>
      <c r="K230" s="26">
        <f>(1-p_delta_g)*K229*(1-p_eps_g*$E230)+INDEX(Calib!$E$1:$E$13,$D230)*(INDEX(Calib!$G$1:$G$13,$D230)+0*$H230)</f>
        <v/>
      </c>
      <c r="L230" s="26">
        <f>L229*(1-p_eps_k*$E230)+p_lambda_k*(N230-L229*(1-p_eps_k*$E230))</f>
        <v/>
      </c>
      <c r="M230" s="26">
        <f>INDEX(Calib!$R$1:$R$13,$D230)*$F230*(K229*(1-p_eps_g*$E230))^INDEX(Calib!$Q$1:$Q$13,$D230)*(L229*(1-p_eps_k*$E230))^p_alpha</f>
        <v/>
      </c>
      <c r="N230" s="26">
        <f>p_alpha*(1-INDEX(Calib!$H$1:$H$13,$D230))*M230/(INDEX(Calib!$K$1:$K$13,$D230)+p_delta)</f>
        <v/>
      </c>
      <c r="O230" s="26">
        <f>M230+$G230</f>
        <v/>
      </c>
      <c r="P230" s="26">
        <f>0*($H230+$I230)</f>
        <v/>
      </c>
      <c r="Q230" s="26">
        <f>INDEX(Calib!$I$1:$I$13,$D230)+p_sh_grant*P230</f>
        <v/>
      </c>
      <c r="R230" s="26">
        <f>INDEX(Calib!$H$1:$H$13,$D230)*M230+p_gov_take*$G230+Q230+0*p_pricing*$J230</f>
        <v/>
      </c>
      <c r="S230" s="26">
        <f>INDEX(Calib!$Y$1:$Y$13,$D230)-INDEX(Calib!$Z$1:$Z$13,$D230)*(V229/O229-INDEX(Calib!$AA$1:$AA$13,$D230))</f>
        <v/>
      </c>
      <c r="T230" s="26">
        <f>INDEX(Calib!$X$1:$X$13,$D230)+INDEX(Calib!$G$1:$G$13,$D230)+P230+S230-R230</f>
        <v/>
      </c>
      <c r="U230" s="26">
        <f>p_rk*W229+Y229*(V229-W229)</f>
        <v/>
      </c>
      <c r="V230" s="26">
        <f>V229+U230+T230</f>
        <v/>
      </c>
      <c r="W230" s="26">
        <f>INDEX(Calib!$U$1:$U$13,$D230)+(W229-INDEX(Calib!$U$1:$U$13,$D230))*(1-p_amort)+p_sh_conc*P230</f>
        <v/>
      </c>
      <c r="X230" s="26">
        <f>V230/O230</f>
        <v/>
      </c>
      <c r="Y230" s="26">
        <f>INDEX(Calib!$K$1:$K$13,$D230)+p_eta*MAX(0,X230-INDEX(Calib!$AA$1:$AA$13,$D230))</f>
        <v/>
      </c>
      <c r="Z230" s="26">
        <f>(1-INDEX(Calib!$H$1:$H$13,$D230))*(1-p_alpha)*M230+S230</f>
        <v/>
      </c>
      <c r="AA230" s="26">
        <f>(1-p_delta_g)*AA229*(1-p_eps_g*$E230)+INDEX(Calib!$E$1:$E$13,$D230)*(INDEX(Calib!$G$1:$G$13,$D230)+p_programme*$H230)</f>
        <v/>
      </c>
      <c r="AB230" s="26">
        <f>AB229*(1-p_eps_k*$E230)+p_lambda_k*(AD230-AB229*(1-p_eps_k*$E230))</f>
        <v/>
      </c>
      <c r="AC230" s="26">
        <f>INDEX(Calib!$R$1:$R$13,$D230)*$F230*(AA229*(1-p_eps_g*$E230))^INDEX(Calib!$Q$1:$Q$13,$D230)*(AB229*(1-p_eps_k*$E230))^p_alpha</f>
        <v/>
      </c>
      <c r="AD230" s="26">
        <f>p_alpha*(1-INDEX(Calib!$H$1:$H$13,$D230))*AC230/(INDEX(Calib!$K$1:$K$13,$D230)+p_delta)</f>
        <v/>
      </c>
      <c r="AE230" s="26">
        <f>AC230+$G230</f>
        <v/>
      </c>
      <c r="AF230" s="26">
        <f>p_programme*($H230+$I230)</f>
        <v/>
      </c>
      <c r="AG230" s="26">
        <f>INDEX(Calib!$I$1:$I$13,$D230)+p_sh_grant*AF230</f>
        <v/>
      </c>
      <c r="AH230" s="26">
        <f>INDEX(Calib!$H$1:$H$13,$D230)*AC230+p_gov_take*$G230+AG230+p_programme*p_pricing*$J230</f>
        <v/>
      </c>
      <c r="AI230" s="26">
        <f>INDEX(Calib!$Y$1:$Y$13,$D230)-INDEX(Calib!$Z$1:$Z$13,$D230)*(AL229/AE229-INDEX(Calib!$AA$1:$AA$13,$D230))</f>
        <v/>
      </c>
      <c r="AJ230" s="26">
        <f>INDEX(Calib!$X$1:$X$13,$D230)+INDEX(Calib!$G$1:$G$13,$D230)+AF230+AI230-AH230</f>
        <v/>
      </c>
      <c r="AK230" s="26">
        <f>p_rk*AM229+AO229*(AL229-AM229)</f>
        <v/>
      </c>
      <c r="AL230" s="26">
        <f>AL229+AK230+AJ230</f>
        <v/>
      </c>
      <c r="AM230" s="26">
        <f>INDEX(Calib!$U$1:$U$13,$D230)+(AM229-INDEX(Calib!$U$1:$U$13,$D230))*(1-p_amort)+p_sh_conc*AF230</f>
        <v/>
      </c>
      <c r="AN230" s="26">
        <f>AL230/AE230</f>
        <v/>
      </c>
      <c r="AO230" s="26">
        <f>INDEX(Calib!$K$1:$K$13,$D230)+p_eta*MAX(0,AN230-INDEX(Calib!$AA$1:$AA$13,$D230))</f>
        <v/>
      </c>
      <c r="AP230" s="26">
        <f>(1-INDEX(Calib!$H$1:$H$13,$D230))*(1-p_alpha)*AC230+AI230</f>
        <v/>
      </c>
      <c r="AQ230" s="26">
        <f>(AE230/O230-1)*100</f>
        <v/>
      </c>
      <c r="AR230" s="26">
        <f>(AE230/AE218-1)*100</f>
        <v/>
      </c>
      <c r="AS230" s="26">
        <f>(O230/O218-1)*100</f>
        <v/>
      </c>
      <c r="AT230" s="26">
        <f>(AN230-X230)*100</f>
        <v/>
      </c>
      <c r="AU230" s="26">
        <f>(AP230/Z230-1)*100</f>
        <v/>
      </c>
      <c r="AV230" s="26">
        <f>(AI230-S230)*100</f>
        <v/>
      </c>
    </row>
    <row r="231">
      <c r="A231" s="25" t="inlineStr">
        <is>
          <t>SEN</t>
        </is>
      </c>
      <c r="B231" s="25" t="n">
        <v>2037</v>
      </c>
      <c r="C231" s="25" t="n">
        <v>13</v>
      </c>
      <c r="D231" s="25" t="n">
        <v>10</v>
      </c>
      <c r="E231" s="25">
        <f>IF(AND(p_dis_year&gt;0,B231=p_dis_year),1,0)</f>
        <v/>
      </c>
      <c r="F231" s="26">
        <f>IF(AND(p_dis_year&gt;0,B231&gt;=p_dis_year),1-p_eps_a*p_rho_a^(B231-p_dis_year),1)</f>
        <v/>
      </c>
      <c r="G231" s="26">
        <f>INDEX(Calib!$N$1:$N$13,$D231)*(1-p_rent_decline*MIN(1,C231/26))</f>
        <v/>
      </c>
      <c r="H231" s="26">
        <f>IF(C231=0,0,SUMIFS(dl_val,dl_iso,$A231,dl_ind,"pub_cap",dl_year,$B231)/100)</f>
        <v/>
      </c>
      <c r="I231" s="26">
        <f>IF(C231=0,0,SUMIFS(dl_val,dl_iso,$A231,dl_ind,"pub_spend",dl_year,$B231)/100)</f>
        <v/>
      </c>
      <c r="J231" s="26">
        <f>IF(C231=0,0,SUMIFS(dl_val,dl_iso,$A231,dl_ind,"rev",dl_year,$B231)/100)</f>
        <v/>
      </c>
      <c r="K231" s="26">
        <f>(1-p_delta_g)*K230*(1-p_eps_g*$E231)+INDEX(Calib!$E$1:$E$13,$D231)*(INDEX(Calib!$G$1:$G$13,$D231)+0*$H231)</f>
        <v/>
      </c>
      <c r="L231" s="26">
        <f>L230*(1-p_eps_k*$E231)+p_lambda_k*(N231-L230*(1-p_eps_k*$E231))</f>
        <v/>
      </c>
      <c r="M231" s="26">
        <f>INDEX(Calib!$R$1:$R$13,$D231)*$F231*(K230*(1-p_eps_g*$E231))^INDEX(Calib!$Q$1:$Q$13,$D231)*(L230*(1-p_eps_k*$E231))^p_alpha</f>
        <v/>
      </c>
      <c r="N231" s="26">
        <f>p_alpha*(1-INDEX(Calib!$H$1:$H$13,$D231))*M231/(INDEX(Calib!$K$1:$K$13,$D231)+p_delta)</f>
        <v/>
      </c>
      <c r="O231" s="26">
        <f>M231+$G231</f>
        <v/>
      </c>
      <c r="P231" s="26">
        <f>0*($H231+$I231)</f>
        <v/>
      </c>
      <c r="Q231" s="26">
        <f>INDEX(Calib!$I$1:$I$13,$D231)+p_sh_grant*P231</f>
        <v/>
      </c>
      <c r="R231" s="26">
        <f>INDEX(Calib!$H$1:$H$13,$D231)*M231+p_gov_take*$G231+Q231+0*p_pricing*$J231</f>
        <v/>
      </c>
      <c r="S231" s="26">
        <f>INDEX(Calib!$Y$1:$Y$13,$D231)-INDEX(Calib!$Z$1:$Z$13,$D231)*(V230/O230-INDEX(Calib!$AA$1:$AA$13,$D231))</f>
        <v/>
      </c>
      <c r="T231" s="26">
        <f>INDEX(Calib!$X$1:$X$13,$D231)+INDEX(Calib!$G$1:$G$13,$D231)+P231+S231-R231</f>
        <v/>
      </c>
      <c r="U231" s="26">
        <f>p_rk*W230+Y230*(V230-W230)</f>
        <v/>
      </c>
      <c r="V231" s="26">
        <f>V230+U231+T231</f>
        <v/>
      </c>
      <c r="W231" s="26">
        <f>INDEX(Calib!$U$1:$U$13,$D231)+(W230-INDEX(Calib!$U$1:$U$13,$D231))*(1-p_amort)+p_sh_conc*P231</f>
        <v/>
      </c>
      <c r="X231" s="26">
        <f>V231/O231</f>
        <v/>
      </c>
      <c r="Y231" s="26">
        <f>INDEX(Calib!$K$1:$K$13,$D231)+p_eta*MAX(0,X231-INDEX(Calib!$AA$1:$AA$13,$D231))</f>
        <v/>
      </c>
      <c r="Z231" s="26">
        <f>(1-INDEX(Calib!$H$1:$H$13,$D231))*(1-p_alpha)*M231+S231</f>
        <v/>
      </c>
      <c r="AA231" s="26">
        <f>(1-p_delta_g)*AA230*(1-p_eps_g*$E231)+INDEX(Calib!$E$1:$E$13,$D231)*(INDEX(Calib!$G$1:$G$13,$D231)+p_programme*$H231)</f>
        <v/>
      </c>
      <c r="AB231" s="26">
        <f>AB230*(1-p_eps_k*$E231)+p_lambda_k*(AD231-AB230*(1-p_eps_k*$E231))</f>
        <v/>
      </c>
      <c r="AC231" s="26">
        <f>INDEX(Calib!$R$1:$R$13,$D231)*$F231*(AA230*(1-p_eps_g*$E231))^INDEX(Calib!$Q$1:$Q$13,$D231)*(AB230*(1-p_eps_k*$E231))^p_alpha</f>
        <v/>
      </c>
      <c r="AD231" s="26">
        <f>p_alpha*(1-INDEX(Calib!$H$1:$H$13,$D231))*AC231/(INDEX(Calib!$K$1:$K$13,$D231)+p_delta)</f>
        <v/>
      </c>
      <c r="AE231" s="26">
        <f>AC231+$G231</f>
        <v/>
      </c>
      <c r="AF231" s="26">
        <f>p_programme*($H231+$I231)</f>
        <v/>
      </c>
      <c r="AG231" s="26">
        <f>INDEX(Calib!$I$1:$I$13,$D231)+p_sh_grant*AF231</f>
        <v/>
      </c>
      <c r="AH231" s="26">
        <f>INDEX(Calib!$H$1:$H$13,$D231)*AC231+p_gov_take*$G231+AG231+p_programme*p_pricing*$J231</f>
        <v/>
      </c>
      <c r="AI231" s="26">
        <f>INDEX(Calib!$Y$1:$Y$13,$D231)-INDEX(Calib!$Z$1:$Z$13,$D231)*(AL230/AE230-INDEX(Calib!$AA$1:$AA$13,$D231))</f>
        <v/>
      </c>
      <c r="AJ231" s="26">
        <f>INDEX(Calib!$X$1:$X$13,$D231)+INDEX(Calib!$G$1:$G$13,$D231)+AF231+AI231-AH231</f>
        <v/>
      </c>
      <c r="AK231" s="26">
        <f>p_rk*AM230+AO230*(AL230-AM230)</f>
        <v/>
      </c>
      <c r="AL231" s="26">
        <f>AL230+AK231+AJ231</f>
        <v/>
      </c>
      <c r="AM231" s="26">
        <f>INDEX(Calib!$U$1:$U$13,$D231)+(AM230-INDEX(Calib!$U$1:$U$13,$D231))*(1-p_amort)+p_sh_conc*AF231</f>
        <v/>
      </c>
      <c r="AN231" s="26">
        <f>AL231/AE231</f>
        <v/>
      </c>
      <c r="AO231" s="26">
        <f>INDEX(Calib!$K$1:$K$13,$D231)+p_eta*MAX(0,AN231-INDEX(Calib!$AA$1:$AA$13,$D231))</f>
        <v/>
      </c>
      <c r="AP231" s="26">
        <f>(1-INDEX(Calib!$H$1:$H$13,$D231))*(1-p_alpha)*AC231+AI231</f>
        <v/>
      </c>
      <c r="AQ231" s="26">
        <f>(AE231/O231-1)*100</f>
        <v/>
      </c>
      <c r="AR231" s="26">
        <f>(AE231/AE218-1)*100</f>
        <v/>
      </c>
      <c r="AS231" s="26">
        <f>(O231/O218-1)*100</f>
        <v/>
      </c>
      <c r="AT231" s="26">
        <f>(AN231-X231)*100</f>
        <v/>
      </c>
      <c r="AU231" s="26">
        <f>(AP231/Z231-1)*100</f>
        <v/>
      </c>
      <c r="AV231" s="26">
        <f>(AI231-S231)*100</f>
        <v/>
      </c>
    </row>
    <row r="232">
      <c r="A232" s="25" t="inlineStr">
        <is>
          <t>SEN</t>
        </is>
      </c>
      <c r="B232" s="25" t="n">
        <v>2038</v>
      </c>
      <c r="C232" s="25" t="n">
        <v>14</v>
      </c>
      <c r="D232" s="25" t="n">
        <v>10</v>
      </c>
      <c r="E232" s="25">
        <f>IF(AND(p_dis_year&gt;0,B232=p_dis_year),1,0)</f>
        <v/>
      </c>
      <c r="F232" s="26">
        <f>IF(AND(p_dis_year&gt;0,B232&gt;=p_dis_year),1-p_eps_a*p_rho_a^(B232-p_dis_year),1)</f>
        <v/>
      </c>
      <c r="G232" s="26">
        <f>INDEX(Calib!$N$1:$N$13,$D232)*(1-p_rent_decline*MIN(1,C232/26))</f>
        <v/>
      </c>
      <c r="H232" s="26">
        <f>IF(C232=0,0,SUMIFS(dl_val,dl_iso,$A232,dl_ind,"pub_cap",dl_year,$B232)/100)</f>
        <v/>
      </c>
      <c r="I232" s="26">
        <f>IF(C232=0,0,SUMIFS(dl_val,dl_iso,$A232,dl_ind,"pub_spend",dl_year,$B232)/100)</f>
        <v/>
      </c>
      <c r="J232" s="26">
        <f>IF(C232=0,0,SUMIFS(dl_val,dl_iso,$A232,dl_ind,"rev",dl_year,$B232)/100)</f>
        <v/>
      </c>
      <c r="K232" s="26">
        <f>(1-p_delta_g)*K231*(1-p_eps_g*$E232)+INDEX(Calib!$E$1:$E$13,$D232)*(INDEX(Calib!$G$1:$G$13,$D232)+0*$H232)</f>
        <v/>
      </c>
      <c r="L232" s="26">
        <f>L231*(1-p_eps_k*$E232)+p_lambda_k*(N232-L231*(1-p_eps_k*$E232))</f>
        <v/>
      </c>
      <c r="M232" s="26">
        <f>INDEX(Calib!$R$1:$R$13,$D232)*$F232*(K231*(1-p_eps_g*$E232))^INDEX(Calib!$Q$1:$Q$13,$D232)*(L231*(1-p_eps_k*$E232))^p_alpha</f>
        <v/>
      </c>
      <c r="N232" s="26">
        <f>p_alpha*(1-INDEX(Calib!$H$1:$H$13,$D232))*M232/(INDEX(Calib!$K$1:$K$13,$D232)+p_delta)</f>
        <v/>
      </c>
      <c r="O232" s="26">
        <f>M232+$G232</f>
        <v/>
      </c>
      <c r="P232" s="26">
        <f>0*($H232+$I232)</f>
        <v/>
      </c>
      <c r="Q232" s="26">
        <f>INDEX(Calib!$I$1:$I$13,$D232)+p_sh_grant*P232</f>
        <v/>
      </c>
      <c r="R232" s="26">
        <f>INDEX(Calib!$H$1:$H$13,$D232)*M232+p_gov_take*$G232+Q232+0*p_pricing*$J232</f>
        <v/>
      </c>
      <c r="S232" s="26">
        <f>INDEX(Calib!$Y$1:$Y$13,$D232)-INDEX(Calib!$Z$1:$Z$13,$D232)*(V231/O231-INDEX(Calib!$AA$1:$AA$13,$D232))</f>
        <v/>
      </c>
      <c r="T232" s="26">
        <f>INDEX(Calib!$X$1:$X$13,$D232)+INDEX(Calib!$G$1:$G$13,$D232)+P232+S232-R232</f>
        <v/>
      </c>
      <c r="U232" s="26">
        <f>p_rk*W231+Y231*(V231-W231)</f>
        <v/>
      </c>
      <c r="V232" s="26">
        <f>V231+U232+T232</f>
        <v/>
      </c>
      <c r="W232" s="26">
        <f>INDEX(Calib!$U$1:$U$13,$D232)+(W231-INDEX(Calib!$U$1:$U$13,$D232))*(1-p_amort)+p_sh_conc*P232</f>
        <v/>
      </c>
      <c r="X232" s="26">
        <f>V232/O232</f>
        <v/>
      </c>
      <c r="Y232" s="26">
        <f>INDEX(Calib!$K$1:$K$13,$D232)+p_eta*MAX(0,X232-INDEX(Calib!$AA$1:$AA$13,$D232))</f>
        <v/>
      </c>
      <c r="Z232" s="26">
        <f>(1-INDEX(Calib!$H$1:$H$13,$D232))*(1-p_alpha)*M232+S232</f>
        <v/>
      </c>
      <c r="AA232" s="26">
        <f>(1-p_delta_g)*AA231*(1-p_eps_g*$E232)+INDEX(Calib!$E$1:$E$13,$D232)*(INDEX(Calib!$G$1:$G$13,$D232)+p_programme*$H232)</f>
        <v/>
      </c>
      <c r="AB232" s="26">
        <f>AB231*(1-p_eps_k*$E232)+p_lambda_k*(AD232-AB231*(1-p_eps_k*$E232))</f>
        <v/>
      </c>
      <c r="AC232" s="26">
        <f>INDEX(Calib!$R$1:$R$13,$D232)*$F232*(AA231*(1-p_eps_g*$E232))^INDEX(Calib!$Q$1:$Q$13,$D232)*(AB231*(1-p_eps_k*$E232))^p_alpha</f>
        <v/>
      </c>
      <c r="AD232" s="26">
        <f>p_alpha*(1-INDEX(Calib!$H$1:$H$13,$D232))*AC232/(INDEX(Calib!$K$1:$K$13,$D232)+p_delta)</f>
        <v/>
      </c>
      <c r="AE232" s="26">
        <f>AC232+$G232</f>
        <v/>
      </c>
      <c r="AF232" s="26">
        <f>p_programme*($H232+$I232)</f>
        <v/>
      </c>
      <c r="AG232" s="26">
        <f>INDEX(Calib!$I$1:$I$13,$D232)+p_sh_grant*AF232</f>
        <v/>
      </c>
      <c r="AH232" s="26">
        <f>INDEX(Calib!$H$1:$H$13,$D232)*AC232+p_gov_take*$G232+AG232+p_programme*p_pricing*$J232</f>
        <v/>
      </c>
      <c r="AI232" s="26">
        <f>INDEX(Calib!$Y$1:$Y$13,$D232)-INDEX(Calib!$Z$1:$Z$13,$D232)*(AL231/AE231-INDEX(Calib!$AA$1:$AA$13,$D232))</f>
        <v/>
      </c>
      <c r="AJ232" s="26">
        <f>INDEX(Calib!$X$1:$X$13,$D232)+INDEX(Calib!$G$1:$G$13,$D232)+AF232+AI232-AH232</f>
        <v/>
      </c>
      <c r="AK232" s="26">
        <f>p_rk*AM231+AO231*(AL231-AM231)</f>
        <v/>
      </c>
      <c r="AL232" s="26">
        <f>AL231+AK232+AJ232</f>
        <v/>
      </c>
      <c r="AM232" s="26">
        <f>INDEX(Calib!$U$1:$U$13,$D232)+(AM231-INDEX(Calib!$U$1:$U$13,$D232))*(1-p_amort)+p_sh_conc*AF232</f>
        <v/>
      </c>
      <c r="AN232" s="26">
        <f>AL232/AE232</f>
        <v/>
      </c>
      <c r="AO232" s="26">
        <f>INDEX(Calib!$K$1:$K$13,$D232)+p_eta*MAX(0,AN232-INDEX(Calib!$AA$1:$AA$13,$D232))</f>
        <v/>
      </c>
      <c r="AP232" s="26">
        <f>(1-INDEX(Calib!$H$1:$H$13,$D232))*(1-p_alpha)*AC232+AI232</f>
        <v/>
      </c>
      <c r="AQ232" s="26">
        <f>(AE232/O232-1)*100</f>
        <v/>
      </c>
      <c r="AR232" s="26">
        <f>(AE232/AE218-1)*100</f>
        <v/>
      </c>
      <c r="AS232" s="26">
        <f>(O232/O218-1)*100</f>
        <v/>
      </c>
      <c r="AT232" s="26">
        <f>(AN232-X232)*100</f>
        <v/>
      </c>
      <c r="AU232" s="26">
        <f>(AP232/Z232-1)*100</f>
        <v/>
      </c>
      <c r="AV232" s="26">
        <f>(AI232-S232)*100</f>
        <v/>
      </c>
    </row>
    <row r="233">
      <c r="A233" s="25" t="inlineStr">
        <is>
          <t>SEN</t>
        </is>
      </c>
      <c r="B233" s="25" t="n">
        <v>2039</v>
      </c>
      <c r="C233" s="25" t="n">
        <v>15</v>
      </c>
      <c r="D233" s="25" t="n">
        <v>10</v>
      </c>
      <c r="E233" s="25">
        <f>IF(AND(p_dis_year&gt;0,B233=p_dis_year),1,0)</f>
        <v/>
      </c>
      <c r="F233" s="26">
        <f>IF(AND(p_dis_year&gt;0,B233&gt;=p_dis_year),1-p_eps_a*p_rho_a^(B233-p_dis_year),1)</f>
        <v/>
      </c>
      <c r="G233" s="26">
        <f>INDEX(Calib!$N$1:$N$13,$D233)*(1-p_rent_decline*MIN(1,C233/26))</f>
        <v/>
      </c>
      <c r="H233" s="26">
        <f>IF(C233=0,0,SUMIFS(dl_val,dl_iso,$A233,dl_ind,"pub_cap",dl_year,$B233)/100)</f>
        <v/>
      </c>
      <c r="I233" s="26">
        <f>IF(C233=0,0,SUMIFS(dl_val,dl_iso,$A233,dl_ind,"pub_spend",dl_year,$B233)/100)</f>
        <v/>
      </c>
      <c r="J233" s="26">
        <f>IF(C233=0,0,SUMIFS(dl_val,dl_iso,$A233,dl_ind,"rev",dl_year,$B233)/100)</f>
        <v/>
      </c>
      <c r="K233" s="26">
        <f>(1-p_delta_g)*K232*(1-p_eps_g*$E233)+INDEX(Calib!$E$1:$E$13,$D233)*(INDEX(Calib!$G$1:$G$13,$D233)+0*$H233)</f>
        <v/>
      </c>
      <c r="L233" s="26">
        <f>L232*(1-p_eps_k*$E233)+p_lambda_k*(N233-L232*(1-p_eps_k*$E233))</f>
        <v/>
      </c>
      <c r="M233" s="26">
        <f>INDEX(Calib!$R$1:$R$13,$D233)*$F233*(K232*(1-p_eps_g*$E233))^INDEX(Calib!$Q$1:$Q$13,$D233)*(L232*(1-p_eps_k*$E233))^p_alpha</f>
        <v/>
      </c>
      <c r="N233" s="26">
        <f>p_alpha*(1-INDEX(Calib!$H$1:$H$13,$D233))*M233/(INDEX(Calib!$K$1:$K$13,$D233)+p_delta)</f>
        <v/>
      </c>
      <c r="O233" s="26">
        <f>M233+$G233</f>
        <v/>
      </c>
      <c r="P233" s="26">
        <f>0*($H233+$I233)</f>
        <v/>
      </c>
      <c r="Q233" s="26">
        <f>INDEX(Calib!$I$1:$I$13,$D233)+p_sh_grant*P233</f>
        <v/>
      </c>
      <c r="R233" s="26">
        <f>INDEX(Calib!$H$1:$H$13,$D233)*M233+p_gov_take*$G233+Q233+0*p_pricing*$J233</f>
        <v/>
      </c>
      <c r="S233" s="26">
        <f>INDEX(Calib!$Y$1:$Y$13,$D233)-INDEX(Calib!$Z$1:$Z$13,$D233)*(V232/O232-INDEX(Calib!$AA$1:$AA$13,$D233))</f>
        <v/>
      </c>
      <c r="T233" s="26">
        <f>INDEX(Calib!$X$1:$X$13,$D233)+INDEX(Calib!$G$1:$G$13,$D233)+P233+S233-R233</f>
        <v/>
      </c>
      <c r="U233" s="26">
        <f>p_rk*W232+Y232*(V232-W232)</f>
        <v/>
      </c>
      <c r="V233" s="26">
        <f>V232+U233+T233</f>
        <v/>
      </c>
      <c r="W233" s="26">
        <f>INDEX(Calib!$U$1:$U$13,$D233)+(W232-INDEX(Calib!$U$1:$U$13,$D233))*(1-p_amort)+p_sh_conc*P233</f>
        <v/>
      </c>
      <c r="X233" s="26">
        <f>V233/O233</f>
        <v/>
      </c>
      <c r="Y233" s="26">
        <f>INDEX(Calib!$K$1:$K$13,$D233)+p_eta*MAX(0,X233-INDEX(Calib!$AA$1:$AA$13,$D233))</f>
        <v/>
      </c>
      <c r="Z233" s="26">
        <f>(1-INDEX(Calib!$H$1:$H$13,$D233))*(1-p_alpha)*M233+S233</f>
        <v/>
      </c>
      <c r="AA233" s="26">
        <f>(1-p_delta_g)*AA232*(1-p_eps_g*$E233)+INDEX(Calib!$E$1:$E$13,$D233)*(INDEX(Calib!$G$1:$G$13,$D233)+p_programme*$H233)</f>
        <v/>
      </c>
      <c r="AB233" s="26">
        <f>AB232*(1-p_eps_k*$E233)+p_lambda_k*(AD233-AB232*(1-p_eps_k*$E233))</f>
        <v/>
      </c>
      <c r="AC233" s="26">
        <f>INDEX(Calib!$R$1:$R$13,$D233)*$F233*(AA232*(1-p_eps_g*$E233))^INDEX(Calib!$Q$1:$Q$13,$D233)*(AB232*(1-p_eps_k*$E233))^p_alpha</f>
        <v/>
      </c>
      <c r="AD233" s="26">
        <f>p_alpha*(1-INDEX(Calib!$H$1:$H$13,$D233))*AC233/(INDEX(Calib!$K$1:$K$13,$D233)+p_delta)</f>
        <v/>
      </c>
      <c r="AE233" s="26">
        <f>AC233+$G233</f>
        <v/>
      </c>
      <c r="AF233" s="26">
        <f>p_programme*($H233+$I233)</f>
        <v/>
      </c>
      <c r="AG233" s="26">
        <f>INDEX(Calib!$I$1:$I$13,$D233)+p_sh_grant*AF233</f>
        <v/>
      </c>
      <c r="AH233" s="26">
        <f>INDEX(Calib!$H$1:$H$13,$D233)*AC233+p_gov_take*$G233+AG233+p_programme*p_pricing*$J233</f>
        <v/>
      </c>
      <c r="AI233" s="26">
        <f>INDEX(Calib!$Y$1:$Y$13,$D233)-INDEX(Calib!$Z$1:$Z$13,$D233)*(AL232/AE232-INDEX(Calib!$AA$1:$AA$13,$D233))</f>
        <v/>
      </c>
      <c r="AJ233" s="26">
        <f>INDEX(Calib!$X$1:$X$13,$D233)+INDEX(Calib!$G$1:$G$13,$D233)+AF233+AI233-AH233</f>
        <v/>
      </c>
      <c r="AK233" s="26">
        <f>p_rk*AM232+AO232*(AL232-AM232)</f>
        <v/>
      </c>
      <c r="AL233" s="26">
        <f>AL232+AK233+AJ233</f>
        <v/>
      </c>
      <c r="AM233" s="26">
        <f>INDEX(Calib!$U$1:$U$13,$D233)+(AM232-INDEX(Calib!$U$1:$U$13,$D233))*(1-p_amort)+p_sh_conc*AF233</f>
        <v/>
      </c>
      <c r="AN233" s="26">
        <f>AL233/AE233</f>
        <v/>
      </c>
      <c r="AO233" s="26">
        <f>INDEX(Calib!$K$1:$K$13,$D233)+p_eta*MAX(0,AN233-INDEX(Calib!$AA$1:$AA$13,$D233))</f>
        <v/>
      </c>
      <c r="AP233" s="26">
        <f>(1-INDEX(Calib!$H$1:$H$13,$D233))*(1-p_alpha)*AC233+AI233</f>
        <v/>
      </c>
      <c r="AQ233" s="26">
        <f>(AE233/O233-1)*100</f>
        <v/>
      </c>
      <c r="AR233" s="26">
        <f>(AE233/AE218-1)*100</f>
        <v/>
      </c>
      <c r="AS233" s="26">
        <f>(O233/O218-1)*100</f>
        <v/>
      </c>
      <c r="AT233" s="26">
        <f>(AN233-X233)*100</f>
        <v/>
      </c>
      <c r="AU233" s="26">
        <f>(AP233/Z233-1)*100</f>
        <v/>
      </c>
      <c r="AV233" s="26">
        <f>(AI233-S233)*100</f>
        <v/>
      </c>
    </row>
    <row r="234">
      <c r="A234" s="25" t="inlineStr">
        <is>
          <t>SEN</t>
        </is>
      </c>
      <c r="B234" s="25" t="n">
        <v>2040</v>
      </c>
      <c r="C234" s="25" t="n">
        <v>16</v>
      </c>
      <c r="D234" s="25" t="n">
        <v>10</v>
      </c>
      <c r="E234" s="25">
        <f>IF(AND(p_dis_year&gt;0,B234=p_dis_year),1,0)</f>
        <v/>
      </c>
      <c r="F234" s="26">
        <f>IF(AND(p_dis_year&gt;0,B234&gt;=p_dis_year),1-p_eps_a*p_rho_a^(B234-p_dis_year),1)</f>
        <v/>
      </c>
      <c r="G234" s="26">
        <f>INDEX(Calib!$N$1:$N$13,$D234)*(1-p_rent_decline*MIN(1,C234/26))</f>
        <v/>
      </c>
      <c r="H234" s="26">
        <f>IF(C234=0,0,SUMIFS(dl_val,dl_iso,$A234,dl_ind,"pub_cap",dl_year,$B234)/100)</f>
        <v/>
      </c>
      <c r="I234" s="26">
        <f>IF(C234=0,0,SUMIFS(dl_val,dl_iso,$A234,dl_ind,"pub_spend",dl_year,$B234)/100)</f>
        <v/>
      </c>
      <c r="J234" s="26">
        <f>IF(C234=0,0,SUMIFS(dl_val,dl_iso,$A234,dl_ind,"rev",dl_year,$B234)/100)</f>
        <v/>
      </c>
      <c r="K234" s="26">
        <f>(1-p_delta_g)*K233*(1-p_eps_g*$E234)+INDEX(Calib!$E$1:$E$13,$D234)*(INDEX(Calib!$G$1:$G$13,$D234)+0*$H234)</f>
        <v/>
      </c>
      <c r="L234" s="26">
        <f>L233*(1-p_eps_k*$E234)+p_lambda_k*(N234-L233*(1-p_eps_k*$E234))</f>
        <v/>
      </c>
      <c r="M234" s="26">
        <f>INDEX(Calib!$R$1:$R$13,$D234)*$F234*(K233*(1-p_eps_g*$E234))^INDEX(Calib!$Q$1:$Q$13,$D234)*(L233*(1-p_eps_k*$E234))^p_alpha</f>
        <v/>
      </c>
      <c r="N234" s="26">
        <f>p_alpha*(1-INDEX(Calib!$H$1:$H$13,$D234))*M234/(INDEX(Calib!$K$1:$K$13,$D234)+p_delta)</f>
        <v/>
      </c>
      <c r="O234" s="26">
        <f>M234+$G234</f>
        <v/>
      </c>
      <c r="P234" s="26">
        <f>0*($H234+$I234)</f>
        <v/>
      </c>
      <c r="Q234" s="26">
        <f>INDEX(Calib!$I$1:$I$13,$D234)+p_sh_grant*P234</f>
        <v/>
      </c>
      <c r="R234" s="26">
        <f>INDEX(Calib!$H$1:$H$13,$D234)*M234+p_gov_take*$G234+Q234+0*p_pricing*$J234</f>
        <v/>
      </c>
      <c r="S234" s="26">
        <f>INDEX(Calib!$Y$1:$Y$13,$D234)-INDEX(Calib!$Z$1:$Z$13,$D234)*(V233/O233-INDEX(Calib!$AA$1:$AA$13,$D234))</f>
        <v/>
      </c>
      <c r="T234" s="26">
        <f>INDEX(Calib!$X$1:$X$13,$D234)+INDEX(Calib!$G$1:$G$13,$D234)+P234+S234-R234</f>
        <v/>
      </c>
      <c r="U234" s="26">
        <f>p_rk*W233+Y233*(V233-W233)</f>
        <v/>
      </c>
      <c r="V234" s="26">
        <f>V233+U234+T234</f>
        <v/>
      </c>
      <c r="W234" s="26">
        <f>INDEX(Calib!$U$1:$U$13,$D234)+(W233-INDEX(Calib!$U$1:$U$13,$D234))*(1-p_amort)+p_sh_conc*P234</f>
        <v/>
      </c>
      <c r="X234" s="26">
        <f>V234/O234</f>
        <v/>
      </c>
      <c r="Y234" s="26">
        <f>INDEX(Calib!$K$1:$K$13,$D234)+p_eta*MAX(0,X234-INDEX(Calib!$AA$1:$AA$13,$D234))</f>
        <v/>
      </c>
      <c r="Z234" s="26">
        <f>(1-INDEX(Calib!$H$1:$H$13,$D234))*(1-p_alpha)*M234+S234</f>
        <v/>
      </c>
      <c r="AA234" s="26">
        <f>(1-p_delta_g)*AA233*(1-p_eps_g*$E234)+INDEX(Calib!$E$1:$E$13,$D234)*(INDEX(Calib!$G$1:$G$13,$D234)+p_programme*$H234)</f>
        <v/>
      </c>
      <c r="AB234" s="26">
        <f>AB233*(1-p_eps_k*$E234)+p_lambda_k*(AD234-AB233*(1-p_eps_k*$E234))</f>
        <v/>
      </c>
      <c r="AC234" s="26">
        <f>INDEX(Calib!$R$1:$R$13,$D234)*$F234*(AA233*(1-p_eps_g*$E234))^INDEX(Calib!$Q$1:$Q$13,$D234)*(AB233*(1-p_eps_k*$E234))^p_alpha</f>
        <v/>
      </c>
      <c r="AD234" s="26">
        <f>p_alpha*(1-INDEX(Calib!$H$1:$H$13,$D234))*AC234/(INDEX(Calib!$K$1:$K$13,$D234)+p_delta)</f>
        <v/>
      </c>
      <c r="AE234" s="26">
        <f>AC234+$G234</f>
        <v/>
      </c>
      <c r="AF234" s="26">
        <f>p_programme*($H234+$I234)</f>
        <v/>
      </c>
      <c r="AG234" s="26">
        <f>INDEX(Calib!$I$1:$I$13,$D234)+p_sh_grant*AF234</f>
        <v/>
      </c>
      <c r="AH234" s="26">
        <f>INDEX(Calib!$H$1:$H$13,$D234)*AC234+p_gov_take*$G234+AG234+p_programme*p_pricing*$J234</f>
        <v/>
      </c>
      <c r="AI234" s="26">
        <f>INDEX(Calib!$Y$1:$Y$13,$D234)-INDEX(Calib!$Z$1:$Z$13,$D234)*(AL233/AE233-INDEX(Calib!$AA$1:$AA$13,$D234))</f>
        <v/>
      </c>
      <c r="AJ234" s="26">
        <f>INDEX(Calib!$X$1:$X$13,$D234)+INDEX(Calib!$G$1:$G$13,$D234)+AF234+AI234-AH234</f>
        <v/>
      </c>
      <c r="AK234" s="26">
        <f>p_rk*AM233+AO233*(AL233-AM233)</f>
        <v/>
      </c>
      <c r="AL234" s="26">
        <f>AL233+AK234+AJ234</f>
        <v/>
      </c>
      <c r="AM234" s="26">
        <f>INDEX(Calib!$U$1:$U$13,$D234)+(AM233-INDEX(Calib!$U$1:$U$13,$D234))*(1-p_amort)+p_sh_conc*AF234</f>
        <v/>
      </c>
      <c r="AN234" s="26">
        <f>AL234/AE234</f>
        <v/>
      </c>
      <c r="AO234" s="26">
        <f>INDEX(Calib!$K$1:$K$13,$D234)+p_eta*MAX(0,AN234-INDEX(Calib!$AA$1:$AA$13,$D234))</f>
        <v/>
      </c>
      <c r="AP234" s="26">
        <f>(1-INDEX(Calib!$H$1:$H$13,$D234))*(1-p_alpha)*AC234+AI234</f>
        <v/>
      </c>
      <c r="AQ234" s="26">
        <f>(AE234/O234-1)*100</f>
        <v/>
      </c>
      <c r="AR234" s="26">
        <f>(AE234/AE218-1)*100</f>
        <v/>
      </c>
      <c r="AS234" s="26">
        <f>(O234/O218-1)*100</f>
        <v/>
      </c>
      <c r="AT234" s="26">
        <f>(AN234-X234)*100</f>
        <v/>
      </c>
      <c r="AU234" s="26">
        <f>(AP234/Z234-1)*100</f>
        <v/>
      </c>
      <c r="AV234" s="26">
        <f>(AI234-S234)*100</f>
        <v/>
      </c>
    </row>
    <row r="235">
      <c r="A235" s="25" t="inlineStr">
        <is>
          <t>SEN</t>
        </is>
      </c>
      <c r="B235" s="25" t="n">
        <v>2041</v>
      </c>
      <c r="C235" s="25" t="n">
        <v>17</v>
      </c>
      <c r="D235" s="25" t="n">
        <v>10</v>
      </c>
      <c r="E235" s="25">
        <f>IF(AND(p_dis_year&gt;0,B235=p_dis_year),1,0)</f>
        <v/>
      </c>
      <c r="F235" s="26">
        <f>IF(AND(p_dis_year&gt;0,B235&gt;=p_dis_year),1-p_eps_a*p_rho_a^(B235-p_dis_year),1)</f>
        <v/>
      </c>
      <c r="G235" s="26">
        <f>INDEX(Calib!$N$1:$N$13,$D235)*(1-p_rent_decline*MIN(1,C235/26))</f>
        <v/>
      </c>
      <c r="H235" s="26">
        <f>IF(C235=0,0,SUMIFS(dl_val,dl_iso,$A235,dl_ind,"pub_cap",dl_year,$B235)/100)</f>
        <v/>
      </c>
      <c r="I235" s="26">
        <f>IF(C235=0,0,SUMIFS(dl_val,dl_iso,$A235,dl_ind,"pub_spend",dl_year,$B235)/100)</f>
        <v/>
      </c>
      <c r="J235" s="26">
        <f>IF(C235=0,0,SUMIFS(dl_val,dl_iso,$A235,dl_ind,"rev",dl_year,$B235)/100)</f>
        <v/>
      </c>
      <c r="K235" s="26">
        <f>(1-p_delta_g)*K234*(1-p_eps_g*$E235)+INDEX(Calib!$E$1:$E$13,$D235)*(INDEX(Calib!$G$1:$G$13,$D235)+0*$H235)</f>
        <v/>
      </c>
      <c r="L235" s="26">
        <f>L234*(1-p_eps_k*$E235)+p_lambda_k*(N235-L234*(1-p_eps_k*$E235))</f>
        <v/>
      </c>
      <c r="M235" s="26">
        <f>INDEX(Calib!$R$1:$R$13,$D235)*$F235*(K234*(1-p_eps_g*$E235))^INDEX(Calib!$Q$1:$Q$13,$D235)*(L234*(1-p_eps_k*$E235))^p_alpha</f>
        <v/>
      </c>
      <c r="N235" s="26">
        <f>p_alpha*(1-INDEX(Calib!$H$1:$H$13,$D235))*M235/(INDEX(Calib!$K$1:$K$13,$D235)+p_delta)</f>
        <v/>
      </c>
      <c r="O235" s="26">
        <f>M235+$G235</f>
        <v/>
      </c>
      <c r="P235" s="26">
        <f>0*($H235+$I235)</f>
        <v/>
      </c>
      <c r="Q235" s="26">
        <f>INDEX(Calib!$I$1:$I$13,$D235)+p_sh_grant*P235</f>
        <v/>
      </c>
      <c r="R235" s="26">
        <f>INDEX(Calib!$H$1:$H$13,$D235)*M235+p_gov_take*$G235+Q235+0*p_pricing*$J235</f>
        <v/>
      </c>
      <c r="S235" s="26">
        <f>INDEX(Calib!$Y$1:$Y$13,$D235)-INDEX(Calib!$Z$1:$Z$13,$D235)*(V234/O234-INDEX(Calib!$AA$1:$AA$13,$D235))</f>
        <v/>
      </c>
      <c r="T235" s="26">
        <f>INDEX(Calib!$X$1:$X$13,$D235)+INDEX(Calib!$G$1:$G$13,$D235)+P235+S235-R235</f>
        <v/>
      </c>
      <c r="U235" s="26">
        <f>p_rk*W234+Y234*(V234-W234)</f>
        <v/>
      </c>
      <c r="V235" s="26">
        <f>V234+U235+T235</f>
        <v/>
      </c>
      <c r="W235" s="26">
        <f>INDEX(Calib!$U$1:$U$13,$D235)+(W234-INDEX(Calib!$U$1:$U$13,$D235))*(1-p_amort)+p_sh_conc*P235</f>
        <v/>
      </c>
      <c r="X235" s="26">
        <f>V235/O235</f>
        <v/>
      </c>
      <c r="Y235" s="26">
        <f>INDEX(Calib!$K$1:$K$13,$D235)+p_eta*MAX(0,X235-INDEX(Calib!$AA$1:$AA$13,$D235))</f>
        <v/>
      </c>
      <c r="Z235" s="26">
        <f>(1-INDEX(Calib!$H$1:$H$13,$D235))*(1-p_alpha)*M235+S235</f>
        <v/>
      </c>
      <c r="AA235" s="26">
        <f>(1-p_delta_g)*AA234*(1-p_eps_g*$E235)+INDEX(Calib!$E$1:$E$13,$D235)*(INDEX(Calib!$G$1:$G$13,$D235)+p_programme*$H235)</f>
        <v/>
      </c>
      <c r="AB235" s="26">
        <f>AB234*(1-p_eps_k*$E235)+p_lambda_k*(AD235-AB234*(1-p_eps_k*$E235))</f>
        <v/>
      </c>
      <c r="AC235" s="26">
        <f>INDEX(Calib!$R$1:$R$13,$D235)*$F235*(AA234*(1-p_eps_g*$E235))^INDEX(Calib!$Q$1:$Q$13,$D235)*(AB234*(1-p_eps_k*$E235))^p_alpha</f>
        <v/>
      </c>
      <c r="AD235" s="26">
        <f>p_alpha*(1-INDEX(Calib!$H$1:$H$13,$D235))*AC235/(INDEX(Calib!$K$1:$K$13,$D235)+p_delta)</f>
        <v/>
      </c>
      <c r="AE235" s="26">
        <f>AC235+$G235</f>
        <v/>
      </c>
      <c r="AF235" s="26">
        <f>p_programme*($H235+$I235)</f>
        <v/>
      </c>
      <c r="AG235" s="26">
        <f>INDEX(Calib!$I$1:$I$13,$D235)+p_sh_grant*AF235</f>
        <v/>
      </c>
      <c r="AH235" s="26">
        <f>INDEX(Calib!$H$1:$H$13,$D235)*AC235+p_gov_take*$G235+AG235+p_programme*p_pricing*$J235</f>
        <v/>
      </c>
      <c r="AI235" s="26">
        <f>INDEX(Calib!$Y$1:$Y$13,$D235)-INDEX(Calib!$Z$1:$Z$13,$D235)*(AL234/AE234-INDEX(Calib!$AA$1:$AA$13,$D235))</f>
        <v/>
      </c>
      <c r="AJ235" s="26">
        <f>INDEX(Calib!$X$1:$X$13,$D235)+INDEX(Calib!$G$1:$G$13,$D235)+AF235+AI235-AH235</f>
        <v/>
      </c>
      <c r="AK235" s="26">
        <f>p_rk*AM234+AO234*(AL234-AM234)</f>
        <v/>
      </c>
      <c r="AL235" s="26">
        <f>AL234+AK235+AJ235</f>
        <v/>
      </c>
      <c r="AM235" s="26">
        <f>INDEX(Calib!$U$1:$U$13,$D235)+(AM234-INDEX(Calib!$U$1:$U$13,$D235))*(1-p_amort)+p_sh_conc*AF235</f>
        <v/>
      </c>
      <c r="AN235" s="26">
        <f>AL235/AE235</f>
        <v/>
      </c>
      <c r="AO235" s="26">
        <f>INDEX(Calib!$K$1:$K$13,$D235)+p_eta*MAX(0,AN235-INDEX(Calib!$AA$1:$AA$13,$D235))</f>
        <v/>
      </c>
      <c r="AP235" s="26">
        <f>(1-INDEX(Calib!$H$1:$H$13,$D235))*(1-p_alpha)*AC235+AI235</f>
        <v/>
      </c>
      <c r="AQ235" s="26">
        <f>(AE235/O235-1)*100</f>
        <v/>
      </c>
      <c r="AR235" s="26">
        <f>(AE235/AE218-1)*100</f>
        <v/>
      </c>
      <c r="AS235" s="26">
        <f>(O235/O218-1)*100</f>
        <v/>
      </c>
      <c r="AT235" s="26">
        <f>(AN235-X235)*100</f>
        <v/>
      </c>
      <c r="AU235" s="26">
        <f>(AP235/Z235-1)*100</f>
        <v/>
      </c>
      <c r="AV235" s="26">
        <f>(AI235-S235)*100</f>
        <v/>
      </c>
    </row>
    <row r="236">
      <c r="A236" s="25" t="inlineStr">
        <is>
          <t>SEN</t>
        </is>
      </c>
      <c r="B236" s="25" t="n">
        <v>2042</v>
      </c>
      <c r="C236" s="25" t="n">
        <v>18</v>
      </c>
      <c r="D236" s="25" t="n">
        <v>10</v>
      </c>
      <c r="E236" s="25">
        <f>IF(AND(p_dis_year&gt;0,B236=p_dis_year),1,0)</f>
        <v/>
      </c>
      <c r="F236" s="26">
        <f>IF(AND(p_dis_year&gt;0,B236&gt;=p_dis_year),1-p_eps_a*p_rho_a^(B236-p_dis_year),1)</f>
        <v/>
      </c>
      <c r="G236" s="26">
        <f>INDEX(Calib!$N$1:$N$13,$D236)*(1-p_rent_decline*MIN(1,C236/26))</f>
        <v/>
      </c>
      <c r="H236" s="26">
        <f>IF(C236=0,0,SUMIFS(dl_val,dl_iso,$A236,dl_ind,"pub_cap",dl_year,$B236)/100)</f>
        <v/>
      </c>
      <c r="I236" s="26">
        <f>IF(C236=0,0,SUMIFS(dl_val,dl_iso,$A236,dl_ind,"pub_spend",dl_year,$B236)/100)</f>
        <v/>
      </c>
      <c r="J236" s="26">
        <f>IF(C236=0,0,SUMIFS(dl_val,dl_iso,$A236,dl_ind,"rev",dl_year,$B236)/100)</f>
        <v/>
      </c>
      <c r="K236" s="26">
        <f>(1-p_delta_g)*K235*(1-p_eps_g*$E236)+INDEX(Calib!$E$1:$E$13,$D236)*(INDEX(Calib!$G$1:$G$13,$D236)+0*$H236)</f>
        <v/>
      </c>
      <c r="L236" s="26">
        <f>L235*(1-p_eps_k*$E236)+p_lambda_k*(N236-L235*(1-p_eps_k*$E236))</f>
        <v/>
      </c>
      <c r="M236" s="26">
        <f>INDEX(Calib!$R$1:$R$13,$D236)*$F236*(K235*(1-p_eps_g*$E236))^INDEX(Calib!$Q$1:$Q$13,$D236)*(L235*(1-p_eps_k*$E236))^p_alpha</f>
        <v/>
      </c>
      <c r="N236" s="26">
        <f>p_alpha*(1-INDEX(Calib!$H$1:$H$13,$D236))*M236/(INDEX(Calib!$K$1:$K$13,$D236)+p_delta)</f>
        <v/>
      </c>
      <c r="O236" s="26">
        <f>M236+$G236</f>
        <v/>
      </c>
      <c r="P236" s="26">
        <f>0*($H236+$I236)</f>
        <v/>
      </c>
      <c r="Q236" s="26">
        <f>INDEX(Calib!$I$1:$I$13,$D236)+p_sh_grant*P236</f>
        <v/>
      </c>
      <c r="R236" s="26">
        <f>INDEX(Calib!$H$1:$H$13,$D236)*M236+p_gov_take*$G236+Q236+0*p_pricing*$J236</f>
        <v/>
      </c>
      <c r="S236" s="26">
        <f>INDEX(Calib!$Y$1:$Y$13,$D236)-INDEX(Calib!$Z$1:$Z$13,$D236)*(V235/O235-INDEX(Calib!$AA$1:$AA$13,$D236))</f>
        <v/>
      </c>
      <c r="T236" s="26">
        <f>INDEX(Calib!$X$1:$X$13,$D236)+INDEX(Calib!$G$1:$G$13,$D236)+P236+S236-R236</f>
        <v/>
      </c>
      <c r="U236" s="26">
        <f>p_rk*W235+Y235*(V235-W235)</f>
        <v/>
      </c>
      <c r="V236" s="26">
        <f>V235+U236+T236</f>
        <v/>
      </c>
      <c r="W236" s="26">
        <f>INDEX(Calib!$U$1:$U$13,$D236)+(W235-INDEX(Calib!$U$1:$U$13,$D236))*(1-p_amort)+p_sh_conc*P236</f>
        <v/>
      </c>
      <c r="X236" s="26">
        <f>V236/O236</f>
        <v/>
      </c>
      <c r="Y236" s="26">
        <f>INDEX(Calib!$K$1:$K$13,$D236)+p_eta*MAX(0,X236-INDEX(Calib!$AA$1:$AA$13,$D236))</f>
        <v/>
      </c>
      <c r="Z236" s="26">
        <f>(1-INDEX(Calib!$H$1:$H$13,$D236))*(1-p_alpha)*M236+S236</f>
        <v/>
      </c>
      <c r="AA236" s="26">
        <f>(1-p_delta_g)*AA235*(1-p_eps_g*$E236)+INDEX(Calib!$E$1:$E$13,$D236)*(INDEX(Calib!$G$1:$G$13,$D236)+p_programme*$H236)</f>
        <v/>
      </c>
      <c r="AB236" s="26">
        <f>AB235*(1-p_eps_k*$E236)+p_lambda_k*(AD236-AB235*(1-p_eps_k*$E236))</f>
        <v/>
      </c>
      <c r="AC236" s="26">
        <f>INDEX(Calib!$R$1:$R$13,$D236)*$F236*(AA235*(1-p_eps_g*$E236))^INDEX(Calib!$Q$1:$Q$13,$D236)*(AB235*(1-p_eps_k*$E236))^p_alpha</f>
        <v/>
      </c>
      <c r="AD236" s="26">
        <f>p_alpha*(1-INDEX(Calib!$H$1:$H$13,$D236))*AC236/(INDEX(Calib!$K$1:$K$13,$D236)+p_delta)</f>
        <v/>
      </c>
      <c r="AE236" s="26">
        <f>AC236+$G236</f>
        <v/>
      </c>
      <c r="AF236" s="26">
        <f>p_programme*($H236+$I236)</f>
        <v/>
      </c>
      <c r="AG236" s="26">
        <f>INDEX(Calib!$I$1:$I$13,$D236)+p_sh_grant*AF236</f>
        <v/>
      </c>
      <c r="AH236" s="26">
        <f>INDEX(Calib!$H$1:$H$13,$D236)*AC236+p_gov_take*$G236+AG236+p_programme*p_pricing*$J236</f>
        <v/>
      </c>
      <c r="AI236" s="26">
        <f>INDEX(Calib!$Y$1:$Y$13,$D236)-INDEX(Calib!$Z$1:$Z$13,$D236)*(AL235/AE235-INDEX(Calib!$AA$1:$AA$13,$D236))</f>
        <v/>
      </c>
      <c r="AJ236" s="26">
        <f>INDEX(Calib!$X$1:$X$13,$D236)+INDEX(Calib!$G$1:$G$13,$D236)+AF236+AI236-AH236</f>
        <v/>
      </c>
      <c r="AK236" s="26">
        <f>p_rk*AM235+AO235*(AL235-AM235)</f>
        <v/>
      </c>
      <c r="AL236" s="26">
        <f>AL235+AK236+AJ236</f>
        <v/>
      </c>
      <c r="AM236" s="26">
        <f>INDEX(Calib!$U$1:$U$13,$D236)+(AM235-INDEX(Calib!$U$1:$U$13,$D236))*(1-p_amort)+p_sh_conc*AF236</f>
        <v/>
      </c>
      <c r="AN236" s="26">
        <f>AL236/AE236</f>
        <v/>
      </c>
      <c r="AO236" s="26">
        <f>INDEX(Calib!$K$1:$K$13,$D236)+p_eta*MAX(0,AN236-INDEX(Calib!$AA$1:$AA$13,$D236))</f>
        <v/>
      </c>
      <c r="AP236" s="26">
        <f>(1-INDEX(Calib!$H$1:$H$13,$D236))*(1-p_alpha)*AC236+AI236</f>
        <v/>
      </c>
      <c r="AQ236" s="26">
        <f>(AE236/O236-1)*100</f>
        <v/>
      </c>
      <c r="AR236" s="26">
        <f>(AE236/AE218-1)*100</f>
        <v/>
      </c>
      <c r="AS236" s="26">
        <f>(O236/O218-1)*100</f>
        <v/>
      </c>
      <c r="AT236" s="26">
        <f>(AN236-X236)*100</f>
        <v/>
      </c>
      <c r="AU236" s="26">
        <f>(AP236/Z236-1)*100</f>
        <v/>
      </c>
      <c r="AV236" s="26">
        <f>(AI236-S236)*100</f>
        <v/>
      </c>
    </row>
    <row r="237">
      <c r="A237" s="25" t="inlineStr">
        <is>
          <t>SEN</t>
        </is>
      </c>
      <c r="B237" s="25" t="n">
        <v>2043</v>
      </c>
      <c r="C237" s="25" t="n">
        <v>19</v>
      </c>
      <c r="D237" s="25" t="n">
        <v>10</v>
      </c>
      <c r="E237" s="25">
        <f>IF(AND(p_dis_year&gt;0,B237=p_dis_year),1,0)</f>
        <v/>
      </c>
      <c r="F237" s="26">
        <f>IF(AND(p_dis_year&gt;0,B237&gt;=p_dis_year),1-p_eps_a*p_rho_a^(B237-p_dis_year),1)</f>
        <v/>
      </c>
      <c r="G237" s="26">
        <f>INDEX(Calib!$N$1:$N$13,$D237)*(1-p_rent_decline*MIN(1,C237/26))</f>
        <v/>
      </c>
      <c r="H237" s="26">
        <f>IF(C237=0,0,SUMIFS(dl_val,dl_iso,$A237,dl_ind,"pub_cap",dl_year,$B237)/100)</f>
        <v/>
      </c>
      <c r="I237" s="26">
        <f>IF(C237=0,0,SUMIFS(dl_val,dl_iso,$A237,dl_ind,"pub_spend",dl_year,$B237)/100)</f>
        <v/>
      </c>
      <c r="J237" s="26">
        <f>IF(C237=0,0,SUMIFS(dl_val,dl_iso,$A237,dl_ind,"rev",dl_year,$B237)/100)</f>
        <v/>
      </c>
      <c r="K237" s="26">
        <f>(1-p_delta_g)*K236*(1-p_eps_g*$E237)+INDEX(Calib!$E$1:$E$13,$D237)*(INDEX(Calib!$G$1:$G$13,$D237)+0*$H237)</f>
        <v/>
      </c>
      <c r="L237" s="26">
        <f>L236*(1-p_eps_k*$E237)+p_lambda_k*(N237-L236*(1-p_eps_k*$E237))</f>
        <v/>
      </c>
      <c r="M237" s="26">
        <f>INDEX(Calib!$R$1:$R$13,$D237)*$F237*(K236*(1-p_eps_g*$E237))^INDEX(Calib!$Q$1:$Q$13,$D237)*(L236*(1-p_eps_k*$E237))^p_alpha</f>
        <v/>
      </c>
      <c r="N237" s="26">
        <f>p_alpha*(1-INDEX(Calib!$H$1:$H$13,$D237))*M237/(INDEX(Calib!$K$1:$K$13,$D237)+p_delta)</f>
        <v/>
      </c>
      <c r="O237" s="26">
        <f>M237+$G237</f>
        <v/>
      </c>
      <c r="P237" s="26">
        <f>0*($H237+$I237)</f>
        <v/>
      </c>
      <c r="Q237" s="26">
        <f>INDEX(Calib!$I$1:$I$13,$D237)+p_sh_grant*P237</f>
        <v/>
      </c>
      <c r="R237" s="26">
        <f>INDEX(Calib!$H$1:$H$13,$D237)*M237+p_gov_take*$G237+Q237+0*p_pricing*$J237</f>
        <v/>
      </c>
      <c r="S237" s="26">
        <f>INDEX(Calib!$Y$1:$Y$13,$D237)-INDEX(Calib!$Z$1:$Z$13,$D237)*(V236/O236-INDEX(Calib!$AA$1:$AA$13,$D237))</f>
        <v/>
      </c>
      <c r="T237" s="26">
        <f>INDEX(Calib!$X$1:$X$13,$D237)+INDEX(Calib!$G$1:$G$13,$D237)+P237+S237-R237</f>
        <v/>
      </c>
      <c r="U237" s="26">
        <f>p_rk*W236+Y236*(V236-W236)</f>
        <v/>
      </c>
      <c r="V237" s="26">
        <f>V236+U237+T237</f>
        <v/>
      </c>
      <c r="W237" s="26">
        <f>INDEX(Calib!$U$1:$U$13,$D237)+(W236-INDEX(Calib!$U$1:$U$13,$D237))*(1-p_amort)+p_sh_conc*P237</f>
        <v/>
      </c>
      <c r="X237" s="26">
        <f>V237/O237</f>
        <v/>
      </c>
      <c r="Y237" s="26">
        <f>INDEX(Calib!$K$1:$K$13,$D237)+p_eta*MAX(0,X237-INDEX(Calib!$AA$1:$AA$13,$D237))</f>
        <v/>
      </c>
      <c r="Z237" s="26">
        <f>(1-INDEX(Calib!$H$1:$H$13,$D237))*(1-p_alpha)*M237+S237</f>
        <v/>
      </c>
      <c r="AA237" s="26">
        <f>(1-p_delta_g)*AA236*(1-p_eps_g*$E237)+INDEX(Calib!$E$1:$E$13,$D237)*(INDEX(Calib!$G$1:$G$13,$D237)+p_programme*$H237)</f>
        <v/>
      </c>
      <c r="AB237" s="26">
        <f>AB236*(1-p_eps_k*$E237)+p_lambda_k*(AD237-AB236*(1-p_eps_k*$E237))</f>
        <v/>
      </c>
      <c r="AC237" s="26">
        <f>INDEX(Calib!$R$1:$R$13,$D237)*$F237*(AA236*(1-p_eps_g*$E237))^INDEX(Calib!$Q$1:$Q$13,$D237)*(AB236*(1-p_eps_k*$E237))^p_alpha</f>
        <v/>
      </c>
      <c r="AD237" s="26">
        <f>p_alpha*(1-INDEX(Calib!$H$1:$H$13,$D237))*AC237/(INDEX(Calib!$K$1:$K$13,$D237)+p_delta)</f>
        <v/>
      </c>
      <c r="AE237" s="26">
        <f>AC237+$G237</f>
        <v/>
      </c>
      <c r="AF237" s="26">
        <f>p_programme*($H237+$I237)</f>
        <v/>
      </c>
      <c r="AG237" s="26">
        <f>INDEX(Calib!$I$1:$I$13,$D237)+p_sh_grant*AF237</f>
        <v/>
      </c>
      <c r="AH237" s="26">
        <f>INDEX(Calib!$H$1:$H$13,$D237)*AC237+p_gov_take*$G237+AG237+p_programme*p_pricing*$J237</f>
        <v/>
      </c>
      <c r="AI237" s="26">
        <f>INDEX(Calib!$Y$1:$Y$13,$D237)-INDEX(Calib!$Z$1:$Z$13,$D237)*(AL236/AE236-INDEX(Calib!$AA$1:$AA$13,$D237))</f>
        <v/>
      </c>
      <c r="AJ237" s="26">
        <f>INDEX(Calib!$X$1:$X$13,$D237)+INDEX(Calib!$G$1:$G$13,$D237)+AF237+AI237-AH237</f>
        <v/>
      </c>
      <c r="AK237" s="26">
        <f>p_rk*AM236+AO236*(AL236-AM236)</f>
        <v/>
      </c>
      <c r="AL237" s="26">
        <f>AL236+AK237+AJ237</f>
        <v/>
      </c>
      <c r="AM237" s="26">
        <f>INDEX(Calib!$U$1:$U$13,$D237)+(AM236-INDEX(Calib!$U$1:$U$13,$D237))*(1-p_amort)+p_sh_conc*AF237</f>
        <v/>
      </c>
      <c r="AN237" s="26">
        <f>AL237/AE237</f>
        <v/>
      </c>
      <c r="AO237" s="26">
        <f>INDEX(Calib!$K$1:$K$13,$D237)+p_eta*MAX(0,AN237-INDEX(Calib!$AA$1:$AA$13,$D237))</f>
        <v/>
      </c>
      <c r="AP237" s="26">
        <f>(1-INDEX(Calib!$H$1:$H$13,$D237))*(1-p_alpha)*AC237+AI237</f>
        <v/>
      </c>
      <c r="AQ237" s="26">
        <f>(AE237/O237-1)*100</f>
        <v/>
      </c>
      <c r="AR237" s="26">
        <f>(AE237/AE218-1)*100</f>
        <v/>
      </c>
      <c r="AS237" s="26">
        <f>(O237/O218-1)*100</f>
        <v/>
      </c>
      <c r="AT237" s="26">
        <f>(AN237-X237)*100</f>
        <v/>
      </c>
      <c r="AU237" s="26">
        <f>(AP237/Z237-1)*100</f>
        <v/>
      </c>
      <c r="AV237" s="26">
        <f>(AI237-S237)*100</f>
        <v/>
      </c>
    </row>
    <row r="238">
      <c r="A238" s="25" t="inlineStr">
        <is>
          <t>SEN</t>
        </is>
      </c>
      <c r="B238" s="25" t="n">
        <v>2044</v>
      </c>
      <c r="C238" s="25" t="n">
        <v>20</v>
      </c>
      <c r="D238" s="25" t="n">
        <v>10</v>
      </c>
      <c r="E238" s="25">
        <f>IF(AND(p_dis_year&gt;0,B238=p_dis_year),1,0)</f>
        <v/>
      </c>
      <c r="F238" s="26">
        <f>IF(AND(p_dis_year&gt;0,B238&gt;=p_dis_year),1-p_eps_a*p_rho_a^(B238-p_dis_year),1)</f>
        <v/>
      </c>
      <c r="G238" s="26">
        <f>INDEX(Calib!$N$1:$N$13,$D238)*(1-p_rent_decline*MIN(1,C238/26))</f>
        <v/>
      </c>
      <c r="H238" s="26">
        <f>IF(C238=0,0,SUMIFS(dl_val,dl_iso,$A238,dl_ind,"pub_cap",dl_year,$B238)/100)</f>
        <v/>
      </c>
      <c r="I238" s="26">
        <f>IF(C238=0,0,SUMIFS(dl_val,dl_iso,$A238,dl_ind,"pub_spend",dl_year,$B238)/100)</f>
        <v/>
      </c>
      <c r="J238" s="26">
        <f>IF(C238=0,0,SUMIFS(dl_val,dl_iso,$A238,dl_ind,"rev",dl_year,$B238)/100)</f>
        <v/>
      </c>
      <c r="K238" s="26">
        <f>(1-p_delta_g)*K237*(1-p_eps_g*$E238)+INDEX(Calib!$E$1:$E$13,$D238)*(INDEX(Calib!$G$1:$G$13,$D238)+0*$H238)</f>
        <v/>
      </c>
      <c r="L238" s="26">
        <f>L237*(1-p_eps_k*$E238)+p_lambda_k*(N238-L237*(1-p_eps_k*$E238))</f>
        <v/>
      </c>
      <c r="M238" s="26">
        <f>INDEX(Calib!$R$1:$R$13,$D238)*$F238*(K237*(1-p_eps_g*$E238))^INDEX(Calib!$Q$1:$Q$13,$D238)*(L237*(1-p_eps_k*$E238))^p_alpha</f>
        <v/>
      </c>
      <c r="N238" s="26">
        <f>p_alpha*(1-INDEX(Calib!$H$1:$H$13,$D238))*M238/(INDEX(Calib!$K$1:$K$13,$D238)+p_delta)</f>
        <v/>
      </c>
      <c r="O238" s="26">
        <f>M238+$G238</f>
        <v/>
      </c>
      <c r="P238" s="26">
        <f>0*($H238+$I238)</f>
        <v/>
      </c>
      <c r="Q238" s="26">
        <f>INDEX(Calib!$I$1:$I$13,$D238)+p_sh_grant*P238</f>
        <v/>
      </c>
      <c r="R238" s="26">
        <f>INDEX(Calib!$H$1:$H$13,$D238)*M238+p_gov_take*$G238+Q238+0*p_pricing*$J238</f>
        <v/>
      </c>
      <c r="S238" s="26">
        <f>INDEX(Calib!$Y$1:$Y$13,$D238)-INDEX(Calib!$Z$1:$Z$13,$D238)*(V237/O237-INDEX(Calib!$AA$1:$AA$13,$D238))</f>
        <v/>
      </c>
      <c r="T238" s="26">
        <f>INDEX(Calib!$X$1:$X$13,$D238)+INDEX(Calib!$G$1:$G$13,$D238)+P238+S238-R238</f>
        <v/>
      </c>
      <c r="U238" s="26">
        <f>p_rk*W237+Y237*(V237-W237)</f>
        <v/>
      </c>
      <c r="V238" s="26">
        <f>V237+U238+T238</f>
        <v/>
      </c>
      <c r="W238" s="26">
        <f>INDEX(Calib!$U$1:$U$13,$D238)+(W237-INDEX(Calib!$U$1:$U$13,$D238))*(1-p_amort)+p_sh_conc*P238</f>
        <v/>
      </c>
      <c r="X238" s="26">
        <f>V238/O238</f>
        <v/>
      </c>
      <c r="Y238" s="26">
        <f>INDEX(Calib!$K$1:$K$13,$D238)+p_eta*MAX(0,X238-INDEX(Calib!$AA$1:$AA$13,$D238))</f>
        <v/>
      </c>
      <c r="Z238" s="26">
        <f>(1-INDEX(Calib!$H$1:$H$13,$D238))*(1-p_alpha)*M238+S238</f>
        <v/>
      </c>
      <c r="AA238" s="26">
        <f>(1-p_delta_g)*AA237*(1-p_eps_g*$E238)+INDEX(Calib!$E$1:$E$13,$D238)*(INDEX(Calib!$G$1:$G$13,$D238)+p_programme*$H238)</f>
        <v/>
      </c>
      <c r="AB238" s="26">
        <f>AB237*(1-p_eps_k*$E238)+p_lambda_k*(AD238-AB237*(1-p_eps_k*$E238))</f>
        <v/>
      </c>
      <c r="AC238" s="26">
        <f>INDEX(Calib!$R$1:$R$13,$D238)*$F238*(AA237*(1-p_eps_g*$E238))^INDEX(Calib!$Q$1:$Q$13,$D238)*(AB237*(1-p_eps_k*$E238))^p_alpha</f>
        <v/>
      </c>
      <c r="AD238" s="26">
        <f>p_alpha*(1-INDEX(Calib!$H$1:$H$13,$D238))*AC238/(INDEX(Calib!$K$1:$K$13,$D238)+p_delta)</f>
        <v/>
      </c>
      <c r="AE238" s="26">
        <f>AC238+$G238</f>
        <v/>
      </c>
      <c r="AF238" s="26">
        <f>p_programme*($H238+$I238)</f>
        <v/>
      </c>
      <c r="AG238" s="26">
        <f>INDEX(Calib!$I$1:$I$13,$D238)+p_sh_grant*AF238</f>
        <v/>
      </c>
      <c r="AH238" s="26">
        <f>INDEX(Calib!$H$1:$H$13,$D238)*AC238+p_gov_take*$G238+AG238+p_programme*p_pricing*$J238</f>
        <v/>
      </c>
      <c r="AI238" s="26">
        <f>INDEX(Calib!$Y$1:$Y$13,$D238)-INDEX(Calib!$Z$1:$Z$13,$D238)*(AL237/AE237-INDEX(Calib!$AA$1:$AA$13,$D238))</f>
        <v/>
      </c>
      <c r="AJ238" s="26">
        <f>INDEX(Calib!$X$1:$X$13,$D238)+INDEX(Calib!$G$1:$G$13,$D238)+AF238+AI238-AH238</f>
        <v/>
      </c>
      <c r="AK238" s="26">
        <f>p_rk*AM237+AO237*(AL237-AM237)</f>
        <v/>
      </c>
      <c r="AL238" s="26">
        <f>AL237+AK238+AJ238</f>
        <v/>
      </c>
      <c r="AM238" s="26">
        <f>INDEX(Calib!$U$1:$U$13,$D238)+(AM237-INDEX(Calib!$U$1:$U$13,$D238))*(1-p_amort)+p_sh_conc*AF238</f>
        <v/>
      </c>
      <c r="AN238" s="26">
        <f>AL238/AE238</f>
        <v/>
      </c>
      <c r="AO238" s="26">
        <f>INDEX(Calib!$K$1:$K$13,$D238)+p_eta*MAX(0,AN238-INDEX(Calib!$AA$1:$AA$13,$D238))</f>
        <v/>
      </c>
      <c r="AP238" s="26">
        <f>(1-INDEX(Calib!$H$1:$H$13,$D238))*(1-p_alpha)*AC238+AI238</f>
        <v/>
      </c>
      <c r="AQ238" s="26">
        <f>(AE238/O238-1)*100</f>
        <v/>
      </c>
      <c r="AR238" s="26">
        <f>(AE238/AE218-1)*100</f>
        <v/>
      </c>
      <c r="AS238" s="26">
        <f>(O238/O218-1)*100</f>
        <v/>
      </c>
      <c r="AT238" s="26">
        <f>(AN238-X238)*100</f>
        <v/>
      </c>
      <c r="AU238" s="26">
        <f>(AP238/Z238-1)*100</f>
        <v/>
      </c>
      <c r="AV238" s="26">
        <f>(AI238-S238)*100</f>
        <v/>
      </c>
    </row>
    <row r="239">
      <c r="A239" s="25" t="inlineStr">
        <is>
          <t>SEN</t>
        </is>
      </c>
      <c r="B239" s="25" t="n">
        <v>2045</v>
      </c>
      <c r="C239" s="25" t="n">
        <v>21</v>
      </c>
      <c r="D239" s="25" t="n">
        <v>10</v>
      </c>
      <c r="E239" s="25">
        <f>IF(AND(p_dis_year&gt;0,B239=p_dis_year),1,0)</f>
        <v/>
      </c>
      <c r="F239" s="26">
        <f>IF(AND(p_dis_year&gt;0,B239&gt;=p_dis_year),1-p_eps_a*p_rho_a^(B239-p_dis_year),1)</f>
        <v/>
      </c>
      <c r="G239" s="26">
        <f>INDEX(Calib!$N$1:$N$13,$D239)*(1-p_rent_decline*MIN(1,C239/26))</f>
        <v/>
      </c>
      <c r="H239" s="26">
        <f>IF(C239=0,0,SUMIFS(dl_val,dl_iso,$A239,dl_ind,"pub_cap",dl_year,$B239)/100)</f>
        <v/>
      </c>
      <c r="I239" s="26">
        <f>IF(C239=0,0,SUMIFS(dl_val,dl_iso,$A239,dl_ind,"pub_spend",dl_year,$B239)/100)</f>
        <v/>
      </c>
      <c r="J239" s="26">
        <f>IF(C239=0,0,SUMIFS(dl_val,dl_iso,$A239,dl_ind,"rev",dl_year,$B239)/100)</f>
        <v/>
      </c>
      <c r="K239" s="26">
        <f>(1-p_delta_g)*K238*(1-p_eps_g*$E239)+INDEX(Calib!$E$1:$E$13,$D239)*(INDEX(Calib!$G$1:$G$13,$D239)+0*$H239)</f>
        <v/>
      </c>
      <c r="L239" s="26">
        <f>L238*(1-p_eps_k*$E239)+p_lambda_k*(N239-L238*(1-p_eps_k*$E239))</f>
        <v/>
      </c>
      <c r="M239" s="26">
        <f>INDEX(Calib!$R$1:$R$13,$D239)*$F239*(K238*(1-p_eps_g*$E239))^INDEX(Calib!$Q$1:$Q$13,$D239)*(L238*(1-p_eps_k*$E239))^p_alpha</f>
        <v/>
      </c>
      <c r="N239" s="26">
        <f>p_alpha*(1-INDEX(Calib!$H$1:$H$13,$D239))*M239/(INDEX(Calib!$K$1:$K$13,$D239)+p_delta)</f>
        <v/>
      </c>
      <c r="O239" s="26">
        <f>M239+$G239</f>
        <v/>
      </c>
      <c r="P239" s="26">
        <f>0*($H239+$I239)</f>
        <v/>
      </c>
      <c r="Q239" s="26">
        <f>INDEX(Calib!$I$1:$I$13,$D239)+p_sh_grant*P239</f>
        <v/>
      </c>
      <c r="R239" s="26">
        <f>INDEX(Calib!$H$1:$H$13,$D239)*M239+p_gov_take*$G239+Q239+0*p_pricing*$J239</f>
        <v/>
      </c>
      <c r="S239" s="26">
        <f>INDEX(Calib!$Y$1:$Y$13,$D239)-INDEX(Calib!$Z$1:$Z$13,$D239)*(V238/O238-INDEX(Calib!$AA$1:$AA$13,$D239))</f>
        <v/>
      </c>
      <c r="T239" s="26">
        <f>INDEX(Calib!$X$1:$X$13,$D239)+INDEX(Calib!$G$1:$G$13,$D239)+P239+S239-R239</f>
        <v/>
      </c>
      <c r="U239" s="26">
        <f>p_rk*W238+Y238*(V238-W238)</f>
        <v/>
      </c>
      <c r="V239" s="26">
        <f>V238+U239+T239</f>
        <v/>
      </c>
      <c r="W239" s="26">
        <f>INDEX(Calib!$U$1:$U$13,$D239)+(W238-INDEX(Calib!$U$1:$U$13,$D239))*(1-p_amort)+p_sh_conc*P239</f>
        <v/>
      </c>
      <c r="X239" s="26">
        <f>V239/O239</f>
        <v/>
      </c>
      <c r="Y239" s="26">
        <f>INDEX(Calib!$K$1:$K$13,$D239)+p_eta*MAX(0,X239-INDEX(Calib!$AA$1:$AA$13,$D239))</f>
        <v/>
      </c>
      <c r="Z239" s="26">
        <f>(1-INDEX(Calib!$H$1:$H$13,$D239))*(1-p_alpha)*M239+S239</f>
        <v/>
      </c>
      <c r="AA239" s="26">
        <f>(1-p_delta_g)*AA238*(1-p_eps_g*$E239)+INDEX(Calib!$E$1:$E$13,$D239)*(INDEX(Calib!$G$1:$G$13,$D239)+p_programme*$H239)</f>
        <v/>
      </c>
      <c r="AB239" s="26">
        <f>AB238*(1-p_eps_k*$E239)+p_lambda_k*(AD239-AB238*(1-p_eps_k*$E239))</f>
        <v/>
      </c>
      <c r="AC239" s="26">
        <f>INDEX(Calib!$R$1:$R$13,$D239)*$F239*(AA238*(1-p_eps_g*$E239))^INDEX(Calib!$Q$1:$Q$13,$D239)*(AB238*(1-p_eps_k*$E239))^p_alpha</f>
        <v/>
      </c>
      <c r="AD239" s="26">
        <f>p_alpha*(1-INDEX(Calib!$H$1:$H$13,$D239))*AC239/(INDEX(Calib!$K$1:$K$13,$D239)+p_delta)</f>
        <v/>
      </c>
      <c r="AE239" s="26">
        <f>AC239+$G239</f>
        <v/>
      </c>
      <c r="AF239" s="26">
        <f>p_programme*($H239+$I239)</f>
        <v/>
      </c>
      <c r="AG239" s="26">
        <f>INDEX(Calib!$I$1:$I$13,$D239)+p_sh_grant*AF239</f>
        <v/>
      </c>
      <c r="AH239" s="26">
        <f>INDEX(Calib!$H$1:$H$13,$D239)*AC239+p_gov_take*$G239+AG239+p_programme*p_pricing*$J239</f>
        <v/>
      </c>
      <c r="AI239" s="26">
        <f>INDEX(Calib!$Y$1:$Y$13,$D239)-INDEX(Calib!$Z$1:$Z$13,$D239)*(AL238/AE238-INDEX(Calib!$AA$1:$AA$13,$D239))</f>
        <v/>
      </c>
      <c r="AJ239" s="26">
        <f>INDEX(Calib!$X$1:$X$13,$D239)+INDEX(Calib!$G$1:$G$13,$D239)+AF239+AI239-AH239</f>
        <v/>
      </c>
      <c r="AK239" s="26">
        <f>p_rk*AM238+AO238*(AL238-AM238)</f>
        <v/>
      </c>
      <c r="AL239" s="26">
        <f>AL238+AK239+AJ239</f>
        <v/>
      </c>
      <c r="AM239" s="26">
        <f>INDEX(Calib!$U$1:$U$13,$D239)+(AM238-INDEX(Calib!$U$1:$U$13,$D239))*(1-p_amort)+p_sh_conc*AF239</f>
        <v/>
      </c>
      <c r="AN239" s="26">
        <f>AL239/AE239</f>
        <v/>
      </c>
      <c r="AO239" s="26">
        <f>INDEX(Calib!$K$1:$K$13,$D239)+p_eta*MAX(0,AN239-INDEX(Calib!$AA$1:$AA$13,$D239))</f>
        <v/>
      </c>
      <c r="AP239" s="26">
        <f>(1-INDEX(Calib!$H$1:$H$13,$D239))*(1-p_alpha)*AC239+AI239</f>
        <v/>
      </c>
      <c r="AQ239" s="26">
        <f>(AE239/O239-1)*100</f>
        <v/>
      </c>
      <c r="AR239" s="26">
        <f>(AE239/AE218-1)*100</f>
        <v/>
      </c>
      <c r="AS239" s="26">
        <f>(O239/O218-1)*100</f>
        <v/>
      </c>
      <c r="AT239" s="26">
        <f>(AN239-X239)*100</f>
        <v/>
      </c>
      <c r="AU239" s="26">
        <f>(AP239/Z239-1)*100</f>
        <v/>
      </c>
      <c r="AV239" s="26">
        <f>(AI239-S239)*100</f>
        <v/>
      </c>
    </row>
    <row r="240">
      <c r="A240" s="25" t="inlineStr">
        <is>
          <t>SEN</t>
        </is>
      </c>
      <c r="B240" s="25" t="n">
        <v>2046</v>
      </c>
      <c r="C240" s="25" t="n">
        <v>22</v>
      </c>
      <c r="D240" s="25" t="n">
        <v>10</v>
      </c>
      <c r="E240" s="25">
        <f>IF(AND(p_dis_year&gt;0,B240=p_dis_year),1,0)</f>
        <v/>
      </c>
      <c r="F240" s="26">
        <f>IF(AND(p_dis_year&gt;0,B240&gt;=p_dis_year),1-p_eps_a*p_rho_a^(B240-p_dis_year),1)</f>
        <v/>
      </c>
      <c r="G240" s="26">
        <f>INDEX(Calib!$N$1:$N$13,$D240)*(1-p_rent_decline*MIN(1,C240/26))</f>
        <v/>
      </c>
      <c r="H240" s="26">
        <f>IF(C240=0,0,SUMIFS(dl_val,dl_iso,$A240,dl_ind,"pub_cap",dl_year,$B240)/100)</f>
        <v/>
      </c>
      <c r="I240" s="26">
        <f>IF(C240=0,0,SUMIFS(dl_val,dl_iso,$A240,dl_ind,"pub_spend",dl_year,$B240)/100)</f>
        <v/>
      </c>
      <c r="J240" s="26">
        <f>IF(C240=0,0,SUMIFS(dl_val,dl_iso,$A240,dl_ind,"rev",dl_year,$B240)/100)</f>
        <v/>
      </c>
      <c r="K240" s="26">
        <f>(1-p_delta_g)*K239*(1-p_eps_g*$E240)+INDEX(Calib!$E$1:$E$13,$D240)*(INDEX(Calib!$G$1:$G$13,$D240)+0*$H240)</f>
        <v/>
      </c>
      <c r="L240" s="26">
        <f>L239*(1-p_eps_k*$E240)+p_lambda_k*(N240-L239*(1-p_eps_k*$E240))</f>
        <v/>
      </c>
      <c r="M240" s="26">
        <f>INDEX(Calib!$R$1:$R$13,$D240)*$F240*(K239*(1-p_eps_g*$E240))^INDEX(Calib!$Q$1:$Q$13,$D240)*(L239*(1-p_eps_k*$E240))^p_alpha</f>
        <v/>
      </c>
      <c r="N240" s="26">
        <f>p_alpha*(1-INDEX(Calib!$H$1:$H$13,$D240))*M240/(INDEX(Calib!$K$1:$K$13,$D240)+p_delta)</f>
        <v/>
      </c>
      <c r="O240" s="26">
        <f>M240+$G240</f>
        <v/>
      </c>
      <c r="P240" s="26">
        <f>0*($H240+$I240)</f>
        <v/>
      </c>
      <c r="Q240" s="26">
        <f>INDEX(Calib!$I$1:$I$13,$D240)+p_sh_grant*P240</f>
        <v/>
      </c>
      <c r="R240" s="26">
        <f>INDEX(Calib!$H$1:$H$13,$D240)*M240+p_gov_take*$G240+Q240+0*p_pricing*$J240</f>
        <v/>
      </c>
      <c r="S240" s="26">
        <f>INDEX(Calib!$Y$1:$Y$13,$D240)-INDEX(Calib!$Z$1:$Z$13,$D240)*(V239/O239-INDEX(Calib!$AA$1:$AA$13,$D240))</f>
        <v/>
      </c>
      <c r="T240" s="26">
        <f>INDEX(Calib!$X$1:$X$13,$D240)+INDEX(Calib!$G$1:$G$13,$D240)+P240+S240-R240</f>
        <v/>
      </c>
      <c r="U240" s="26">
        <f>p_rk*W239+Y239*(V239-W239)</f>
        <v/>
      </c>
      <c r="V240" s="26">
        <f>V239+U240+T240</f>
        <v/>
      </c>
      <c r="W240" s="26">
        <f>INDEX(Calib!$U$1:$U$13,$D240)+(W239-INDEX(Calib!$U$1:$U$13,$D240))*(1-p_amort)+p_sh_conc*P240</f>
        <v/>
      </c>
      <c r="X240" s="26">
        <f>V240/O240</f>
        <v/>
      </c>
      <c r="Y240" s="26">
        <f>INDEX(Calib!$K$1:$K$13,$D240)+p_eta*MAX(0,X240-INDEX(Calib!$AA$1:$AA$13,$D240))</f>
        <v/>
      </c>
      <c r="Z240" s="26">
        <f>(1-INDEX(Calib!$H$1:$H$13,$D240))*(1-p_alpha)*M240+S240</f>
        <v/>
      </c>
      <c r="AA240" s="26">
        <f>(1-p_delta_g)*AA239*(1-p_eps_g*$E240)+INDEX(Calib!$E$1:$E$13,$D240)*(INDEX(Calib!$G$1:$G$13,$D240)+p_programme*$H240)</f>
        <v/>
      </c>
      <c r="AB240" s="26">
        <f>AB239*(1-p_eps_k*$E240)+p_lambda_k*(AD240-AB239*(1-p_eps_k*$E240))</f>
        <v/>
      </c>
      <c r="AC240" s="26">
        <f>INDEX(Calib!$R$1:$R$13,$D240)*$F240*(AA239*(1-p_eps_g*$E240))^INDEX(Calib!$Q$1:$Q$13,$D240)*(AB239*(1-p_eps_k*$E240))^p_alpha</f>
        <v/>
      </c>
      <c r="AD240" s="26">
        <f>p_alpha*(1-INDEX(Calib!$H$1:$H$13,$D240))*AC240/(INDEX(Calib!$K$1:$K$13,$D240)+p_delta)</f>
        <v/>
      </c>
      <c r="AE240" s="26">
        <f>AC240+$G240</f>
        <v/>
      </c>
      <c r="AF240" s="26">
        <f>p_programme*($H240+$I240)</f>
        <v/>
      </c>
      <c r="AG240" s="26">
        <f>INDEX(Calib!$I$1:$I$13,$D240)+p_sh_grant*AF240</f>
        <v/>
      </c>
      <c r="AH240" s="26">
        <f>INDEX(Calib!$H$1:$H$13,$D240)*AC240+p_gov_take*$G240+AG240+p_programme*p_pricing*$J240</f>
        <v/>
      </c>
      <c r="AI240" s="26">
        <f>INDEX(Calib!$Y$1:$Y$13,$D240)-INDEX(Calib!$Z$1:$Z$13,$D240)*(AL239/AE239-INDEX(Calib!$AA$1:$AA$13,$D240))</f>
        <v/>
      </c>
      <c r="AJ240" s="26">
        <f>INDEX(Calib!$X$1:$X$13,$D240)+INDEX(Calib!$G$1:$G$13,$D240)+AF240+AI240-AH240</f>
        <v/>
      </c>
      <c r="AK240" s="26">
        <f>p_rk*AM239+AO239*(AL239-AM239)</f>
        <v/>
      </c>
      <c r="AL240" s="26">
        <f>AL239+AK240+AJ240</f>
        <v/>
      </c>
      <c r="AM240" s="26">
        <f>INDEX(Calib!$U$1:$U$13,$D240)+(AM239-INDEX(Calib!$U$1:$U$13,$D240))*(1-p_amort)+p_sh_conc*AF240</f>
        <v/>
      </c>
      <c r="AN240" s="26">
        <f>AL240/AE240</f>
        <v/>
      </c>
      <c r="AO240" s="26">
        <f>INDEX(Calib!$K$1:$K$13,$D240)+p_eta*MAX(0,AN240-INDEX(Calib!$AA$1:$AA$13,$D240))</f>
        <v/>
      </c>
      <c r="AP240" s="26">
        <f>(1-INDEX(Calib!$H$1:$H$13,$D240))*(1-p_alpha)*AC240+AI240</f>
        <v/>
      </c>
      <c r="AQ240" s="26">
        <f>(AE240/O240-1)*100</f>
        <v/>
      </c>
      <c r="AR240" s="26">
        <f>(AE240/AE218-1)*100</f>
        <v/>
      </c>
      <c r="AS240" s="26">
        <f>(O240/O218-1)*100</f>
        <v/>
      </c>
      <c r="AT240" s="26">
        <f>(AN240-X240)*100</f>
        <v/>
      </c>
      <c r="AU240" s="26">
        <f>(AP240/Z240-1)*100</f>
        <v/>
      </c>
      <c r="AV240" s="26">
        <f>(AI240-S240)*100</f>
        <v/>
      </c>
    </row>
    <row r="241">
      <c r="A241" s="25" t="inlineStr">
        <is>
          <t>SEN</t>
        </is>
      </c>
      <c r="B241" s="25" t="n">
        <v>2047</v>
      </c>
      <c r="C241" s="25" t="n">
        <v>23</v>
      </c>
      <c r="D241" s="25" t="n">
        <v>10</v>
      </c>
      <c r="E241" s="25">
        <f>IF(AND(p_dis_year&gt;0,B241=p_dis_year),1,0)</f>
        <v/>
      </c>
      <c r="F241" s="26">
        <f>IF(AND(p_dis_year&gt;0,B241&gt;=p_dis_year),1-p_eps_a*p_rho_a^(B241-p_dis_year),1)</f>
        <v/>
      </c>
      <c r="G241" s="26">
        <f>INDEX(Calib!$N$1:$N$13,$D241)*(1-p_rent_decline*MIN(1,C241/26))</f>
        <v/>
      </c>
      <c r="H241" s="26">
        <f>IF(C241=0,0,SUMIFS(dl_val,dl_iso,$A241,dl_ind,"pub_cap",dl_year,$B241)/100)</f>
        <v/>
      </c>
      <c r="I241" s="26">
        <f>IF(C241=0,0,SUMIFS(dl_val,dl_iso,$A241,dl_ind,"pub_spend",dl_year,$B241)/100)</f>
        <v/>
      </c>
      <c r="J241" s="26">
        <f>IF(C241=0,0,SUMIFS(dl_val,dl_iso,$A241,dl_ind,"rev",dl_year,$B241)/100)</f>
        <v/>
      </c>
      <c r="K241" s="26">
        <f>(1-p_delta_g)*K240*(1-p_eps_g*$E241)+INDEX(Calib!$E$1:$E$13,$D241)*(INDEX(Calib!$G$1:$G$13,$D241)+0*$H241)</f>
        <v/>
      </c>
      <c r="L241" s="26">
        <f>L240*(1-p_eps_k*$E241)+p_lambda_k*(N241-L240*(1-p_eps_k*$E241))</f>
        <v/>
      </c>
      <c r="M241" s="26">
        <f>INDEX(Calib!$R$1:$R$13,$D241)*$F241*(K240*(1-p_eps_g*$E241))^INDEX(Calib!$Q$1:$Q$13,$D241)*(L240*(1-p_eps_k*$E241))^p_alpha</f>
        <v/>
      </c>
      <c r="N241" s="26">
        <f>p_alpha*(1-INDEX(Calib!$H$1:$H$13,$D241))*M241/(INDEX(Calib!$K$1:$K$13,$D241)+p_delta)</f>
        <v/>
      </c>
      <c r="O241" s="26">
        <f>M241+$G241</f>
        <v/>
      </c>
      <c r="P241" s="26">
        <f>0*($H241+$I241)</f>
        <v/>
      </c>
      <c r="Q241" s="26">
        <f>INDEX(Calib!$I$1:$I$13,$D241)+p_sh_grant*P241</f>
        <v/>
      </c>
      <c r="R241" s="26">
        <f>INDEX(Calib!$H$1:$H$13,$D241)*M241+p_gov_take*$G241+Q241+0*p_pricing*$J241</f>
        <v/>
      </c>
      <c r="S241" s="26">
        <f>INDEX(Calib!$Y$1:$Y$13,$D241)-INDEX(Calib!$Z$1:$Z$13,$D241)*(V240/O240-INDEX(Calib!$AA$1:$AA$13,$D241))</f>
        <v/>
      </c>
      <c r="T241" s="26">
        <f>INDEX(Calib!$X$1:$X$13,$D241)+INDEX(Calib!$G$1:$G$13,$D241)+P241+S241-R241</f>
        <v/>
      </c>
      <c r="U241" s="26">
        <f>p_rk*W240+Y240*(V240-W240)</f>
        <v/>
      </c>
      <c r="V241" s="26">
        <f>V240+U241+T241</f>
        <v/>
      </c>
      <c r="W241" s="26">
        <f>INDEX(Calib!$U$1:$U$13,$D241)+(W240-INDEX(Calib!$U$1:$U$13,$D241))*(1-p_amort)+p_sh_conc*P241</f>
        <v/>
      </c>
      <c r="X241" s="26">
        <f>V241/O241</f>
        <v/>
      </c>
      <c r="Y241" s="26">
        <f>INDEX(Calib!$K$1:$K$13,$D241)+p_eta*MAX(0,X241-INDEX(Calib!$AA$1:$AA$13,$D241))</f>
        <v/>
      </c>
      <c r="Z241" s="26">
        <f>(1-INDEX(Calib!$H$1:$H$13,$D241))*(1-p_alpha)*M241+S241</f>
        <v/>
      </c>
      <c r="AA241" s="26">
        <f>(1-p_delta_g)*AA240*(1-p_eps_g*$E241)+INDEX(Calib!$E$1:$E$13,$D241)*(INDEX(Calib!$G$1:$G$13,$D241)+p_programme*$H241)</f>
        <v/>
      </c>
      <c r="AB241" s="26">
        <f>AB240*(1-p_eps_k*$E241)+p_lambda_k*(AD241-AB240*(1-p_eps_k*$E241))</f>
        <v/>
      </c>
      <c r="AC241" s="26">
        <f>INDEX(Calib!$R$1:$R$13,$D241)*$F241*(AA240*(1-p_eps_g*$E241))^INDEX(Calib!$Q$1:$Q$13,$D241)*(AB240*(1-p_eps_k*$E241))^p_alpha</f>
        <v/>
      </c>
      <c r="AD241" s="26">
        <f>p_alpha*(1-INDEX(Calib!$H$1:$H$13,$D241))*AC241/(INDEX(Calib!$K$1:$K$13,$D241)+p_delta)</f>
        <v/>
      </c>
      <c r="AE241" s="26">
        <f>AC241+$G241</f>
        <v/>
      </c>
      <c r="AF241" s="26">
        <f>p_programme*($H241+$I241)</f>
        <v/>
      </c>
      <c r="AG241" s="26">
        <f>INDEX(Calib!$I$1:$I$13,$D241)+p_sh_grant*AF241</f>
        <v/>
      </c>
      <c r="AH241" s="26">
        <f>INDEX(Calib!$H$1:$H$13,$D241)*AC241+p_gov_take*$G241+AG241+p_programme*p_pricing*$J241</f>
        <v/>
      </c>
      <c r="AI241" s="26">
        <f>INDEX(Calib!$Y$1:$Y$13,$D241)-INDEX(Calib!$Z$1:$Z$13,$D241)*(AL240/AE240-INDEX(Calib!$AA$1:$AA$13,$D241))</f>
        <v/>
      </c>
      <c r="AJ241" s="26">
        <f>INDEX(Calib!$X$1:$X$13,$D241)+INDEX(Calib!$G$1:$G$13,$D241)+AF241+AI241-AH241</f>
        <v/>
      </c>
      <c r="AK241" s="26">
        <f>p_rk*AM240+AO240*(AL240-AM240)</f>
        <v/>
      </c>
      <c r="AL241" s="26">
        <f>AL240+AK241+AJ241</f>
        <v/>
      </c>
      <c r="AM241" s="26">
        <f>INDEX(Calib!$U$1:$U$13,$D241)+(AM240-INDEX(Calib!$U$1:$U$13,$D241))*(1-p_amort)+p_sh_conc*AF241</f>
        <v/>
      </c>
      <c r="AN241" s="26">
        <f>AL241/AE241</f>
        <v/>
      </c>
      <c r="AO241" s="26">
        <f>INDEX(Calib!$K$1:$K$13,$D241)+p_eta*MAX(0,AN241-INDEX(Calib!$AA$1:$AA$13,$D241))</f>
        <v/>
      </c>
      <c r="AP241" s="26">
        <f>(1-INDEX(Calib!$H$1:$H$13,$D241))*(1-p_alpha)*AC241+AI241</f>
        <v/>
      </c>
      <c r="AQ241" s="26">
        <f>(AE241/O241-1)*100</f>
        <v/>
      </c>
      <c r="AR241" s="26">
        <f>(AE241/AE218-1)*100</f>
        <v/>
      </c>
      <c r="AS241" s="26">
        <f>(O241/O218-1)*100</f>
        <v/>
      </c>
      <c r="AT241" s="26">
        <f>(AN241-X241)*100</f>
        <v/>
      </c>
      <c r="AU241" s="26">
        <f>(AP241/Z241-1)*100</f>
        <v/>
      </c>
      <c r="AV241" s="26">
        <f>(AI241-S241)*100</f>
        <v/>
      </c>
    </row>
    <row r="242">
      <c r="A242" s="25" t="inlineStr">
        <is>
          <t>SEN</t>
        </is>
      </c>
      <c r="B242" s="25" t="n">
        <v>2048</v>
      </c>
      <c r="C242" s="25" t="n">
        <v>24</v>
      </c>
      <c r="D242" s="25" t="n">
        <v>10</v>
      </c>
      <c r="E242" s="25">
        <f>IF(AND(p_dis_year&gt;0,B242=p_dis_year),1,0)</f>
        <v/>
      </c>
      <c r="F242" s="26">
        <f>IF(AND(p_dis_year&gt;0,B242&gt;=p_dis_year),1-p_eps_a*p_rho_a^(B242-p_dis_year),1)</f>
        <v/>
      </c>
      <c r="G242" s="26">
        <f>INDEX(Calib!$N$1:$N$13,$D242)*(1-p_rent_decline*MIN(1,C242/26))</f>
        <v/>
      </c>
      <c r="H242" s="26">
        <f>IF(C242=0,0,SUMIFS(dl_val,dl_iso,$A242,dl_ind,"pub_cap",dl_year,$B242)/100)</f>
        <v/>
      </c>
      <c r="I242" s="26">
        <f>IF(C242=0,0,SUMIFS(dl_val,dl_iso,$A242,dl_ind,"pub_spend",dl_year,$B242)/100)</f>
        <v/>
      </c>
      <c r="J242" s="26">
        <f>IF(C242=0,0,SUMIFS(dl_val,dl_iso,$A242,dl_ind,"rev",dl_year,$B242)/100)</f>
        <v/>
      </c>
      <c r="K242" s="26">
        <f>(1-p_delta_g)*K241*(1-p_eps_g*$E242)+INDEX(Calib!$E$1:$E$13,$D242)*(INDEX(Calib!$G$1:$G$13,$D242)+0*$H242)</f>
        <v/>
      </c>
      <c r="L242" s="26">
        <f>L241*(1-p_eps_k*$E242)+p_lambda_k*(N242-L241*(1-p_eps_k*$E242))</f>
        <v/>
      </c>
      <c r="M242" s="26">
        <f>INDEX(Calib!$R$1:$R$13,$D242)*$F242*(K241*(1-p_eps_g*$E242))^INDEX(Calib!$Q$1:$Q$13,$D242)*(L241*(1-p_eps_k*$E242))^p_alpha</f>
        <v/>
      </c>
      <c r="N242" s="26">
        <f>p_alpha*(1-INDEX(Calib!$H$1:$H$13,$D242))*M242/(INDEX(Calib!$K$1:$K$13,$D242)+p_delta)</f>
        <v/>
      </c>
      <c r="O242" s="26">
        <f>M242+$G242</f>
        <v/>
      </c>
      <c r="P242" s="26">
        <f>0*($H242+$I242)</f>
        <v/>
      </c>
      <c r="Q242" s="26">
        <f>INDEX(Calib!$I$1:$I$13,$D242)+p_sh_grant*P242</f>
        <v/>
      </c>
      <c r="R242" s="26">
        <f>INDEX(Calib!$H$1:$H$13,$D242)*M242+p_gov_take*$G242+Q242+0*p_pricing*$J242</f>
        <v/>
      </c>
      <c r="S242" s="26">
        <f>INDEX(Calib!$Y$1:$Y$13,$D242)-INDEX(Calib!$Z$1:$Z$13,$D242)*(V241/O241-INDEX(Calib!$AA$1:$AA$13,$D242))</f>
        <v/>
      </c>
      <c r="T242" s="26">
        <f>INDEX(Calib!$X$1:$X$13,$D242)+INDEX(Calib!$G$1:$G$13,$D242)+P242+S242-R242</f>
        <v/>
      </c>
      <c r="U242" s="26">
        <f>p_rk*W241+Y241*(V241-W241)</f>
        <v/>
      </c>
      <c r="V242" s="26">
        <f>V241+U242+T242</f>
        <v/>
      </c>
      <c r="W242" s="26">
        <f>INDEX(Calib!$U$1:$U$13,$D242)+(W241-INDEX(Calib!$U$1:$U$13,$D242))*(1-p_amort)+p_sh_conc*P242</f>
        <v/>
      </c>
      <c r="X242" s="26">
        <f>V242/O242</f>
        <v/>
      </c>
      <c r="Y242" s="26">
        <f>INDEX(Calib!$K$1:$K$13,$D242)+p_eta*MAX(0,X242-INDEX(Calib!$AA$1:$AA$13,$D242))</f>
        <v/>
      </c>
      <c r="Z242" s="26">
        <f>(1-INDEX(Calib!$H$1:$H$13,$D242))*(1-p_alpha)*M242+S242</f>
        <v/>
      </c>
      <c r="AA242" s="26">
        <f>(1-p_delta_g)*AA241*(1-p_eps_g*$E242)+INDEX(Calib!$E$1:$E$13,$D242)*(INDEX(Calib!$G$1:$G$13,$D242)+p_programme*$H242)</f>
        <v/>
      </c>
      <c r="AB242" s="26">
        <f>AB241*(1-p_eps_k*$E242)+p_lambda_k*(AD242-AB241*(1-p_eps_k*$E242))</f>
        <v/>
      </c>
      <c r="AC242" s="26">
        <f>INDEX(Calib!$R$1:$R$13,$D242)*$F242*(AA241*(1-p_eps_g*$E242))^INDEX(Calib!$Q$1:$Q$13,$D242)*(AB241*(1-p_eps_k*$E242))^p_alpha</f>
        <v/>
      </c>
      <c r="AD242" s="26">
        <f>p_alpha*(1-INDEX(Calib!$H$1:$H$13,$D242))*AC242/(INDEX(Calib!$K$1:$K$13,$D242)+p_delta)</f>
        <v/>
      </c>
      <c r="AE242" s="26">
        <f>AC242+$G242</f>
        <v/>
      </c>
      <c r="AF242" s="26">
        <f>p_programme*($H242+$I242)</f>
        <v/>
      </c>
      <c r="AG242" s="26">
        <f>INDEX(Calib!$I$1:$I$13,$D242)+p_sh_grant*AF242</f>
        <v/>
      </c>
      <c r="AH242" s="26">
        <f>INDEX(Calib!$H$1:$H$13,$D242)*AC242+p_gov_take*$G242+AG242+p_programme*p_pricing*$J242</f>
        <v/>
      </c>
      <c r="AI242" s="26">
        <f>INDEX(Calib!$Y$1:$Y$13,$D242)-INDEX(Calib!$Z$1:$Z$13,$D242)*(AL241/AE241-INDEX(Calib!$AA$1:$AA$13,$D242))</f>
        <v/>
      </c>
      <c r="AJ242" s="26">
        <f>INDEX(Calib!$X$1:$X$13,$D242)+INDEX(Calib!$G$1:$G$13,$D242)+AF242+AI242-AH242</f>
        <v/>
      </c>
      <c r="AK242" s="26">
        <f>p_rk*AM241+AO241*(AL241-AM241)</f>
        <v/>
      </c>
      <c r="AL242" s="26">
        <f>AL241+AK242+AJ242</f>
        <v/>
      </c>
      <c r="AM242" s="26">
        <f>INDEX(Calib!$U$1:$U$13,$D242)+(AM241-INDEX(Calib!$U$1:$U$13,$D242))*(1-p_amort)+p_sh_conc*AF242</f>
        <v/>
      </c>
      <c r="AN242" s="26">
        <f>AL242/AE242</f>
        <v/>
      </c>
      <c r="AO242" s="26">
        <f>INDEX(Calib!$K$1:$K$13,$D242)+p_eta*MAX(0,AN242-INDEX(Calib!$AA$1:$AA$13,$D242))</f>
        <v/>
      </c>
      <c r="AP242" s="26">
        <f>(1-INDEX(Calib!$H$1:$H$13,$D242))*(1-p_alpha)*AC242+AI242</f>
        <v/>
      </c>
      <c r="AQ242" s="26">
        <f>(AE242/O242-1)*100</f>
        <v/>
      </c>
      <c r="AR242" s="26">
        <f>(AE242/AE218-1)*100</f>
        <v/>
      </c>
      <c r="AS242" s="26">
        <f>(O242/O218-1)*100</f>
        <v/>
      </c>
      <c r="AT242" s="26">
        <f>(AN242-X242)*100</f>
        <v/>
      </c>
      <c r="AU242" s="26">
        <f>(AP242/Z242-1)*100</f>
        <v/>
      </c>
      <c r="AV242" s="26">
        <f>(AI242-S242)*100</f>
        <v/>
      </c>
    </row>
    <row r="243">
      <c r="A243" s="25" t="inlineStr">
        <is>
          <t>SEN</t>
        </is>
      </c>
      <c r="B243" s="25" t="n">
        <v>2049</v>
      </c>
      <c r="C243" s="25" t="n">
        <v>25</v>
      </c>
      <c r="D243" s="25" t="n">
        <v>10</v>
      </c>
      <c r="E243" s="25">
        <f>IF(AND(p_dis_year&gt;0,B243=p_dis_year),1,0)</f>
        <v/>
      </c>
      <c r="F243" s="26">
        <f>IF(AND(p_dis_year&gt;0,B243&gt;=p_dis_year),1-p_eps_a*p_rho_a^(B243-p_dis_year),1)</f>
        <v/>
      </c>
      <c r="G243" s="26">
        <f>INDEX(Calib!$N$1:$N$13,$D243)*(1-p_rent_decline*MIN(1,C243/26))</f>
        <v/>
      </c>
      <c r="H243" s="26">
        <f>IF(C243=0,0,SUMIFS(dl_val,dl_iso,$A243,dl_ind,"pub_cap",dl_year,$B243)/100)</f>
        <v/>
      </c>
      <c r="I243" s="26">
        <f>IF(C243=0,0,SUMIFS(dl_val,dl_iso,$A243,dl_ind,"pub_spend",dl_year,$B243)/100)</f>
        <v/>
      </c>
      <c r="J243" s="26">
        <f>IF(C243=0,0,SUMIFS(dl_val,dl_iso,$A243,dl_ind,"rev",dl_year,$B243)/100)</f>
        <v/>
      </c>
      <c r="K243" s="26">
        <f>(1-p_delta_g)*K242*(1-p_eps_g*$E243)+INDEX(Calib!$E$1:$E$13,$D243)*(INDEX(Calib!$G$1:$G$13,$D243)+0*$H243)</f>
        <v/>
      </c>
      <c r="L243" s="26">
        <f>L242*(1-p_eps_k*$E243)+p_lambda_k*(N243-L242*(1-p_eps_k*$E243))</f>
        <v/>
      </c>
      <c r="M243" s="26">
        <f>INDEX(Calib!$R$1:$R$13,$D243)*$F243*(K242*(1-p_eps_g*$E243))^INDEX(Calib!$Q$1:$Q$13,$D243)*(L242*(1-p_eps_k*$E243))^p_alpha</f>
        <v/>
      </c>
      <c r="N243" s="26">
        <f>p_alpha*(1-INDEX(Calib!$H$1:$H$13,$D243))*M243/(INDEX(Calib!$K$1:$K$13,$D243)+p_delta)</f>
        <v/>
      </c>
      <c r="O243" s="26">
        <f>M243+$G243</f>
        <v/>
      </c>
      <c r="P243" s="26">
        <f>0*($H243+$I243)</f>
        <v/>
      </c>
      <c r="Q243" s="26">
        <f>INDEX(Calib!$I$1:$I$13,$D243)+p_sh_grant*P243</f>
        <v/>
      </c>
      <c r="R243" s="26">
        <f>INDEX(Calib!$H$1:$H$13,$D243)*M243+p_gov_take*$G243+Q243+0*p_pricing*$J243</f>
        <v/>
      </c>
      <c r="S243" s="26">
        <f>INDEX(Calib!$Y$1:$Y$13,$D243)-INDEX(Calib!$Z$1:$Z$13,$D243)*(V242/O242-INDEX(Calib!$AA$1:$AA$13,$D243))</f>
        <v/>
      </c>
      <c r="T243" s="26">
        <f>INDEX(Calib!$X$1:$X$13,$D243)+INDEX(Calib!$G$1:$G$13,$D243)+P243+S243-R243</f>
        <v/>
      </c>
      <c r="U243" s="26">
        <f>p_rk*W242+Y242*(V242-W242)</f>
        <v/>
      </c>
      <c r="V243" s="26">
        <f>V242+U243+T243</f>
        <v/>
      </c>
      <c r="W243" s="26">
        <f>INDEX(Calib!$U$1:$U$13,$D243)+(W242-INDEX(Calib!$U$1:$U$13,$D243))*(1-p_amort)+p_sh_conc*P243</f>
        <v/>
      </c>
      <c r="X243" s="26">
        <f>V243/O243</f>
        <v/>
      </c>
      <c r="Y243" s="26">
        <f>INDEX(Calib!$K$1:$K$13,$D243)+p_eta*MAX(0,X243-INDEX(Calib!$AA$1:$AA$13,$D243))</f>
        <v/>
      </c>
      <c r="Z243" s="26">
        <f>(1-INDEX(Calib!$H$1:$H$13,$D243))*(1-p_alpha)*M243+S243</f>
        <v/>
      </c>
      <c r="AA243" s="26">
        <f>(1-p_delta_g)*AA242*(1-p_eps_g*$E243)+INDEX(Calib!$E$1:$E$13,$D243)*(INDEX(Calib!$G$1:$G$13,$D243)+p_programme*$H243)</f>
        <v/>
      </c>
      <c r="AB243" s="26">
        <f>AB242*(1-p_eps_k*$E243)+p_lambda_k*(AD243-AB242*(1-p_eps_k*$E243))</f>
        <v/>
      </c>
      <c r="AC243" s="26">
        <f>INDEX(Calib!$R$1:$R$13,$D243)*$F243*(AA242*(1-p_eps_g*$E243))^INDEX(Calib!$Q$1:$Q$13,$D243)*(AB242*(1-p_eps_k*$E243))^p_alpha</f>
        <v/>
      </c>
      <c r="AD243" s="26">
        <f>p_alpha*(1-INDEX(Calib!$H$1:$H$13,$D243))*AC243/(INDEX(Calib!$K$1:$K$13,$D243)+p_delta)</f>
        <v/>
      </c>
      <c r="AE243" s="26">
        <f>AC243+$G243</f>
        <v/>
      </c>
      <c r="AF243" s="26">
        <f>p_programme*($H243+$I243)</f>
        <v/>
      </c>
      <c r="AG243" s="26">
        <f>INDEX(Calib!$I$1:$I$13,$D243)+p_sh_grant*AF243</f>
        <v/>
      </c>
      <c r="AH243" s="26">
        <f>INDEX(Calib!$H$1:$H$13,$D243)*AC243+p_gov_take*$G243+AG243+p_programme*p_pricing*$J243</f>
        <v/>
      </c>
      <c r="AI243" s="26">
        <f>INDEX(Calib!$Y$1:$Y$13,$D243)-INDEX(Calib!$Z$1:$Z$13,$D243)*(AL242/AE242-INDEX(Calib!$AA$1:$AA$13,$D243))</f>
        <v/>
      </c>
      <c r="AJ243" s="26">
        <f>INDEX(Calib!$X$1:$X$13,$D243)+INDEX(Calib!$G$1:$G$13,$D243)+AF243+AI243-AH243</f>
        <v/>
      </c>
      <c r="AK243" s="26">
        <f>p_rk*AM242+AO242*(AL242-AM242)</f>
        <v/>
      </c>
      <c r="AL243" s="26">
        <f>AL242+AK243+AJ243</f>
        <v/>
      </c>
      <c r="AM243" s="26">
        <f>INDEX(Calib!$U$1:$U$13,$D243)+(AM242-INDEX(Calib!$U$1:$U$13,$D243))*(1-p_amort)+p_sh_conc*AF243</f>
        <v/>
      </c>
      <c r="AN243" s="26">
        <f>AL243/AE243</f>
        <v/>
      </c>
      <c r="AO243" s="26">
        <f>INDEX(Calib!$K$1:$K$13,$D243)+p_eta*MAX(0,AN243-INDEX(Calib!$AA$1:$AA$13,$D243))</f>
        <v/>
      </c>
      <c r="AP243" s="26">
        <f>(1-INDEX(Calib!$H$1:$H$13,$D243))*(1-p_alpha)*AC243+AI243</f>
        <v/>
      </c>
      <c r="AQ243" s="26">
        <f>(AE243/O243-1)*100</f>
        <v/>
      </c>
      <c r="AR243" s="26">
        <f>(AE243/AE218-1)*100</f>
        <v/>
      </c>
      <c r="AS243" s="26">
        <f>(O243/O218-1)*100</f>
        <v/>
      </c>
      <c r="AT243" s="26">
        <f>(AN243-X243)*100</f>
        <v/>
      </c>
      <c r="AU243" s="26">
        <f>(AP243/Z243-1)*100</f>
        <v/>
      </c>
      <c r="AV243" s="26">
        <f>(AI243-S243)*100</f>
        <v/>
      </c>
    </row>
    <row r="244">
      <c r="A244" s="25" t="inlineStr">
        <is>
          <t>SEN</t>
        </is>
      </c>
      <c r="B244" s="25" t="n">
        <v>2050</v>
      </c>
      <c r="C244" s="25" t="n">
        <v>26</v>
      </c>
      <c r="D244" s="25" t="n">
        <v>10</v>
      </c>
      <c r="E244" s="25">
        <f>IF(AND(p_dis_year&gt;0,B244=p_dis_year),1,0)</f>
        <v/>
      </c>
      <c r="F244" s="26">
        <f>IF(AND(p_dis_year&gt;0,B244&gt;=p_dis_year),1-p_eps_a*p_rho_a^(B244-p_dis_year),1)</f>
        <v/>
      </c>
      <c r="G244" s="26">
        <f>INDEX(Calib!$N$1:$N$13,$D244)*(1-p_rent_decline*MIN(1,C244/26))</f>
        <v/>
      </c>
      <c r="H244" s="26">
        <f>IF(C244=0,0,SUMIFS(dl_val,dl_iso,$A244,dl_ind,"pub_cap",dl_year,$B244)/100)</f>
        <v/>
      </c>
      <c r="I244" s="26">
        <f>IF(C244=0,0,SUMIFS(dl_val,dl_iso,$A244,dl_ind,"pub_spend",dl_year,$B244)/100)</f>
        <v/>
      </c>
      <c r="J244" s="26">
        <f>IF(C244=0,0,SUMIFS(dl_val,dl_iso,$A244,dl_ind,"rev",dl_year,$B244)/100)</f>
        <v/>
      </c>
      <c r="K244" s="26">
        <f>(1-p_delta_g)*K243*(1-p_eps_g*$E244)+INDEX(Calib!$E$1:$E$13,$D244)*(INDEX(Calib!$G$1:$G$13,$D244)+0*$H244)</f>
        <v/>
      </c>
      <c r="L244" s="26">
        <f>L243*(1-p_eps_k*$E244)+p_lambda_k*(N244-L243*(1-p_eps_k*$E244))</f>
        <v/>
      </c>
      <c r="M244" s="26">
        <f>INDEX(Calib!$R$1:$R$13,$D244)*$F244*(K243*(1-p_eps_g*$E244))^INDEX(Calib!$Q$1:$Q$13,$D244)*(L243*(1-p_eps_k*$E244))^p_alpha</f>
        <v/>
      </c>
      <c r="N244" s="26">
        <f>p_alpha*(1-INDEX(Calib!$H$1:$H$13,$D244))*M244/(INDEX(Calib!$K$1:$K$13,$D244)+p_delta)</f>
        <v/>
      </c>
      <c r="O244" s="26">
        <f>M244+$G244</f>
        <v/>
      </c>
      <c r="P244" s="26">
        <f>0*($H244+$I244)</f>
        <v/>
      </c>
      <c r="Q244" s="26">
        <f>INDEX(Calib!$I$1:$I$13,$D244)+p_sh_grant*P244</f>
        <v/>
      </c>
      <c r="R244" s="26">
        <f>INDEX(Calib!$H$1:$H$13,$D244)*M244+p_gov_take*$G244+Q244+0*p_pricing*$J244</f>
        <v/>
      </c>
      <c r="S244" s="26">
        <f>INDEX(Calib!$Y$1:$Y$13,$D244)-INDEX(Calib!$Z$1:$Z$13,$D244)*(V243/O243-INDEX(Calib!$AA$1:$AA$13,$D244))</f>
        <v/>
      </c>
      <c r="T244" s="26">
        <f>INDEX(Calib!$X$1:$X$13,$D244)+INDEX(Calib!$G$1:$G$13,$D244)+P244+S244-R244</f>
        <v/>
      </c>
      <c r="U244" s="26">
        <f>p_rk*W243+Y243*(V243-W243)</f>
        <v/>
      </c>
      <c r="V244" s="26">
        <f>V243+U244+T244</f>
        <v/>
      </c>
      <c r="W244" s="26">
        <f>INDEX(Calib!$U$1:$U$13,$D244)+(W243-INDEX(Calib!$U$1:$U$13,$D244))*(1-p_amort)+p_sh_conc*P244</f>
        <v/>
      </c>
      <c r="X244" s="26">
        <f>V244/O244</f>
        <v/>
      </c>
      <c r="Y244" s="26">
        <f>INDEX(Calib!$K$1:$K$13,$D244)+p_eta*MAX(0,X244-INDEX(Calib!$AA$1:$AA$13,$D244))</f>
        <v/>
      </c>
      <c r="Z244" s="26">
        <f>(1-INDEX(Calib!$H$1:$H$13,$D244))*(1-p_alpha)*M244+S244</f>
        <v/>
      </c>
      <c r="AA244" s="26">
        <f>(1-p_delta_g)*AA243*(1-p_eps_g*$E244)+INDEX(Calib!$E$1:$E$13,$D244)*(INDEX(Calib!$G$1:$G$13,$D244)+p_programme*$H244)</f>
        <v/>
      </c>
      <c r="AB244" s="26">
        <f>AB243*(1-p_eps_k*$E244)+p_lambda_k*(AD244-AB243*(1-p_eps_k*$E244))</f>
        <v/>
      </c>
      <c r="AC244" s="26">
        <f>INDEX(Calib!$R$1:$R$13,$D244)*$F244*(AA243*(1-p_eps_g*$E244))^INDEX(Calib!$Q$1:$Q$13,$D244)*(AB243*(1-p_eps_k*$E244))^p_alpha</f>
        <v/>
      </c>
      <c r="AD244" s="26">
        <f>p_alpha*(1-INDEX(Calib!$H$1:$H$13,$D244))*AC244/(INDEX(Calib!$K$1:$K$13,$D244)+p_delta)</f>
        <v/>
      </c>
      <c r="AE244" s="26">
        <f>AC244+$G244</f>
        <v/>
      </c>
      <c r="AF244" s="26">
        <f>p_programme*($H244+$I244)</f>
        <v/>
      </c>
      <c r="AG244" s="26">
        <f>INDEX(Calib!$I$1:$I$13,$D244)+p_sh_grant*AF244</f>
        <v/>
      </c>
      <c r="AH244" s="26">
        <f>INDEX(Calib!$H$1:$H$13,$D244)*AC244+p_gov_take*$G244+AG244+p_programme*p_pricing*$J244</f>
        <v/>
      </c>
      <c r="AI244" s="26">
        <f>INDEX(Calib!$Y$1:$Y$13,$D244)-INDEX(Calib!$Z$1:$Z$13,$D244)*(AL243/AE243-INDEX(Calib!$AA$1:$AA$13,$D244))</f>
        <v/>
      </c>
      <c r="AJ244" s="26">
        <f>INDEX(Calib!$X$1:$X$13,$D244)+INDEX(Calib!$G$1:$G$13,$D244)+AF244+AI244-AH244</f>
        <v/>
      </c>
      <c r="AK244" s="26">
        <f>p_rk*AM243+AO243*(AL243-AM243)</f>
        <v/>
      </c>
      <c r="AL244" s="26">
        <f>AL243+AK244+AJ244</f>
        <v/>
      </c>
      <c r="AM244" s="26">
        <f>INDEX(Calib!$U$1:$U$13,$D244)+(AM243-INDEX(Calib!$U$1:$U$13,$D244))*(1-p_amort)+p_sh_conc*AF244</f>
        <v/>
      </c>
      <c r="AN244" s="26">
        <f>AL244/AE244</f>
        <v/>
      </c>
      <c r="AO244" s="26">
        <f>INDEX(Calib!$K$1:$K$13,$D244)+p_eta*MAX(0,AN244-INDEX(Calib!$AA$1:$AA$13,$D244))</f>
        <v/>
      </c>
      <c r="AP244" s="26">
        <f>(1-INDEX(Calib!$H$1:$H$13,$D244))*(1-p_alpha)*AC244+AI244</f>
        <v/>
      </c>
      <c r="AQ244" s="26">
        <f>(AE244/O244-1)*100</f>
        <v/>
      </c>
      <c r="AR244" s="26">
        <f>(AE244/AE218-1)*100</f>
        <v/>
      </c>
      <c r="AS244" s="26">
        <f>(O244/O218-1)*100</f>
        <v/>
      </c>
      <c r="AT244" s="26">
        <f>(AN244-X244)*100</f>
        <v/>
      </c>
      <c r="AU244" s="26">
        <f>(AP244/Z244-1)*100</f>
        <v/>
      </c>
      <c r="AV244" s="26">
        <f>(AI244-S244)*100</f>
        <v/>
      </c>
    </row>
    <row r="245">
      <c r="A245" s="25" t="inlineStr">
        <is>
          <t>AGO</t>
        </is>
      </c>
      <c r="B245" s="25" t="n">
        <v>2024</v>
      </c>
      <c r="C245" s="25" t="n">
        <v>0</v>
      </c>
      <c r="D245" s="25" t="n">
        <v>11</v>
      </c>
      <c r="E245" s="25">
        <f>IF(AND(p_dis_year&gt;0,B245=p_dis_year),1,0)</f>
        <v/>
      </c>
      <c r="F245" s="26">
        <f>IF(AND(p_dis_year&gt;0,B245&gt;=p_dis_year),1-p_eps_a*p_rho_a^(B245-p_dis_year),1)</f>
        <v/>
      </c>
      <c r="G245" s="26">
        <f>INDEX(Calib!$N$1:$N$13,$D245)*(1-p_rent_decline*MIN(1,C245/26))</f>
        <v/>
      </c>
      <c r="H245" s="26">
        <f>IF(C245=0,0,SUMIFS(dl_val,dl_iso,$A245,dl_ind,"pub_cap",dl_year,$B245)/100)</f>
        <v/>
      </c>
      <c r="I245" s="26">
        <f>IF(C245=0,0,SUMIFS(dl_val,dl_iso,$A245,dl_ind,"pub_spend",dl_year,$B245)/100)</f>
        <v/>
      </c>
      <c r="J245" s="26">
        <f>IF(C245=0,0,SUMIFS(dl_val,dl_iso,$A245,dl_ind,"rev",dl_year,$B245)/100)</f>
        <v/>
      </c>
      <c r="K245" s="26">
        <f>INDEX(Calib!$P$1:$P$13,$D245)</f>
        <v/>
      </c>
      <c r="L245" s="26">
        <f>INDEX(Calib!$O$1:$O$13,$D245)</f>
        <v/>
      </c>
      <c r="M245" s="26">
        <f>1</f>
        <v/>
      </c>
      <c r="N245" s="26">
        <f>INDEX(Calib!$O$1:$O$13,$D245)</f>
        <v/>
      </c>
      <c r="O245" s="26">
        <f>INDEX(Calib!$S$1:$S$13,$D245)</f>
        <v/>
      </c>
      <c r="P245" s="26">
        <f>0</f>
        <v/>
      </c>
      <c r="Q245" s="26">
        <f>INDEX(Calib!$I$1:$I$13,$D245)</f>
        <v/>
      </c>
      <c r="R245" s="26">
        <f>INDEX(Calib!$W$1:$W$13,$D245)</f>
        <v/>
      </c>
      <c r="S245" s="26">
        <f>INDEX(Calib!$Y$1:$Y$13,$D245)</f>
        <v/>
      </c>
      <c r="T245" s="26">
        <f>-INDEX(Calib!$V$1:$V$13,$D245)</f>
        <v/>
      </c>
      <c r="U245" s="26">
        <f>INDEX(Calib!$V$1:$V$13,$D245)</f>
        <v/>
      </c>
      <c r="V245" s="26">
        <f>INDEX(Calib!$T$1:$T$13,$D245)</f>
        <v/>
      </c>
      <c r="W245" s="26">
        <f>INDEX(Calib!$U$1:$U$13,$D245)</f>
        <v/>
      </c>
      <c r="X245" s="26">
        <f>V245/O245</f>
        <v/>
      </c>
      <c r="Y245" s="26">
        <f>INDEX(Calib!$K$1:$K$13,$D245)</f>
        <v/>
      </c>
      <c r="Z245" s="26">
        <f>(1-INDEX(Calib!$H$1:$H$13,$D245))*(1-p_alpha)*M245+S245</f>
        <v/>
      </c>
      <c r="AA245" s="26">
        <f>INDEX(Calib!$P$1:$P$13,$D245)</f>
        <v/>
      </c>
      <c r="AB245" s="26">
        <f>INDEX(Calib!$O$1:$O$13,$D245)</f>
        <v/>
      </c>
      <c r="AC245" s="26">
        <f>1</f>
        <v/>
      </c>
      <c r="AD245" s="26">
        <f>INDEX(Calib!$O$1:$O$13,$D245)</f>
        <v/>
      </c>
      <c r="AE245" s="26">
        <f>INDEX(Calib!$S$1:$S$13,$D245)</f>
        <v/>
      </c>
      <c r="AF245" s="26">
        <f>0</f>
        <v/>
      </c>
      <c r="AG245" s="26">
        <f>INDEX(Calib!$I$1:$I$13,$D245)</f>
        <v/>
      </c>
      <c r="AH245" s="26">
        <f>INDEX(Calib!$W$1:$W$13,$D245)</f>
        <v/>
      </c>
      <c r="AI245" s="26">
        <f>INDEX(Calib!$Y$1:$Y$13,$D245)</f>
        <v/>
      </c>
      <c r="AJ245" s="26">
        <f>-INDEX(Calib!$V$1:$V$13,$D245)</f>
        <v/>
      </c>
      <c r="AK245" s="26">
        <f>INDEX(Calib!$V$1:$V$13,$D245)</f>
        <v/>
      </c>
      <c r="AL245" s="26">
        <f>INDEX(Calib!$T$1:$T$13,$D245)</f>
        <v/>
      </c>
      <c r="AM245" s="26">
        <f>INDEX(Calib!$U$1:$U$13,$D245)</f>
        <v/>
      </c>
      <c r="AN245" s="26">
        <f>AL245/AE245</f>
        <v/>
      </c>
      <c r="AO245" s="26">
        <f>INDEX(Calib!$K$1:$K$13,$D245)</f>
        <v/>
      </c>
      <c r="AP245" s="26">
        <f>(1-INDEX(Calib!$H$1:$H$13,$D245))*(1-p_alpha)*AC245+AI245</f>
        <v/>
      </c>
      <c r="AQ245" s="26">
        <f>(AE245/O245-1)*100</f>
        <v/>
      </c>
      <c r="AR245" s="26">
        <f>(AE245/AE245-1)*100</f>
        <v/>
      </c>
      <c r="AS245" s="26">
        <f>(O245/O245-1)*100</f>
        <v/>
      </c>
      <c r="AT245" s="26">
        <f>(AN245-X245)*100</f>
        <v/>
      </c>
      <c r="AU245" s="26">
        <f>(AP245/Z245-1)*100</f>
        <v/>
      </c>
      <c r="AV245" s="26">
        <f>(AI245-S245)*100</f>
        <v/>
      </c>
    </row>
    <row r="246">
      <c r="A246" s="25" t="inlineStr">
        <is>
          <t>AGO</t>
        </is>
      </c>
      <c r="B246" s="25" t="n">
        <v>2025</v>
      </c>
      <c r="C246" s="25" t="n">
        <v>1</v>
      </c>
      <c r="D246" s="25" t="n">
        <v>11</v>
      </c>
      <c r="E246" s="25">
        <f>IF(AND(p_dis_year&gt;0,B246=p_dis_year),1,0)</f>
        <v/>
      </c>
      <c r="F246" s="26">
        <f>IF(AND(p_dis_year&gt;0,B246&gt;=p_dis_year),1-p_eps_a*p_rho_a^(B246-p_dis_year),1)</f>
        <v/>
      </c>
      <c r="G246" s="26">
        <f>INDEX(Calib!$N$1:$N$13,$D246)*(1-p_rent_decline*MIN(1,C246/26))</f>
        <v/>
      </c>
      <c r="H246" s="26">
        <f>IF(C246=0,0,SUMIFS(dl_val,dl_iso,$A246,dl_ind,"pub_cap",dl_year,$B246)/100)</f>
        <v/>
      </c>
      <c r="I246" s="26">
        <f>IF(C246=0,0,SUMIFS(dl_val,dl_iso,$A246,dl_ind,"pub_spend",dl_year,$B246)/100)</f>
        <v/>
      </c>
      <c r="J246" s="26">
        <f>IF(C246=0,0,SUMIFS(dl_val,dl_iso,$A246,dl_ind,"rev",dl_year,$B246)/100)</f>
        <v/>
      </c>
      <c r="K246" s="26">
        <f>(1-p_delta_g)*K245*(1-p_eps_g*$E246)+INDEX(Calib!$E$1:$E$13,$D246)*(INDEX(Calib!$G$1:$G$13,$D246)+0*$H246)</f>
        <v/>
      </c>
      <c r="L246" s="26">
        <f>L245*(1-p_eps_k*$E246)+p_lambda_k*(N246-L245*(1-p_eps_k*$E246))</f>
        <v/>
      </c>
      <c r="M246" s="26">
        <f>INDEX(Calib!$R$1:$R$13,$D246)*$F246*(K245*(1-p_eps_g*$E246))^INDEX(Calib!$Q$1:$Q$13,$D246)*(L245*(1-p_eps_k*$E246))^p_alpha</f>
        <v/>
      </c>
      <c r="N246" s="26">
        <f>p_alpha*(1-INDEX(Calib!$H$1:$H$13,$D246))*M246/(INDEX(Calib!$K$1:$K$13,$D246)+p_delta)</f>
        <v/>
      </c>
      <c r="O246" s="26">
        <f>M246+$G246</f>
        <v/>
      </c>
      <c r="P246" s="26">
        <f>0*($H246+$I246)</f>
        <v/>
      </c>
      <c r="Q246" s="26">
        <f>INDEX(Calib!$I$1:$I$13,$D246)+p_sh_grant*P246</f>
        <v/>
      </c>
      <c r="R246" s="26">
        <f>INDEX(Calib!$H$1:$H$13,$D246)*M246+p_gov_take*$G246+Q246+0*p_pricing*$J246</f>
        <v/>
      </c>
      <c r="S246" s="26">
        <f>INDEX(Calib!$Y$1:$Y$13,$D246)-INDEX(Calib!$Z$1:$Z$13,$D246)*(V245/O245-INDEX(Calib!$AA$1:$AA$13,$D246))</f>
        <v/>
      </c>
      <c r="T246" s="26">
        <f>INDEX(Calib!$X$1:$X$13,$D246)+INDEX(Calib!$G$1:$G$13,$D246)+P246+S246-R246</f>
        <v/>
      </c>
      <c r="U246" s="26">
        <f>p_rk*W245+Y245*(V245-W245)</f>
        <v/>
      </c>
      <c r="V246" s="26">
        <f>V245+U246+T246</f>
        <v/>
      </c>
      <c r="W246" s="26">
        <f>INDEX(Calib!$U$1:$U$13,$D246)+(W245-INDEX(Calib!$U$1:$U$13,$D246))*(1-p_amort)+p_sh_conc*P246</f>
        <v/>
      </c>
      <c r="X246" s="26">
        <f>V246/O246</f>
        <v/>
      </c>
      <c r="Y246" s="26">
        <f>INDEX(Calib!$K$1:$K$13,$D246)+p_eta*MAX(0,X246-INDEX(Calib!$AA$1:$AA$13,$D246))</f>
        <v/>
      </c>
      <c r="Z246" s="26">
        <f>(1-INDEX(Calib!$H$1:$H$13,$D246))*(1-p_alpha)*M246+S246</f>
        <v/>
      </c>
      <c r="AA246" s="26">
        <f>(1-p_delta_g)*AA245*(1-p_eps_g*$E246)+INDEX(Calib!$E$1:$E$13,$D246)*(INDEX(Calib!$G$1:$G$13,$D246)+p_programme*$H246)</f>
        <v/>
      </c>
      <c r="AB246" s="26">
        <f>AB245*(1-p_eps_k*$E246)+p_lambda_k*(AD246-AB245*(1-p_eps_k*$E246))</f>
        <v/>
      </c>
      <c r="AC246" s="26">
        <f>INDEX(Calib!$R$1:$R$13,$D246)*$F246*(AA245*(1-p_eps_g*$E246))^INDEX(Calib!$Q$1:$Q$13,$D246)*(AB245*(1-p_eps_k*$E246))^p_alpha</f>
        <v/>
      </c>
      <c r="AD246" s="26">
        <f>p_alpha*(1-INDEX(Calib!$H$1:$H$13,$D246))*AC246/(INDEX(Calib!$K$1:$K$13,$D246)+p_delta)</f>
        <v/>
      </c>
      <c r="AE246" s="26">
        <f>AC246+$G246</f>
        <v/>
      </c>
      <c r="AF246" s="26">
        <f>p_programme*($H246+$I246)</f>
        <v/>
      </c>
      <c r="AG246" s="26">
        <f>INDEX(Calib!$I$1:$I$13,$D246)+p_sh_grant*AF246</f>
        <v/>
      </c>
      <c r="AH246" s="26">
        <f>INDEX(Calib!$H$1:$H$13,$D246)*AC246+p_gov_take*$G246+AG246+p_programme*p_pricing*$J246</f>
        <v/>
      </c>
      <c r="AI246" s="26">
        <f>INDEX(Calib!$Y$1:$Y$13,$D246)-INDEX(Calib!$Z$1:$Z$13,$D246)*(AL245/AE245-INDEX(Calib!$AA$1:$AA$13,$D246))</f>
        <v/>
      </c>
      <c r="AJ246" s="26">
        <f>INDEX(Calib!$X$1:$X$13,$D246)+INDEX(Calib!$G$1:$G$13,$D246)+AF246+AI246-AH246</f>
        <v/>
      </c>
      <c r="AK246" s="26">
        <f>p_rk*AM245+AO245*(AL245-AM245)</f>
        <v/>
      </c>
      <c r="AL246" s="26">
        <f>AL245+AK246+AJ246</f>
        <v/>
      </c>
      <c r="AM246" s="26">
        <f>INDEX(Calib!$U$1:$U$13,$D246)+(AM245-INDEX(Calib!$U$1:$U$13,$D246))*(1-p_amort)+p_sh_conc*AF246</f>
        <v/>
      </c>
      <c r="AN246" s="26">
        <f>AL246/AE246</f>
        <v/>
      </c>
      <c r="AO246" s="26">
        <f>INDEX(Calib!$K$1:$K$13,$D246)+p_eta*MAX(0,AN246-INDEX(Calib!$AA$1:$AA$13,$D246))</f>
        <v/>
      </c>
      <c r="AP246" s="26">
        <f>(1-INDEX(Calib!$H$1:$H$13,$D246))*(1-p_alpha)*AC246+AI246</f>
        <v/>
      </c>
      <c r="AQ246" s="26">
        <f>(AE246/O246-1)*100</f>
        <v/>
      </c>
      <c r="AR246" s="26">
        <f>(AE246/AE245-1)*100</f>
        <v/>
      </c>
      <c r="AS246" s="26">
        <f>(O246/O245-1)*100</f>
        <v/>
      </c>
      <c r="AT246" s="26">
        <f>(AN246-X246)*100</f>
        <v/>
      </c>
      <c r="AU246" s="26">
        <f>(AP246/Z246-1)*100</f>
        <v/>
      </c>
      <c r="AV246" s="26">
        <f>(AI246-S246)*100</f>
        <v/>
      </c>
    </row>
    <row r="247">
      <c r="A247" s="25" t="inlineStr">
        <is>
          <t>AGO</t>
        </is>
      </c>
      <c r="B247" s="25" t="n">
        <v>2026</v>
      </c>
      <c r="C247" s="25" t="n">
        <v>2</v>
      </c>
      <c r="D247" s="25" t="n">
        <v>11</v>
      </c>
      <c r="E247" s="25">
        <f>IF(AND(p_dis_year&gt;0,B247=p_dis_year),1,0)</f>
        <v/>
      </c>
      <c r="F247" s="26">
        <f>IF(AND(p_dis_year&gt;0,B247&gt;=p_dis_year),1-p_eps_a*p_rho_a^(B247-p_dis_year),1)</f>
        <v/>
      </c>
      <c r="G247" s="26">
        <f>INDEX(Calib!$N$1:$N$13,$D247)*(1-p_rent_decline*MIN(1,C247/26))</f>
        <v/>
      </c>
      <c r="H247" s="26">
        <f>IF(C247=0,0,SUMIFS(dl_val,dl_iso,$A247,dl_ind,"pub_cap",dl_year,$B247)/100)</f>
        <v/>
      </c>
      <c r="I247" s="26">
        <f>IF(C247=0,0,SUMIFS(dl_val,dl_iso,$A247,dl_ind,"pub_spend",dl_year,$B247)/100)</f>
        <v/>
      </c>
      <c r="J247" s="26">
        <f>IF(C247=0,0,SUMIFS(dl_val,dl_iso,$A247,dl_ind,"rev",dl_year,$B247)/100)</f>
        <v/>
      </c>
      <c r="K247" s="26">
        <f>(1-p_delta_g)*K246*(1-p_eps_g*$E247)+INDEX(Calib!$E$1:$E$13,$D247)*(INDEX(Calib!$G$1:$G$13,$D247)+0*$H247)</f>
        <v/>
      </c>
      <c r="L247" s="26">
        <f>L246*(1-p_eps_k*$E247)+p_lambda_k*(N247-L246*(1-p_eps_k*$E247))</f>
        <v/>
      </c>
      <c r="M247" s="26">
        <f>INDEX(Calib!$R$1:$R$13,$D247)*$F247*(K246*(1-p_eps_g*$E247))^INDEX(Calib!$Q$1:$Q$13,$D247)*(L246*(1-p_eps_k*$E247))^p_alpha</f>
        <v/>
      </c>
      <c r="N247" s="26">
        <f>p_alpha*(1-INDEX(Calib!$H$1:$H$13,$D247))*M247/(INDEX(Calib!$K$1:$K$13,$D247)+p_delta)</f>
        <v/>
      </c>
      <c r="O247" s="26">
        <f>M247+$G247</f>
        <v/>
      </c>
      <c r="P247" s="26">
        <f>0*($H247+$I247)</f>
        <v/>
      </c>
      <c r="Q247" s="26">
        <f>INDEX(Calib!$I$1:$I$13,$D247)+p_sh_grant*P247</f>
        <v/>
      </c>
      <c r="R247" s="26">
        <f>INDEX(Calib!$H$1:$H$13,$D247)*M247+p_gov_take*$G247+Q247+0*p_pricing*$J247</f>
        <v/>
      </c>
      <c r="S247" s="26">
        <f>INDEX(Calib!$Y$1:$Y$13,$D247)-INDEX(Calib!$Z$1:$Z$13,$D247)*(V246/O246-INDEX(Calib!$AA$1:$AA$13,$D247))</f>
        <v/>
      </c>
      <c r="T247" s="26">
        <f>INDEX(Calib!$X$1:$X$13,$D247)+INDEX(Calib!$G$1:$G$13,$D247)+P247+S247-R247</f>
        <v/>
      </c>
      <c r="U247" s="26">
        <f>p_rk*W246+Y246*(V246-W246)</f>
        <v/>
      </c>
      <c r="V247" s="26">
        <f>V246+U247+T247</f>
        <v/>
      </c>
      <c r="W247" s="26">
        <f>INDEX(Calib!$U$1:$U$13,$D247)+(W246-INDEX(Calib!$U$1:$U$13,$D247))*(1-p_amort)+p_sh_conc*P247</f>
        <v/>
      </c>
      <c r="X247" s="26">
        <f>V247/O247</f>
        <v/>
      </c>
      <c r="Y247" s="26">
        <f>INDEX(Calib!$K$1:$K$13,$D247)+p_eta*MAX(0,X247-INDEX(Calib!$AA$1:$AA$13,$D247))</f>
        <v/>
      </c>
      <c r="Z247" s="26">
        <f>(1-INDEX(Calib!$H$1:$H$13,$D247))*(1-p_alpha)*M247+S247</f>
        <v/>
      </c>
      <c r="AA247" s="26">
        <f>(1-p_delta_g)*AA246*(1-p_eps_g*$E247)+INDEX(Calib!$E$1:$E$13,$D247)*(INDEX(Calib!$G$1:$G$13,$D247)+p_programme*$H247)</f>
        <v/>
      </c>
      <c r="AB247" s="26">
        <f>AB246*(1-p_eps_k*$E247)+p_lambda_k*(AD247-AB246*(1-p_eps_k*$E247))</f>
        <v/>
      </c>
      <c r="AC247" s="26">
        <f>INDEX(Calib!$R$1:$R$13,$D247)*$F247*(AA246*(1-p_eps_g*$E247))^INDEX(Calib!$Q$1:$Q$13,$D247)*(AB246*(1-p_eps_k*$E247))^p_alpha</f>
        <v/>
      </c>
      <c r="AD247" s="26">
        <f>p_alpha*(1-INDEX(Calib!$H$1:$H$13,$D247))*AC247/(INDEX(Calib!$K$1:$K$13,$D247)+p_delta)</f>
        <v/>
      </c>
      <c r="AE247" s="26">
        <f>AC247+$G247</f>
        <v/>
      </c>
      <c r="AF247" s="26">
        <f>p_programme*($H247+$I247)</f>
        <v/>
      </c>
      <c r="AG247" s="26">
        <f>INDEX(Calib!$I$1:$I$13,$D247)+p_sh_grant*AF247</f>
        <v/>
      </c>
      <c r="AH247" s="26">
        <f>INDEX(Calib!$H$1:$H$13,$D247)*AC247+p_gov_take*$G247+AG247+p_programme*p_pricing*$J247</f>
        <v/>
      </c>
      <c r="AI247" s="26">
        <f>INDEX(Calib!$Y$1:$Y$13,$D247)-INDEX(Calib!$Z$1:$Z$13,$D247)*(AL246/AE246-INDEX(Calib!$AA$1:$AA$13,$D247))</f>
        <v/>
      </c>
      <c r="AJ247" s="26">
        <f>INDEX(Calib!$X$1:$X$13,$D247)+INDEX(Calib!$G$1:$G$13,$D247)+AF247+AI247-AH247</f>
        <v/>
      </c>
      <c r="AK247" s="26">
        <f>p_rk*AM246+AO246*(AL246-AM246)</f>
        <v/>
      </c>
      <c r="AL247" s="26">
        <f>AL246+AK247+AJ247</f>
        <v/>
      </c>
      <c r="AM247" s="26">
        <f>INDEX(Calib!$U$1:$U$13,$D247)+(AM246-INDEX(Calib!$U$1:$U$13,$D247))*(1-p_amort)+p_sh_conc*AF247</f>
        <v/>
      </c>
      <c r="AN247" s="26">
        <f>AL247/AE247</f>
        <v/>
      </c>
      <c r="AO247" s="26">
        <f>INDEX(Calib!$K$1:$K$13,$D247)+p_eta*MAX(0,AN247-INDEX(Calib!$AA$1:$AA$13,$D247))</f>
        <v/>
      </c>
      <c r="AP247" s="26">
        <f>(1-INDEX(Calib!$H$1:$H$13,$D247))*(1-p_alpha)*AC247+AI247</f>
        <v/>
      </c>
      <c r="AQ247" s="26">
        <f>(AE247/O247-1)*100</f>
        <v/>
      </c>
      <c r="AR247" s="26">
        <f>(AE247/AE245-1)*100</f>
        <v/>
      </c>
      <c r="AS247" s="26">
        <f>(O247/O245-1)*100</f>
        <v/>
      </c>
      <c r="AT247" s="26">
        <f>(AN247-X247)*100</f>
        <v/>
      </c>
      <c r="AU247" s="26">
        <f>(AP247/Z247-1)*100</f>
        <v/>
      </c>
      <c r="AV247" s="26">
        <f>(AI247-S247)*100</f>
        <v/>
      </c>
    </row>
    <row r="248">
      <c r="A248" s="25" t="inlineStr">
        <is>
          <t>AGO</t>
        </is>
      </c>
      <c r="B248" s="25" t="n">
        <v>2027</v>
      </c>
      <c r="C248" s="25" t="n">
        <v>3</v>
      </c>
      <c r="D248" s="25" t="n">
        <v>11</v>
      </c>
      <c r="E248" s="25">
        <f>IF(AND(p_dis_year&gt;0,B248=p_dis_year),1,0)</f>
        <v/>
      </c>
      <c r="F248" s="26">
        <f>IF(AND(p_dis_year&gt;0,B248&gt;=p_dis_year),1-p_eps_a*p_rho_a^(B248-p_dis_year),1)</f>
        <v/>
      </c>
      <c r="G248" s="26">
        <f>INDEX(Calib!$N$1:$N$13,$D248)*(1-p_rent_decline*MIN(1,C248/26))</f>
        <v/>
      </c>
      <c r="H248" s="26">
        <f>IF(C248=0,0,SUMIFS(dl_val,dl_iso,$A248,dl_ind,"pub_cap",dl_year,$B248)/100)</f>
        <v/>
      </c>
      <c r="I248" s="26">
        <f>IF(C248=0,0,SUMIFS(dl_val,dl_iso,$A248,dl_ind,"pub_spend",dl_year,$B248)/100)</f>
        <v/>
      </c>
      <c r="J248" s="26">
        <f>IF(C248=0,0,SUMIFS(dl_val,dl_iso,$A248,dl_ind,"rev",dl_year,$B248)/100)</f>
        <v/>
      </c>
      <c r="K248" s="26">
        <f>(1-p_delta_g)*K247*(1-p_eps_g*$E248)+INDEX(Calib!$E$1:$E$13,$D248)*(INDEX(Calib!$G$1:$G$13,$D248)+0*$H248)</f>
        <v/>
      </c>
      <c r="L248" s="26">
        <f>L247*(1-p_eps_k*$E248)+p_lambda_k*(N248-L247*(1-p_eps_k*$E248))</f>
        <v/>
      </c>
      <c r="M248" s="26">
        <f>INDEX(Calib!$R$1:$R$13,$D248)*$F248*(K247*(1-p_eps_g*$E248))^INDEX(Calib!$Q$1:$Q$13,$D248)*(L247*(1-p_eps_k*$E248))^p_alpha</f>
        <v/>
      </c>
      <c r="N248" s="26">
        <f>p_alpha*(1-INDEX(Calib!$H$1:$H$13,$D248))*M248/(INDEX(Calib!$K$1:$K$13,$D248)+p_delta)</f>
        <v/>
      </c>
      <c r="O248" s="26">
        <f>M248+$G248</f>
        <v/>
      </c>
      <c r="P248" s="26">
        <f>0*($H248+$I248)</f>
        <v/>
      </c>
      <c r="Q248" s="26">
        <f>INDEX(Calib!$I$1:$I$13,$D248)+p_sh_grant*P248</f>
        <v/>
      </c>
      <c r="R248" s="26">
        <f>INDEX(Calib!$H$1:$H$13,$D248)*M248+p_gov_take*$G248+Q248+0*p_pricing*$J248</f>
        <v/>
      </c>
      <c r="S248" s="26">
        <f>INDEX(Calib!$Y$1:$Y$13,$D248)-INDEX(Calib!$Z$1:$Z$13,$D248)*(V247/O247-INDEX(Calib!$AA$1:$AA$13,$D248))</f>
        <v/>
      </c>
      <c r="T248" s="26">
        <f>INDEX(Calib!$X$1:$X$13,$D248)+INDEX(Calib!$G$1:$G$13,$D248)+P248+S248-R248</f>
        <v/>
      </c>
      <c r="U248" s="26">
        <f>p_rk*W247+Y247*(V247-W247)</f>
        <v/>
      </c>
      <c r="V248" s="26">
        <f>V247+U248+T248</f>
        <v/>
      </c>
      <c r="W248" s="26">
        <f>INDEX(Calib!$U$1:$U$13,$D248)+(W247-INDEX(Calib!$U$1:$U$13,$D248))*(1-p_amort)+p_sh_conc*P248</f>
        <v/>
      </c>
      <c r="X248" s="26">
        <f>V248/O248</f>
        <v/>
      </c>
      <c r="Y248" s="26">
        <f>INDEX(Calib!$K$1:$K$13,$D248)+p_eta*MAX(0,X248-INDEX(Calib!$AA$1:$AA$13,$D248))</f>
        <v/>
      </c>
      <c r="Z248" s="26">
        <f>(1-INDEX(Calib!$H$1:$H$13,$D248))*(1-p_alpha)*M248+S248</f>
        <v/>
      </c>
      <c r="AA248" s="26">
        <f>(1-p_delta_g)*AA247*(1-p_eps_g*$E248)+INDEX(Calib!$E$1:$E$13,$D248)*(INDEX(Calib!$G$1:$G$13,$D248)+p_programme*$H248)</f>
        <v/>
      </c>
      <c r="AB248" s="26">
        <f>AB247*(1-p_eps_k*$E248)+p_lambda_k*(AD248-AB247*(1-p_eps_k*$E248))</f>
        <v/>
      </c>
      <c r="AC248" s="26">
        <f>INDEX(Calib!$R$1:$R$13,$D248)*$F248*(AA247*(1-p_eps_g*$E248))^INDEX(Calib!$Q$1:$Q$13,$D248)*(AB247*(1-p_eps_k*$E248))^p_alpha</f>
        <v/>
      </c>
      <c r="AD248" s="26">
        <f>p_alpha*(1-INDEX(Calib!$H$1:$H$13,$D248))*AC248/(INDEX(Calib!$K$1:$K$13,$D248)+p_delta)</f>
        <v/>
      </c>
      <c r="AE248" s="26">
        <f>AC248+$G248</f>
        <v/>
      </c>
      <c r="AF248" s="26">
        <f>p_programme*($H248+$I248)</f>
        <v/>
      </c>
      <c r="AG248" s="26">
        <f>INDEX(Calib!$I$1:$I$13,$D248)+p_sh_grant*AF248</f>
        <v/>
      </c>
      <c r="AH248" s="26">
        <f>INDEX(Calib!$H$1:$H$13,$D248)*AC248+p_gov_take*$G248+AG248+p_programme*p_pricing*$J248</f>
        <v/>
      </c>
      <c r="AI248" s="26">
        <f>INDEX(Calib!$Y$1:$Y$13,$D248)-INDEX(Calib!$Z$1:$Z$13,$D248)*(AL247/AE247-INDEX(Calib!$AA$1:$AA$13,$D248))</f>
        <v/>
      </c>
      <c r="AJ248" s="26">
        <f>INDEX(Calib!$X$1:$X$13,$D248)+INDEX(Calib!$G$1:$G$13,$D248)+AF248+AI248-AH248</f>
        <v/>
      </c>
      <c r="AK248" s="26">
        <f>p_rk*AM247+AO247*(AL247-AM247)</f>
        <v/>
      </c>
      <c r="AL248" s="26">
        <f>AL247+AK248+AJ248</f>
        <v/>
      </c>
      <c r="AM248" s="26">
        <f>INDEX(Calib!$U$1:$U$13,$D248)+(AM247-INDEX(Calib!$U$1:$U$13,$D248))*(1-p_amort)+p_sh_conc*AF248</f>
        <v/>
      </c>
      <c r="AN248" s="26">
        <f>AL248/AE248</f>
        <v/>
      </c>
      <c r="AO248" s="26">
        <f>INDEX(Calib!$K$1:$K$13,$D248)+p_eta*MAX(0,AN248-INDEX(Calib!$AA$1:$AA$13,$D248))</f>
        <v/>
      </c>
      <c r="AP248" s="26">
        <f>(1-INDEX(Calib!$H$1:$H$13,$D248))*(1-p_alpha)*AC248+AI248</f>
        <v/>
      </c>
      <c r="AQ248" s="26">
        <f>(AE248/O248-1)*100</f>
        <v/>
      </c>
      <c r="AR248" s="26">
        <f>(AE248/AE245-1)*100</f>
        <v/>
      </c>
      <c r="AS248" s="26">
        <f>(O248/O245-1)*100</f>
        <v/>
      </c>
      <c r="AT248" s="26">
        <f>(AN248-X248)*100</f>
        <v/>
      </c>
      <c r="AU248" s="26">
        <f>(AP248/Z248-1)*100</f>
        <v/>
      </c>
      <c r="AV248" s="26">
        <f>(AI248-S248)*100</f>
        <v/>
      </c>
    </row>
    <row r="249">
      <c r="A249" s="25" t="inlineStr">
        <is>
          <t>AGO</t>
        </is>
      </c>
      <c r="B249" s="25" t="n">
        <v>2028</v>
      </c>
      <c r="C249" s="25" t="n">
        <v>4</v>
      </c>
      <c r="D249" s="25" t="n">
        <v>11</v>
      </c>
      <c r="E249" s="25">
        <f>IF(AND(p_dis_year&gt;0,B249=p_dis_year),1,0)</f>
        <v/>
      </c>
      <c r="F249" s="26">
        <f>IF(AND(p_dis_year&gt;0,B249&gt;=p_dis_year),1-p_eps_a*p_rho_a^(B249-p_dis_year),1)</f>
        <v/>
      </c>
      <c r="G249" s="26">
        <f>INDEX(Calib!$N$1:$N$13,$D249)*(1-p_rent_decline*MIN(1,C249/26))</f>
        <v/>
      </c>
      <c r="H249" s="26">
        <f>IF(C249=0,0,SUMIFS(dl_val,dl_iso,$A249,dl_ind,"pub_cap",dl_year,$B249)/100)</f>
        <v/>
      </c>
      <c r="I249" s="26">
        <f>IF(C249=0,0,SUMIFS(dl_val,dl_iso,$A249,dl_ind,"pub_spend",dl_year,$B249)/100)</f>
        <v/>
      </c>
      <c r="J249" s="26">
        <f>IF(C249=0,0,SUMIFS(dl_val,dl_iso,$A249,dl_ind,"rev",dl_year,$B249)/100)</f>
        <v/>
      </c>
      <c r="K249" s="26">
        <f>(1-p_delta_g)*K248*(1-p_eps_g*$E249)+INDEX(Calib!$E$1:$E$13,$D249)*(INDEX(Calib!$G$1:$G$13,$D249)+0*$H249)</f>
        <v/>
      </c>
      <c r="L249" s="26">
        <f>L248*(1-p_eps_k*$E249)+p_lambda_k*(N249-L248*(1-p_eps_k*$E249))</f>
        <v/>
      </c>
      <c r="M249" s="26">
        <f>INDEX(Calib!$R$1:$R$13,$D249)*$F249*(K248*(1-p_eps_g*$E249))^INDEX(Calib!$Q$1:$Q$13,$D249)*(L248*(1-p_eps_k*$E249))^p_alpha</f>
        <v/>
      </c>
      <c r="N249" s="26">
        <f>p_alpha*(1-INDEX(Calib!$H$1:$H$13,$D249))*M249/(INDEX(Calib!$K$1:$K$13,$D249)+p_delta)</f>
        <v/>
      </c>
      <c r="O249" s="26">
        <f>M249+$G249</f>
        <v/>
      </c>
      <c r="P249" s="26">
        <f>0*($H249+$I249)</f>
        <v/>
      </c>
      <c r="Q249" s="26">
        <f>INDEX(Calib!$I$1:$I$13,$D249)+p_sh_grant*P249</f>
        <v/>
      </c>
      <c r="R249" s="26">
        <f>INDEX(Calib!$H$1:$H$13,$D249)*M249+p_gov_take*$G249+Q249+0*p_pricing*$J249</f>
        <v/>
      </c>
      <c r="S249" s="26">
        <f>INDEX(Calib!$Y$1:$Y$13,$D249)-INDEX(Calib!$Z$1:$Z$13,$D249)*(V248/O248-INDEX(Calib!$AA$1:$AA$13,$D249))</f>
        <v/>
      </c>
      <c r="T249" s="26">
        <f>INDEX(Calib!$X$1:$X$13,$D249)+INDEX(Calib!$G$1:$G$13,$D249)+P249+S249-R249</f>
        <v/>
      </c>
      <c r="U249" s="26">
        <f>p_rk*W248+Y248*(V248-W248)</f>
        <v/>
      </c>
      <c r="V249" s="26">
        <f>V248+U249+T249</f>
        <v/>
      </c>
      <c r="W249" s="26">
        <f>INDEX(Calib!$U$1:$U$13,$D249)+(W248-INDEX(Calib!$U$1:$U$13,$D249))*(1-p_amort)+p_sh_conc*P249</f>
        <v/>
      </c>
      <c r="X249" s="26">
        <f>V249/O249</f>
        <v/>
      </c>
      <c r="Y249" s="26">
        <f>INDEX(Calib!$K$1:$K$13,$D249)+p_eta*MAX(0,X249-INDEX(Calib!$AA$1:$AA$13,$D249))</f>
        <v/>
      </c>
      <c r="Z249" s="26">
        <f>(1-INDEX(Calib!$H$1:$H$13,$D249))*(1-p_alpha)*M249+S249</f>
        <v/>
      </c>
      <c r="AA249" s="26">
        <f>(1-p_delta_g)*AA248*(1-p_eps_g*$E249)+INDEX(Calib!$E$1:$E$13,$D249)*(INDEX(Calib!$G$1:$G$13,$D249)+p_programme*$H249)</f>
        <v/>
      </c>
      <c r="AB249" s="26">
        <f>AB248*(1-p_eps_k*$E249)+p_lambda_k*(AD249-AB248*(1-p_eps_k*$E249))</f>
        <v/>
      </c>
      <c r="AC249" s="26">
        <f>INDEX(Calib!$R$1:$R$13,$D249)*$F249*(AA248*(1-p_eps_g*$E249))^INDEX(Calib!$Q$1:$Q$13,$D249)*(AB248*(1-p_eps_k*$E249))^p_alpha</f>
        <v/>
      </c>
      <c r="AD249" s="26">
        <f>p_alpha*(1-INDEX(Calib!$H$1:$H$13,$D249))*AC249/(INDEX(Calib!$K$1:$K$13,$D249)+p_delta)</f>
        <v/>
      </c>
      <c r="AE249" s="26">
        <f>AC249+$G249</f>
        <v/>
      </c>
      <c r="AF249" s="26">
        <f>p_programme*($H249+$I249)</f>
        <v/>
      </c>
      <c r="AG249" s="26">
        <f>INDEX(Calib!$I$1:$I$13,$D249)+p_sh_grant*AF249</f>
        <v/>
      </c>
      <c r="AH249" s="26">
        <f>INDEX(Calib!$H$1:$H$13,$D249)*AC249+p_gov_take*$G249+AG249+p_programme*p_pricing*$J249</f>
        <v/>
      </c>
      <c r="AI249" s="26">
        <f>INDEX(Calib!$Y$1:$Y$13,$D249)-INDEX(Calib!$Z$1:$Z$13,$D249)*(AL248/AE248-INDEX(Calib!$AA$1:$AA$13,$D249))</f>
        <v/>
      </c>
      <c r="AJ249" s="26">
        <f>INDEX(Calib!$X$1:$X$13,$D249)+INDEX(Calib!$G$1:$G$13,$D249)+AF249+AI249-AH249</f>
        <v/>
      </c>
      <c r="AK249" s="26">
        <f>p_rk*AM248+AO248*(AL248-AM248)</f>
        <v/>
      </c>
      <c r="AL249" s="26">
        <f>AL248+AK249+AJ249</f>
        <v/>
      </c>
      <c r="AM249" s="26">
        <f>INDEX(Calib!$U$1:$U$13,$D249)+(AM248-INDEX(Calib!$U$1:$U$13,$D249))*(1-p_amort)+p_sh_conc*AF249</f>
        <v/>
      </c>
      <c r="AN249" s="26">
        <f>AL249/AE249</f>
        <v/>
      </c>
      <c r="AO249" s="26">
        <f>INDEX(Calib!$K$1:$K$13,$D249)+p_eta*MAX(0,AN249-INDEX(Calib!$AA$1:$AA$13,$D249))</f>
        <v/>
      </c>
      <c r="AP249" s="26">
        <f>(1-INDEX(Calib!$H$1:$H$13,$D249))*(1-p_alpha)*AC249+AI249</f>
        <v/>
      </c>
      <c r="AQ249" s="26">
        <f>(AE249/O249-1)*100</f>
        <v/>
      </c>
      <c r="AR249" s="26">
        <f>(AE249/AE245-1)*100</f>
        <v/>
      </c>
      <c r="AS249" s="26">
        <f>(O249/O245-1)*100</f>
        <v/>
      </c>
      <c r="AT249" s="26">
        <f>(AN249-X249)*100</f>
        <v/>
      </c>
      <c r="AU249" s="26">
        <f>(AP249/Z249-1)*100</f>
        <v/>
      </c>
      <c r="AV249" s="26">
        <f>(AI249-S249)*100</f>
        <v/>
      </c>
    </row>
    <row r="250">
      <c r="A250" s="25" t="inlineStr">
        <is>
          <t>AGO</t>
        </is>
      </c>
      <c r="B250" s="25" t="n">
        <v>2029</v>
      </c>
      <c r="C250" s="25" t="n">
        <v>5</v>
      </c>
      <c r="D250" s="25" t="n">
        <v>11</v>
      </c>
      <c r="E250" s="25">
        <f>IF(AND(p_dis_year&gt;0,B250=p_dis_year),1,0)</f>
        <v/>
      </c>
      <c r="F250" s="26">
        <f>IF(AND(p_dis_year&gt;0,B250&gt;=p_dis_year),1-p_eps_a*p_rho_a^(B250-p_dis_year),1)</f>
        <v/>
      </c>
      <c r="G250" s="26">
        <f>INDEX(Calib!$N$1:$N$13,$D250)*(1-p_rent_decline*MIN(1,C250/26))</f>
        <v/>
      </c>
      <c r="H250" s="26">
        <f>IF(C250=0,0,SUMIFS(dl_val,dl_iso,$A250,dl_ind,"pub_cap",dl_year,$B250)/100)</f>
        <v/>
      </c>
      <c r="I250" s="26">
        <f>IF(C250=0,0,SUMIFS(dl_val,dl_iso,$A250,dl_ind,"pub_spend",dl_year,$B250)/100)</f>
        <v/>
      </c>
      <c r="J250" s="26">
        <f>IF(C250=0,0,SUMIFS(dl_val,dl_iso,$A250,dl_ind,"rev",dl_year,$B250)/100)</f>
        <v/>
      </c>
      <c r="K250" s="26">
        <f>(1-p_delta_g)*K249*(1-p_eps_g*$E250)+INDEX(Calib!$E$1:$E$13,$D250)*(INDEX(Calib!$G$1:$G$13,$D250)+0*$H250)</f>
        <v/>
      </c>
      <c r="L250" s="26">
        <f>L249*(1-p_eps_k*$E250)+p_lambda_k*(N250-L249*(1-p_eps_k*$E250))</f>
        <v/>
      </c>
      <c r="M250" s="26">
        <f>INDEX(Calib!$R$1:$R$13,$D250)*$F250*(K249*(1-p_eps_g*$E250))^INDEX(Calib!$Q$1:$Q$13,$D250)*(L249*(1-p_eps_k*$E250))^p_alpha</f>
        <v/>
      </c>
      <c r="N250" s="26">
        <f>p_alpha*(1-INDEX(Calib!$H$1:$H$13,$D250))*M250/(INDEX(Calib!$K$1:$K$13,$D250)+p_delta)</f>
        <v/>
      </c>
      <c r="O250" s="26">
        <f>M250+$G250</f>
        <v/>
      </c>
      <c r="P250" s="26">
        <f>0*($H250+$I250)</f>
        <v/>
      </c>
      <c r="Q250" s="26">
        <f>INDEX(Calib!$I$1:$I$13,$D250)+p_sh_grant*P250</f>
        <v/>
      </c>
      <c r="R250" s="26">
        <f>INDEX(Calib!$H$1:$H$13,$D250)*M250+p_gov_take*$G250+Q250+0*p_pricing*$J250</f>
        <v/>
      </c>
      <c r="S250" s="26">
        <f>INDEX(Calib!$Y$1:$Y$13,$D250)-INDEX(Calib!$Z$1:$Z$13,$D250)*(V249/O249-INDEX(Calib!$AA$1:$AA$13,$D250))</f>
        <v/>
      </c>
      <c r="T250" s="26">
        <f>INDEX(Calib!$X$1:$X$13,$D250)+INDEX(Calib!$G$1:$G$13,$D250)+P250+S250-R250</f>
        <v/>
      </c>
      <c r="U250" s="26">
        <f>p_rk*W249+Y249*(V249-W249)</f>
        <v/>
      </c>
      <c r="V250" s="26">
        <f>V249+U250+T250</f>
        <v/>
      </c>
      <c r="W250" s="26">
        <f>INDEX(Calib!$U$1:$U$13,$D250)+(W249-INDEX(Calib!$U$1:$U$13,$D250))*(1-p_amort)+p_sh_conc*P250</f>
        <v/>
      </c>
      <c r="X250" s="26">
        <f>V250/O250</f>
        <v/>
      </c>
      <c r="Y250" s="26">
        <f>INDEX(Calib!$K$1:$K$13,$D250)+p_eta*MAX(0,X250-INDEX(Calib!$AA$1:$AA$13,$D250))</f>
        <v/>
      </c>
      <c r="Z250" s="26">
        <f>(1-INDEX(Calib!$H$1:$H$13,$D250))*(1-p_alpha)*M250+S250</f>
        <v/>
      </c>
      <c r="AA250" s="26">
        <f>(1-p_delta_g)*AA249*(1-p_eps_g*$E250)+INDEX(Calib!$E$1:$E$13,$D250)*(INDEX(Calib!$G$1:$G$13,$D250)+p_programme*$H250)</f>
        <v/>
      </c>
      <c r="AB250" s="26">
        <f>AB249*(1-p_eps_k*$E250)+p_lambda_k*(AD250-AB249*(1-p_eps_k*$E250))</f>
        <v/>
      </c>
      <c r="AC250" s="26">
        <f>INDEX(Calib!$R$1:$R$13,$D250)*$F250*(AA249*(1-p_eps_g*$E250))^INDEX(Calib!$Q$1:$Q$13,$D250)*(AB249*(1-p_eps_k*$E250))^p_alpha</f>
        <v/>
      </c>
      <c r="AD250" s="26">
        <f>p_alpha*(1-INDEX(Calib!$H$1:$H$13,$D250))*AC250/(INDEX(Calib!$K$1:$K$13,$D250)+p_delta)</f>
        <v/>
      </c>
      <c r="AE250" s="26">
        <f>AC250+$G250</f>
        <v/>
      </c>
      <c r="AF250" s="26">
        <f>p_programme*($H250+$I250)</f>
        <v/>
      </c>
      <c r="AG250" s="26">
        <f>INDEX(Calib!$I$1:$I$13,$D250)+p_sh_grant*AF250</f>
        <v/>
      </c>
      <c r="AH250" s="26">
        <f>INDEX(Calib!$H$1:$H$13,$D250)*AC250+p_gov_take*$G250+AG250+p_programme*p_pricing*$J250</f>
        <v/>
      </c>
      <c r="AI250" s="26">
        <f>INDEX(Calib!$Y$1:$Y$13,$D250)-INDEX(Calib!$Z$1:$Z$13,$D250)*(AL249/AE249-INDEX(Calib!$AA$1:$AA$13,$D250))</f>
        <v/>
      </c>
      <c r="AJ250" s="26">
        <f>INDEX(Calib!$X$1:$X$13,$D250)+INDEX(Calib!$G$1:$G$13,$D250)+AF250+AI250-AH250</f>
        <v/>
      </c>
      <c r="AK250" s="26">
        <f>p_rk*AM249+AO249*(AL249-AM249)</f>
        <v/>
      </c>
      <c r="AL250" s="26">
        <f>AL249+AK250+AJ250</f>
        <v/>
      </c>
      <c r="AM250" s="26">
        <f>INDEX(Calib!$U$1:$U$13,$D250)+(AM249-INDEX(Calib!$U$1:$U$13,$D250))*(1-p_amort)+p_sh_conc*AF250</f>
        <v/>
      </c>
      <c r="AN250" s="26">
        <f>AL250/AE250</f>
        <v/>
      </c>
      <c r="AO250" s="26">
        <f>INDEX(Calib!$K$1:$K$13,$D250)+p_eta*MAX(0,AN250-INDEX(Calib!$AA$1:$AA$13,$D250))</f>
        <v/>
      </c>
      <c r="AP250" s="26">
        <f>(1-INDEX(Calib!$H$1:$H$13,$D250))*(1-p_alpha)*AC250+AI250</f>
        <v/>
      </c>
      <c r="AQ250" s="26">
        <f>(AE250/O250-1)*100</f>
        <v/>
      </c>
      <c r="AR250" s="26">
        <f>(AE250/AE245-1)*100</f>
        <v/>
      </c>
      <c r="AS250" s="26">
        <f>(O250/O245-1)*100</f>
        <v/>
      </c>
      <c r="AT250" s="26">
        <f>(AN250-X250)*100</f>
        <v/>
      </c>
      <c r="AU250" s="26">
        <f>(AP250/Z250-1)*100</f>
        <v/>
      </c>
      <c r="AV250" s="26">
        <f>(AI250-S250)*100</f>
        <v/>
      </c>
    </row>
    <row r="251">
      <c r="A251" s="25" t="inlineStr">
        <is>
          <t>AGO</t>
        </is>
      </c>
      <c r="B251" s="25" t="n">
        <v>2030</v>
      </c>
      <c r="C251" s="25" t="n">
        <v>6</v>
      </c>
      <c r="D251" s="25" t="n">
        <v>11</v>
      </c>
      <c r="E251" s="25">
        <f>IF(AND(p_dis_year&gt;0,B251=p_dis_year),1,0)</f>
        <v/>
      </c>
      <c r="F251" s="26">
        <f>IF(AND(p_dis_year&gt;0,B251&gt;=p_dis_year),1-p_eps_a*p_rho_a^(B251-p_dis_year),1)</f>
        <v/>
      </c>
      <c r="G251" s="26">
        <f>INDEX(Calib!$N$1:$N$13,$D251)*(1-p_rent_decline*MIN(1,C251/26))</f>
        <v/>
      </c>
      <c r="H251" s="26">
        <f>IF(C251=0,0,SUMIFS(dl_val,dl_iso,$A251,dl_ind,"pub_cap",dl_year,$B251)/100)</f>
        <v/>
      </c>
      <c r="I251" s="26">
        <f>IF(C251=0,0,SUMIFS(dl_val,dl_iso,$A251,dl_ind,"pub_spend",dl_year,$B251)/100)</f>
        <v/>
      </c>
      <c r="J251" s="26">
        <f>IF(C251=0,0,SUMIFS(dl_val,dl_iso,$A251,dl_ind,"rev",dl_year,$B251)/100)</f>
        <v/>
      </c>
      <c r="K251" s="26">
        <f>(1-p_delta_g)*K250*(1-p_eps_g*$E251)+INDEX(Calib!$E$1:$E$13,$D251)*(INDEX(Calib!$G$1:$G$13,$D251)+0*$H251)</f>
        <v/>
      </c>
      <c r="L251" s="26">
        <f>L250*(1-p_eps_k*$E251)+p_lambda_k*(N251-L250*(1-p_eps_k*$E251))</f>
        <v/>
      </c>
      <c r="M251" s="26">
        <f>INDEX(Calib!$R$1:$R$13,$D251)*$F251*(K250*(1-p_eps_g*$E251))^INDEX(Calib!$Q$1:$Q$13,$D251)*(L250*(1-p_eps_k*$E251))^p_alpha</f>
        <v/>
      </c>
      <c r="N251" s="26">
        <f>p_alpha*(1-INDEX(Calib!$H$1:$H$13,$D251))*M251/(INDEX(Calib!$K$1:$K$13,$D251)+p_delta)</f>
        <v/>
      </c>
      <c r="O251" s="26">
        <f>M251+$G251</f>
        <v/>
      </c>
      <c r="P251" s="26">
        <f>0*($H251+$I251)</f>
        <v/>
      </c>
      <c r="Q251" s="26">
        <f>INDEX(Calib!$I$1:$I$13,$D251)+p_sh_grant*P251</f>
        <v/>
      </c>
      <c r="R251" s="26">
        <f>INDEX(Calib!$H$1:$H$13,$D251)*M251+p_gov_take*$G251+Q251+0*p_pricing*$J251</f>
        <v/>
      </c>
      <c r="S251" s="26">
        <f>INDEX(Calib!$Y$1:$Y$13,$D251)-INDEX(Calib!$Z$1:$Z$13,$D251)*(V250/O250-INDEX(Calib!$AA$1:$AA$13,$D251))</f>
        <v/>
      </c>
      <c r="T251" s="26">
        <f>INDEX(Calib!$X$1:$X$13,$D251)+INDEX(Calib!$G$1:$G$13,$D251)+P251+S251-R251</f>
        <v/>
      </c>
      <c r="U251" s="26">
        <f>p_rk*W250+Y250*(V250-W250)</f>
        <v/>
      </c>
      <c r="V251" s="26">
        <f>V250+U251+T251</f>
        <v/>
      </c>
      <c r="W251" s="26">
        <f>INDEX(Calib!$U$1:$U$13,$D251)+(W250-INDEX(Calib!$U$1:$U$13,$D251))*(1-p_amort)+p_sh_conc*P251</f>
        <v/>
      </c>
      <c r="X251" s="26">
        <f>V251/O251</f>
        <v/>
      </c>
      <c r="Y251" s="26">
        <f>INDEX(Calib!$K$1:$K$13,$D251)+p_eta*MAX(0,X251-INDEX(Calib!$AA$1:$AA$13,$D251))</f>
        <v/>
      </c>
      <c r="Z251" s="26">
        <f>(1-INDEX(Calib!$H$1:$H$13,$D251))*(1-p_alpha)*M251+S251</f>
        <v/>
      </c>
      <c r="AA251" s="26">
        <f>(1-p_delta_g)*AA250*(1-p_eps_g*$E251)+INDEX(Calib!$E$1:$E$13,$D251)*(INDEX(Calib!$G$1:$G$13,$D251)+p_programme*$H251)</f>
        <v/>
      </c>
      <c r="AB251" s="26">
        <f>AB250*(1-p_eps_k*$E251)+p_lambda_k*(AD251-AB250*(1-p_eps_k*$E251))</f>
        <v/>
      </c>
      <c r="AC251" s="26">
        <f>INDEX(Calib!$R$1:$R$13,$D251)*$F251*(AA250*(1-p_eps_g*$E251))^INDEX(Calib!$Q$1:$Q$13,$D251)*(AB250*(1-p_eps_k*$E251))^p_alpha</f>
        <v/>
      </c>
      <c r="AD251" s="26">
        <f>p_alpha*(1-INDEX(Calib!$H$1:$H$13,$D251))*AC251/(INDEX(Calib!$K$1:$K$13,$D251)+p_delta)</f>
        <v/>
      </c>
      <c r="AE251" s="26">
        <f>AC251+$G251</f>
        <v/>
      </c>
      <c r="AF251" s="26">
        <f>p_programme*($H251+$I251)</f>
        <v/>
      </c>
      <c r="AG251" s="26">
        <f>INDEX(Calib!$I$1:$I$13,$D251)+p_sh_grant*AF251</f>
        <v/>
      </c>
      <c r="AH251" s="26">
        <f>INDEX(Calib!$H$1:$H$13,$D251)*AC251+p_gov_take*$G251+AG251+p_programme*p_pricing*$J251</f>
        <v/>
      </c>
      <c r="AI251" s="26">
        <f>INDEX(Calib!$Y$1:$Y$13,$D251)-INDEX(Calib!$Z$1:$Z$13,$D251)*(AL250/AE250-INDEX(Calib!$AA$1:$AA$13,$D251))</f>
        <v/>
      </c>
      <c r="AJ251" s="26">
        <f>INDEX(Calib!$X$1:$X$13,$D251)+INDEX(Calib!$G$1:$G$13,$D251)+AF251+AI251-AH251</f>
        <v/>
      </c>
      <c r="AK251" s="26">
        <f>p_rk*AM250+AO250*(AL250-AM250)</f>
        <v/>
      </c>
      <c r="AL251" s="26">
        <f>AL250+AK251+AJ251</f>
        <v/>
      </c>
      <c r="AM251" s="26">
        <f>INDEX(Calib!$U$1:$U$13,$D251)+(AM250-INDEX(Calib!$U$1:$U$13,$D251))*(1-p_amort)+p_sh_conc*AF251</f>
        <v/>
      </c>
      <c r="AN251" s="26">
        <f>AL251/AE251</f>
        <v/>
      </c>
      <c r="AO251" s="26">
        <f>INDEX(Calib!$K$1:$K$13,$D251)+p_eta*MAX(0,AN251-INDEX(Calib!$AA$1:$AA$13,$D251))</f>
        <v/>
      </c>
      <c r="AP251" s="26">
        <f>(1-INDEX(Calib!$H$1:$H$13,$D251))*(1-p_alpha)*AC251+AI251</f>
        <v/>
      </c>
      <c r="AQ251" s="26">
        <f>(AE251/O251-1)*100</f>
        <v/>
      </c>
      <c r="AR251" s="26">
        <f>(AE251/AE245-1)*100</f>
        <v/>
      </c>
      <c r="AS251" s="26">
        <f>(O251/O245-1)*100</f>
        <v/>
      </c>
      <c r="AT251" s="26">
        <f>(AN251-X251)*100</f>
        <v/>
      </c>
      <c r="AU251" s="26">
        <f>(AP251/Z251-1)*100</f>
        <v/>
      </c>
      <c r="AV251" s="26">
        <f>(AI251-S251)*100</f>
        <v/>
      </c>
    </row>
    <row r="252">
      <c r="A252" s="25" t="inlineStr">
        <is>
          <t>AGO</t>
        </is>
      </c>
      <c r="B252" s="25" t="n">
        <v>2031</v>
      </c>
      <c r="C252" s="25" t="n">
        <v>7</v>
      </c>
      <c r="D252" s="25" t="n">
        <v>11</v>
      </c>
      <c r="E252" s="25">
        <f>IF(AND(p_dis_year&gt;0,B252=p_dis_year),1,0)</f>
        <v/>
      </c>
      <c r="F252" s="26">
        <f>IF(AND(p_dis_year&gt;0,B252&gt;=p_dis_year),1-p_eps_a*p_rho_a^(B252-p_dis_year),1)</f>
        <v/>
      </c>
      <c r="G252" s="26">
        <f>INDEX(Calib!$N$1:$N$13,$D252)*(1-p_rent_decline*MIN(1,C252/26))</f>
        <v/>
      </c>
      <c r="H252" s="26">
        <f>IF(C252=0,0,SUMIFS(dl_val,dl_iso,$A252,dl_ind,"pub_cap",dl_year,$B252)/100)</f>
        <v/>
      </c>
      <c r="I252" s="26">
        <f>IF(C252=0,0,SUMIFS(dl_val,dl_iso,$A252,dl_ind,"pub_spend",dl_year,$B252)/100)</f>
        <v/>
      </c>
      <c r="J252" s="26">
        <f>IF(C252=0,0,SUMIFS(dl_val,dl_iso,$A252,dl_ind,"rev",dl_year,$B252)/100)</f>
        <v/>
      </c>
      <c r="K252" s="26">
        <f>(1-p_delta_g)*K251*(1-p_eps_g*$E252)+INDEX(Calib!$E$1:$E$13,$D252)*(INDEX(Calib!$G$1:$G$13,$D252)+0*$H252)</f>
        <v/>
      </c>
      <c r="L252" s="26">
        <f>L251*(1-p_eps_k*$E252)+p_lambda_k*(N252-L251*(1-p_eps_k*$E252))</f>
        <v/>
      </c>
      <c r="M252" s="26">
        <f>INDEX(Calib!$R$1:$R$13,$D252)*$F252*(K251*(1-p_eps_g*$E252))^INDEX(Calib!$Q$1:$Q$13,$D252)*(L251*(1-p_eps_k*$E252))^p_alpha</f>
        <v/>
      </c>
      <c r="N252" s="26">
        <f>p_alpha*(1-INDEX(Calib!$H$1:$H$13,$D252))*M252/(INDEX(Calib!$K$1:$K$13,$D252)+p_delta)</f>
        <v/>
      </c>
      <c r="O252" s="26">
        <f>M252+$G252</f>
        <v/>
      </c>
      <c r="P252" s="26">
        <f>0*($H252+$I252)</f>
        <v/>
      </c>
      <c r="Q252" s="26">
        <f>INDEX(Calib!$I$1:$I$13,$D252)+p_sh_grant*P252</f>
        <v/>
      </c>
      <c r="R252" s="26">
        <f>INDEX(Calib!$H$1:$H$13,$D252)*M252+p_gov_take*$G252+Q252+0*p_pricing*$J252</f>
        <v/>
      </c>
      <c r="S252" s="26">
        <f>INDEX(Calib!$Y$1:$Y$13,$D252)-INDEX(Calib!$Z$1:$Z$13,$D252)*(V251/O251-INDEX(Calib!$AA$1:$AA$13,$D252))</f>
        <v/>
      </c>
      <c r="T252" s="26">
        <f>INDEX(Calib!$X$1:$X$13,$D252)+INDEX(Calib!$G$1:$G$13,$D252)+P252+S252-R252</f>
        <v/>
      </c>
      <c r="U252" s="26">
        <f>p_rk*W251+Y251*(V251-W251)</f>
        <v/>
      </c>
      <c r="V252" s="26">
        <f>V251+U252+T252</f>
        <v/>
      </c>
      <c r="W252" s="26">
        <f>INDEX(Calib!$U$1:$U$13,$D252)+(W251-INDEX(Calib!$U$1:$U$13,$D252))*(1-p_amort)+p_sh_conc*P252</f>
        <v/>
      </c>
      <c r="X252" s="26">
        <f>V252/O252</f>
        <v/>
      </c>
      <c r="Y252" s="26">
        <f>INDEX(Calib!$K$1:$K$13,$D252)+p_eta*MAX(0,X252-INDEX(Calib!$AA$1:$AA$13,$D252))</f>
        <v/>
      </c>
      <c r="Z252" s="26">
        <f>(1-INDEX(Calib!$H$1:$H$13,$D252))*(1-p_alpha)*M252+S252</f>
        <v/>
      </c>
      <c r="AA252" s="26">
        <f>(1-p_delta_g)*AA251*(1-p_eps_g*$E252)+INDEX(Calib!$E$1:$E$13,$D252)*(INDEX(Calib!$G$1:$G$13,$D252)+p_programme*$H252)</f>
        <v/>
      </c>
      <c r="AB252" s="26">
        <f>AB251*(1-p_eps_k*$E252)+p_lambda_k*(AD252-AB251*(1-p_eps_k*$E252))</f>
        <v/>
      </c>
      <c r="AC252" s="26">
        <f>INDEX(Calib!$R$1:$R$13,$D252)*$F252*(AA251*(1-p_eps_g*$E252))^INDEX(Calib!$Q$1:$Q$13,$D252)*(AB251*(1-p_eps_k*$E252))^p_alpha</f>
        <v/>
      </c>
      <c r="AD252" s="26">
        <f>p_alpha*(1-INDEX(Calib!$H$1:$H$13,$D252))*AC252/(INDEX(Calib!$K$1:$K$13,$D252)+p_delta)</f>
        <v/>
      </c>
      <c r="AE252" s="26">
        <f>AC252+$G252</f>
        <v/>
      </c>
      <c r="AF252" s="26">
        <f>p_programme*($H252+$I252)</f>
        <v/>
      </c>
      <c r="AG252" s="26">
        <f>INDEX(Calib!$I$1:$I$13,$D252)+p_sh_grant*AF252</f>
        <v/>
      </c>
      <c r="AH252" s="26">
        <f>INDEX(Calib!$H$1:$H$13,$D252)*AC252+p_gov_take*$G252+AG252+p_programme*p_pricing*$J252</f>
        <v/>
      </c>
      <c r="AI252" s="26">
        <f>INDEX(Calib!$Y$1:$Y$13,$D252)-INDEX(Calib!$Z$1:$Z$13,$D252)*(AL251/AE251-INDEX(Calib!$AA$1:$AA$13,$D252))</f>
        <v/>
      </c>
      <c r="AJ252" s="26">
        <f>INDEX(Calib!$X$1:$X$13,$D252)+INDEX(Calib!$G$1:$G$13,$D252)+AF252+AI252-AH252</f>
        <v/>
      </c>
      <c r="AK252" s="26">
        <f>p_rk*AM251+AO251*(AL251-AM251)</f>
        <v/>
      </c>
      <c r="AL252" s="26">
        <f>AL251+AK252+AJ252</f>
        <v/>
      </c>
      <c r="AM252" s="26">
        <f>INDEX(Calib!$U$1:$U$13,$D252)+(AM251-INDEX(Calib!$U$1:$U$13,$D252))*(1-p_amort)+p_sh_conc*AF252</f>
        <v/>
      </c>
      <c r="AN252" s="26">
        <f>AL252/AE252</f>
        <v/>
      </c>
      <c r="AO252" s="26">
        <f>INDEX(Calib!$K$1:$K$13,$D252)+p_eta*MAX(0,AN252-INDEX(Calib!$AA$1:$AA$13,$D252))</f>
        <v/>
      </c>
      <c r="AP252" s="26">
        <f>(1-INDEX(Calib!$H$1:$H$13,$D252))*(1-p_alpha)*AC252+AI252</f>
        <v/>
      </c>
      <c r="AQ252" s="26">
        <f>(AE252/O252-1)*100</f>
        <v/>
      </c>
      <c r="AR252" s="26">
        <f>(AE252/AE245-1)*100</f>
        <v/>
      </c>
      <c r="AS252" s="26">
        <f>(O252/O245-1)*100</f>
        <v/>
      </c>
      <c r="AT252" s="26">
        <f>(AN252-X252)*100</f>
        <v/>
      </c>
      <c r="AU252" s="26">
        <f>(AP252/Z252-1)*100</f>
        <v/>
      </c>
      <c r="AV252" s="26">
        <f>(AI252-S252)*100</f>
        <v/>
      </c>
    </row>
    <row r="253">
      <c r="A253" s="25" t="inlineStr">
        <is>
          <t>AGO</t>
        </is>
      </c>
      <c r="B253" s="25" t="n">
        <v>2032</v>
      </c>
      <c r="C253" s="25" t="n">
        <v>8</v>
      </c>
      <c r="D253" s="25" t="n">
        <v>11</v>
      </c>
      <c r="E253" s="25">
        <f>IF(AND(p_dis_year&gt;0,B253=p_dis_year),1,0)</f>
        <v/>
      </c>
      <c r="F253" s="26">
        <f>IF(AND(p_dis_year&gt;0,B253&gt;=p_dis_year),1-p_eps_a*p_rho_a^(B253-p_dis_year),1)</f>
        <v/>
      </c>
      <c r="G253" s="26">
        <f>INDEX(Calib!$N$1:$N$13,$D253)*(1-p_rent_decline*MIN(1,C253/26))</f>
        <v/>
      </c>
      <c r="H253" s="26">
        <f>IF(C253=0,0,SUMIFS(dl_val,dl_iso,$A253,dl_ind,"pub_cap",dl_year,$B253)/100)</f>
        <v/>
      </c>
      <c r="I253" s="26">
        <f>IF(C253=0,0,SUMIFS(dl_val,dl_iso,$A253,dl_ind,"pub_spend",dl_year,$B253)/100)</f>
        <v/>
      </c>
      <c r="J253" s="26">
        <f>IF(C253=0,0,SUMIFS(dl_val,dl_iso,$A253,dl_ind,"rev",dl_year,$B253)/100)</f>
        <v/>
      </c>
      <c r="K253" s="26">
        <f>(1-p_delta_g)*K252*(1-p_eps_g*$E253)+INDEX(Calib!$E$1:$E$13,$D253)*(INDEX(Calib!$G$1:$G$13,$D253)+0*$H253)</f>
        <v/>
      </c>
      <c r="L253" s="26">
        <f>L252*(1-p_eps_k*$E253)+p_lambda_k*(N253-L252*(1-p_eps_k*$E253))</f>
        <v/>
      </c>
      <c r="M253" s="26">
        <f>INDEX(Calib!$R$1:$R$13,$D253)*$F253*(K252*(1-p_eps_g*$E253))^INDEX(Calib!$Q$1:$Q$13,$D253)*(L252*(1-p_eps_k*$E253))^p_alpha</f>
        <v/>
      </c>
      <c r="N253" s="26">
        <f>p_alpha*(1-INDEX(Calib!$H$1:$H$13,$D253))*M253/(INDEX(Calib!$K$1:$K$13,$D253)+p_delta)</f>
        <v/>
      </c>
      <c r="O253" s="26">
        <f>M253+$G253</f>
        <v/>
      </c>
      <c r="P253" s="26">
        <f>0*($H253+$I253)</f>
        <v/>
      </c>
      <c r="Q253" s="26">
        <f>INDEX(Calib!$I$1:$I$13,$D253)+p_sh_grant*P253</f>
        <v/>
      </c>
      <c r="R253" s="26">
        <f>INDEX(Calib!$H$1:$H$13,$D253)*M253+p_gov_take*$G253+Q253+0*p_pricing*$J253</f>
        <v/>
      </c>
      <c r="S253" s="26">
        <f>INDEX(Calib!$Y$1:$Y$13,$D253)-INDEX(Calib!$Z$1:$Z$13,$D253)*(V252/O252-INDEX(Calib!$AA$1:$AA$13,$D253))</f>
        <v/>
      </c>
      <c r="T253" s="26">
        <f>INDEX(Calib!$X$1:$X$13,$D253)+INDEX(Calib!$G$1:$G$13,$D253)+P253+S253-R253</f>
        <v/>
      </c>
      <c r="U253" s="26">
        <f>p_rk*W252+Y252*(V252-W252)</f>
        <v/>
      </c>
      <c r="V253" s="26">
        <f>V252+U253+T253</f>
        <v/>
      </c>
      <c r="W253" s="26">
        <f>INDEX(Calib!$U$1:$U$13,$D253)+(W252-INDEX(Calib!$U$1:$U$13,$D253))*(1-p_amort)+p_sh_conc*P253</f>
        <v/>
      </c>
      <c r="X253" s="26">
        <f>V253/O253</f>
        <v/>
      </c>
      <c r="Y253" s="26">
        <f>INDEX(Calib!$K$1:$K$13,$D253)+p_eta*MAX(0,X253-INDEX(Calib!$AA$1:$AA$13,$D253))</f>
        <v/>
      </c>
      <c r="Z253" s="26">
        <f>(1-INDEX(Calib!$H$1:$H$13,$D253))*(1-p_alpha)*M253+S253</f>
        <v/>
      </c>
      <c r="AA253" s="26">
        <f>(1-p_delta_g)*AA252*(1-p_eps_g*$E253)+INDEX(Calib!$E$1:$E$13,$D253)*(INDEX(Calib!$G$1:$G$13,$D253)+p_programme*$H253)</f>
        <v/>
      </c>
      <c r="AB253" s="26">
        <f>AB252*(1-p_eps_k*$E253)+p_lambda_k*(AD253-AB252*(1-p_eps_k*$E253))</f>
        <v/>
      </c>
      <c r="AC253" s="26">
        <f>INDEX(Calib!$R$1:$R$13,$D253)*$F253*(AA252*(1-p_eps_g*$E253))^INDEX(Calib!$Q$1:$Q$13,$D253)*(AB252*(1-p_eps_k*$E253))^p_alpha</f>
        <v/>
      </c>
      <c r="AD253" s="26">
        <f>p_alpha*(1-INDEX(Calib!$H$1:$H$13,$D253))*AC253/(INDEX(Calib!$K$1:$K$13,$D253)+p_delta)</f>
        <v/>
      </c>
      <c r="AE253" s="26">
        <f>AC253+$G253</f>
        <v/>
      </c>
      <c r="AF253" s="26">
        <f>p_programme*($H253+$I253)</f>
        <v/>
      </c>
      <c r="AG253" s="26">
        <f>INDEX(Calib!$I$1:$I$13,$D253)+p_sh_grant*AF253</f>
        <v/>
      </c>
      <c r="AH253" s="26">
        <f>INDEX(Calib!$H$1:$H$13,$D253)*AC253+p_gov_take*$G253+AG253+p_programme*p_pricing*$J253</f>
        <v/>
      </c>
      <c r="AI253" s="26">
        <f>INDEX(Calib!$Y$1:$Y$13,$D253)-INDEX(Calib!$Z$1:$Z$13,$D253)*(AL252/AE252-INDEX(Calib!$AA$1:$AA$13,$D253))</f>
        <v/>
      </c>
      <c r="AJ253" s="26">
        <f>INDEX(Calib!$X$1:$X$13,$D253)+INDEX(Calib!$G$1:$G$13,$D253)+AF253+AI253-AH253</f>
        <v/>
      </c>
      <c r="AK253" s="26">
        <f>p_rk*AM252+AO252*(AL252-AM252)</f>
        <v/>
      </c>
      <c r="AL253" s="26">
        <f>AL252+AK253+AJ253</f>
        <v/>
      </c>
      <c r="AM253" s="26">
        <f>INDEX(Calib!$U$1:$U$13,$D253)+(AM252-INDEX(Calib!$U$1:$U$13,$D253))*(1-p_amort)+p_sh_conc*AF253</f>
        <v/>
      </c>
      <c r="AN253" s="26">
        <f>AL253/AE253</f>
        <v/>
      </c>
      <c r="AO253" s="26">
        <f>INDEX(Calib!$K$1:$K$13,$D253)+p_eta*MAX(0,AN253-INDEX(Calib!$AA$1:$AA$13,$D253))</f>
        <v/>
      </c>
      <c r="AP253" s="26">
        <f>(1-INDEX(Calib!$H$1:$H$13,$D253))*(1-p_alpha)*AC253+AI253</f>
        <v/>
      </c>
      <c r="AQ253" s="26">
        <f>(AE253/O253-1)*100</f>
        <v/>
      </c>
      <c r="AR253" s="26">
        <f>(AE253/AE245-1)*100</f>
        <v/>
      </c>
      <c r="AS253" s="26">
        <f>(O253/O245-1)*100</f>
        <v/>
      </c>
      <c r="AT253" s="26">
        <f>(AN253-X253)*100</f>
        <v/>
      </c>
      <c r="AU253" s="26">
        <f>(AP253/Z253-1)*100</f>
        <v/>
      </c>
      <c r="AV253" s="26">
        <f>(AI253-S253)*100</f>
        <v/>
      </c>
    </row>
    <row r="254">
      <c r="A254" s="25" t="inlineStr">
        <is>
          <t>AGO</t>
        </is>
      </c>
      <c r="B254" s="25" t="n">
        <v>2033</v>
      </c>
      <c r="C254" s="25" t="n">
        <v>9</v>
      </c>
      <c r="D254" s="25" t="n">
        <v>11</v>
      </c>
      <c r="E254" s="25">
        <f>IF(AND(p_dis_year&gt;0,B254=p_dis_year),1,0)</f>
        <v/>
      </c>
      <c r="F254" s="26">
        <f>IF(AND(p_dis_year&gt;0,B254&gt;=p_dis_year),1-p_eps_a*p_rho_a^(B254-p_dis_year),1)</f>
        <v/>
      </c>
      <c r="G254" s="26">
        <f>INDEX(Calib!$N$1:$N$13,$D254)*(1-p_rent_decline*MIN(1,C254/26))</f>
        <v/>
      </c>
      <c r="H254" s="26">
        <f>IF(C254=0,0,SUMIFS(dl_val,dl_iso,$A254,dl_ind,"pub_cap",dl_year,$B254)/100)</f>
        <v/>
      </c>
      <c r="I254" s="26">
        <f>IF(C254=0,0,SUMIFS(dl_val,dl_iso,$A254,dl_ind,"pub_spend",dl_year,$B254)/100)</f>
        <v/>
      </c>
      <c r="J254" s="26">
        <f>IF(C254=0,0,SUMIFS(dl_val,dl_iso,$A254,dl_ind,"rev",dl_year,$B254)/100)</f>
        <v/>
      </c>
      <c r="K254" s="26">
        <f>(1-p_delta_g)*K253*(1-p_eps_g*$E254)+INDEX(Calib!$E$1:$E$13,$D254)*(INDEX(Calib!$G$1:$G$13,$D254)+0*$H254)</f>
        <v/>
      </c>
      <c r="L254" s="26">
        <f>L253*(1-p_eps_k*$E254)+p_lambda_k*(N254-L253*(1-p_eps_k*$E254))</f>
        <v/>
      </c>
      <c r="M254" s="26">
        <f>INDEX(Calib!$R$1:$R$13,$D254)*$F254*(K253*(1-p_eps_g*$E254))^INDEX(Calib!$Q$1:$Q$13,$D254)*(L253*(1-p_eps_k*$E254))^p_alpha</f>
        <v/>
      </c>
      <c r="N254" s="26">
        <f>p_alpha*(1-INDEX(Calib!$H$1:$H$13,$D254))*M254/(INDEX(Calib!$K$1:$K$13,$D254)+p_delta)</f>
        <v/>
      </c>
      <c r="O254" s="26">
        <f>M254+$G254</f>
        <v/>
      </c>
      <c r="P254" s="26">
        <f>0*($H254+$I254)</f>
        <v/>
      </c>
      <c r="Q254" s="26">
        <f>INDEX(Calib!$I$1:$I$13,$D254)+p_sh_grant*P254</f>
        <v/>
      </c>
      <c r="R254" s="26">
        <f>INDEX(Calib!$H$1:$H$13,$D254)*M254+p_gov_take*$G254+Q254+0*p_pricing*$J254</f>
        <v/>
      </c>
      <c r="S254" s="26">
        <f>INDEX(Calib!$Y$1:$Y$13,$D254)-INDEX(Calib!$Z$1:$Z$13,$D254)*(V253/O253-INDEX(Calib!$AA$1:$AA$13,$D254))</f>
        <v/>
      </c>
      <c r="T254" s="26">
        <f>INDEX(Calib!$X$1:$X$13,$D254)+INDEX(Calib!$G$1:$G$13,$D254)+P254+S254-R254</f>
        <v/>
      </c>
      <c r="U254" s="26">
        <f>p_rk*W253+Y253*(V253-W253)</f>
        <v/>
      </c>
      <c r="V254" s="26">
        <f>V253+U254+T254</f>
        <v/>
      </c>
      <c r="W254" s="26">
        <f>INDEX(Calib!$U$1:$U$13,$D254)+(W253-INDEX(Calib!$U$1:$U$13,$D254))*(1-p_amort)+p_sh_conc*P254</f>
        <v/>
      </c>
      <c r="X254" s="26">
        <f>V254/O254</f>
        <v/>
      </c>
      <c r="Y254" s="26">
        <f>INDEX(Calib!$K$1:$K$13,$D254)+p_eta*MAX(0,X254-INDEX(Calib!$AA$1:$AA$13,$D254))</f>
        <v/>
      </c>
      <c r="Z254" s="26">
        <f>(1-INDEX(Calib!$H$1:$H$13,$D254))*(1-p_alpha)*M254+S254</f>
        <v/>
      </c>
      <c r="AA254" s="26">
        <f>(1-p_delta_g)*AA253*(1-p_eps_g*$E254)+INDEX(Calib!$E$1:$E$13,$D254)*(INDEX(Calib!$G$1:$G$13,$D254)+p_programme*$H254)</f>
        <v/>
      </c>
      <c r="AB254" s="26">
        <f>AB253*(1-p_eps_k*$E254)+p_lambda_k*(AD254-AB253*(1-p_eps_k*$E254))</f>
        <v/>
      </c>
      <c r="AC254" s="26">
        <f>INDEX(Calib!$R$1:$R$13,$D254)*$F254*(AA253*(1-p_eps_g*$E254))^INDEX(Calib!$Q$1:$Q$13,$D254)*(AB253*(1-p_eps_k*$E254))^p_alpha</f>
        <v/>
      </c>
      <c r="AD254" s="26">
        <f>p_alpha*(1-INDEX(Calib!$H$1:$H$13,$D254))*AC254/(INDEX(Calib!$K$1:$K$13,$D254)+p_delta)</f>
        <v/>
      </c>
      <c r="AE254" s="26">
        <f>AC254+$G254</f>
        <v/>
      </c>
      <c r="AF254" s="26">
        <f>p_programme*($H254+$I254)</f>
        <v/>
      </c>
      <c r="AG254" s="26">
        <f>INDEX(Calib!$I$1:$I$13,$D254)+p_sh_grant*AF254</f>
        <v/>
      </c>
      <c r="AH254" s="26">
        <f>INDEX(Calib!$H$1:$H$13,$D254)*AC254+p_gov_take*$G254+AG254+p_programme*p_pricing*$J254</f>
        <v/>
      </c>
      <c r="AI254" s="26">
        <f>INDEX(Calib!$Y$1:$Y$13,$D254)-INDEX(Calib!$Z$1:$Z$13,$D254)*(AL253/AE253-INDEX(Calib!$AA$1:$AA$13,$D254))</f>
        <v/>
      </c>
      <c r="AJ254" s="26">
        <f>INDEX(Calib!$X$1:$X$13,$D254)+INDEX(Calib!$G$1:$G$13,$D254)+AF254+AI254-AH254</f>
        <v/>
      </c>
      <c r="AK254" s="26">
        <f>p_rk*AM253+AO253*(AL253-AM253)</f>
        <v/>
      </c>
      <c r="AL254" s="26">
        <f>AL253+AK254+AJ254</f>
        <v/>
      </c>
      <c r="AM254" s="26">
        <f>INDEX(Calib!$U$1:$U$13,$D254)+(AM253-INDEX(Calib!$U$1:$U$13,$D254))*(1-p_amort)+p_sh_conc*AF254</f>
        <v/>
      </c>
      <c r="AN254" s="26">
        <f>AL254/AE254</f>
        <v/>
      </c>
      <c r="AO254" s="26">
        <f>INDEX(Calib!$K$1:$K$13,$D254)+p_eta*MAX(0,AN254-INDEX(Calib!$AA$1:$AA$13,$D254))</f>
        <v/>
      </c>
      <c r="AP254" s="26">
        <f>(1-INDEX(Calib!$H$1:$H$13,$D254))*(1-p_alpha)*AC254+AI254</f>
        <v/>
      </c>
      <c r="AQ254" s="26">
        <f>(AE254/O254-1)*100</f>
        <v/>
      </c>
      <c r="AR254" s="26">
        <f>(AE254/AE245-1)*100</f>
        <v/>
      </c>
      <c r="AS254" s="26">
        <f>(O254/O245-1)*100</f>
        <v/>
      </c>
      <c r="AT254" s="26">
        <f>(AN254-X254)*100</f>
        <v/>
      </c>
      <c r="AU254" s="26">
        <f>(AP254/Z254-1)*100</f>
        <v/>
      </c>
      <c r="AV254" s="26">
        <f>(AI254-S254)*100</f>
        <v/>
      </c>
    </row>
    <row r="255">
      <c r="A255" s="25" t="inlineStr">
        <is>
          <t>AGO</t>
        </is>
      </c>
      <c r="B255" s="25" t="n">
        <v>2034</v>
      </c>
      <c r="C255" s="25" t="n">
        <v>10</v>
      </c>
      <c r="D255" s="25" t="n">
        <v>11</v>
      </c>
      <c r="E255" s="25">
        <f>IF(AND(p_dis_year&gt;0,B255=p_dis_year),1,0)</f>
        <v/>
      </c>
      <c r="F255" s="26">
        <f>IF(AND(p_dis_year&gt;0,B255&gt;=p_dis_year),1-p_eps_a*p_rho_a^(B255-p_dis_year),1)</f>
        <v/>
      </c>
      <c r="G255" s="26">
        <f>INDEX(Calib!$N$1:$N$13,$D255)*(1-p_rent_decline*MIN(1,C255/26))</f>
        <v/>
      </c>
      <c r="H255" s="26">
        <f>IF(C255=0,0,SUMIFS(dl_val,dl_iso,$A255,dl_ind,"pub_cap",dl_year,$B255)/100)</f>
        <v/>
      </c>
      <c r="I255" s="26">
        <f>IF(C255=0,0,SUMIFS(dl_val,dl_iso,$A255,dl_ind,"pub_spend",dl_year,$B255)/100)</f>
        <v/>
      </c>
      <c r="J255" s="26">
        <f>IF(C255=0,0,SUMIFS(dl_val,dl_iso,$A255,dl_ind,"rev",dl_year,$B255)/100)</f>
        <v/>
      </c>
      <c r="K255" s="26">
        <f>(1-p_delta_g)*K254*(1-p_eps_g*$E255)+INDEX(Calib!$E$1:$E$13,$D255)*(INDEX(Calib!$G$1:$G$13,$D255)+0*$H255)</f>
        <v/>
      </c>
      <c r="L255" s="26">
        <f>L254*(1-p_eps_k*$E255)+p_lambda_k*(N255-L254*(1-p_eps_k*$E255))</f>
        <v/>
      </c>
      <c r="M255" s="26">
        <f>INDEX(Calib!$R$1:$R$13,$D255)*$F255*(K254*(1-p_eps_g*$E255))^INDEX(Calib!$Q$1:$Q$13,$D255)*(L254*(1-p_eps_k*$E255))^p_alpha</f>
        <v/>
      </c>
      <c r="N255" s="26">
        <f>p_alpha*(1-INDEX(Calib!$H$1:$H$13,$D255))*M255/(INDEX(Calib!$K$1:$K$13,$D255)+p_delta)</f>
        <v/>
      </c>
      <c r="O255" s="26">
        <f>M255+$G255</f>
        <v/>
      </c>
      <c r="P255" s="26">
        <f>0*($H255+$I255)</f>
        <v/>
      </c>
      <c r="Q255" s="26">
        <f>INDEX(Calib!$I$1:$I$13,$D255)+p_sh_grant*P255</f>
        <v/>
      </c>
      <c r="R255" s="26">
        <f>INDEX(Calib!$H$1:$H$13,$D255)*M255+p_gov_take*$G255+Q255+0*p_pricing*$J255</f>
        <v/>
      </c>
      <c r="S255" s="26">
        <f>INDEX(Calib!$Y$1:$Y$13,$D255)-INDEX(Calib!$Z$1:$Z$13,$D255)*(V254/O254-INDEX(Calib!$AA$1:$AA$13,$D255))</f>
        <v/>
      </c>
      <c r="T255" s="26">
        <f>INDEX(Calib!$X$1:$X$13,$D255)+INDEX(Calib!$G$1:$G$13,$D255)+P255+S255-R255</f>
        <v/>
      </c>
      <c r="U255" s="26">
        <f>p_rk*W254+Y254*(V254-W254)</f>
        <v/>
      </c>
      <c r="V255" s="26">
        <f>V254+U255+T255</f>
        <v/>
      </c>
      <c r="W255" s="26">
        <f>INDEX(Calib!$U$1:$U$13,$D255)+(W254-INDEX(Calib!$U$1:$U$13,$D255))*(1-p_amort)+p_sh_conc*P255</f>
        <v/>
      </c>
      <c r="X255" s="26">
        <f>V255/O255</f>
        <v/>
      </c>
      <c r="Y255" s="26">
        <f>INDEX(Calib!$K$1:$K$13,$D255)+p_eta*MAX(0,X255-INDEX(Calib!$AA$1:$AA$13,$D255))</f>
        <v/>
      </c>
      <c r="Z255" s="26">
        <f>(1-INDEX(Calib!$H$1:$H$13,$D255))*(1-p_alpha)*M255+S255</f>
        <v/>
      </c>
      <c r="AA255" s="26">
        <f>(1-p_delta_g)*AA254*(1-p_eps_g*$E255)+INDEX(Calib!$E$1:$E$13,$D255)*(INDEX(Calib!$G$1:$G$13,$D255)+p_programme*$H255)</f>
        <v/>
      </c>
      <c r="AB255" s="26">
        <f>AB254*(1-p_eps_k*$E255)+p_lambda_k*(AD255-AB254*(1-p_eps_k*$E255))</f>
        <v/>
      </c>
      <c r="AC255" s="26">
        <f>INDEX(Calib!$R$1:$R$13,$D255)*$F255*(AA254*(1-p_eps_g*$E255))^INDEX(Calib!$Q$1:$Q$13,$D255)*(AB254*(1-p_eps_k*$E255))^p_alpha</f>
        <v/>
      </c>
      <c r="AD255" s="26">
        <f>p_alpha*(1-INDEX(Calib!$H$1:$H$13,$D255))*AC255/(INDEX(Calib!$K$1:$K$13,$D255)+p_delta)</f>
        <v/>
      </c>
      <c r="AE255" s="26">
        <f>AC255+$G255</f>
        <v/>
      </c>
      <c r="AF255" s="26">
        <f>p_programme*($H255+$I255)</f>
        <v/>
      </c>
      <c r="AG255" s="26">
        <f>INDEX(Calib!$I$1:$I$13,$D255)+p_sh_grant*AF255</f>
        <v/>
      </c>
      <c r="AH255" s="26">
        <f>INDEX(Calib!$H$1:$H$13,$D255)*AC255+p_gov_take*$G255+AG255+p_programme*p_pricing*$J255</f>
        <v/>
      </c>
      <c r="AI255" s="26">
        <f>INDEX(Calib!$Y$1:$Y$13,$D255)-INDEX(Calib!$Z$1:$Z$13,$D255)*(AL254/AE254-INDEX(Calib!$AA$1:$AA$13,$D255))</f>
        <v/>
      </c>
      <c r="AJ255" s="26">
        <f>INDEX(Calib!$X$1:$X$13,$D255)+INDEX(Calib!$G$1:$G$13,$D255)+AF255+AI255-AH255</f>
        <v/>
      </c>
      <c r="AK255" s="26">
        <f>p_rk*AM254+AO254*(AL254-AM254)</f>
        <v/>
      </c>
      <c r="AL255" s="26">
        <f>AL254+AK255+AJ255</f>
        <v/>
      </c>
      <c r="AM255" s="26">
        <f>INDEX(Calib!$U$1:$U$13,$D255)+(AM254-INDEX(Calib!$U$1:$U$13,$D255))*(1-p_amort)+p_sh_conc*AF255</f>
        <v/>
      </c>
      <c r="AN255" s="26">
        <f>AL255/AE255</f>
        <v/>
      </c>
      <c r="AO255" s="26">
        <f>INDEX(Calib!$K$1:$K$13,$D255)+p_eta*MAX(0,AN255-INDEX(Calib!$AA$1:$AA$13,$D255))</f>
        <v/>
      </c>
      <c r="AP255" s="26">
        <f>(1-INDEX(Calib!$H$1:$H$13,$D255))*(1-p_alpha)*AC255+AI255</f>
        <v/>
      </c>
      <c r="AQ255" s="26">
        <f>(AE255/O255-1)*100</f>
        <v/>
      </c>
      <c r="AR255" s="26">
        <f>(AE255/AE245-1)*100</f>
        <v/>
      </c>
      <c r="AS255" s="26">
        <f>(O255/O245-1)*100</f>
        <v/>
      </c>
      <c r="AT255" s="26">
        <f>(AN255-X255)*100</f>
        <v/>
      </c>
      <c r="AU255" s="26">
        <f>(AP255/Z255-1)*100</f>
        <v/>
      </c>
      <c r="AV255" s="26">
        <f>(AI255-S255)*100</f>
        <v/>
      </c>
    </row>
    <row r="256">
      <c r="A256" s="25" t="inlineStr">
        <is>
          <t>AGO</t>
        </is>
      </c>
      <c r="B256" s="25" t="n">
        <v>2035</v>
      </c>
      <c r="C256" s="25" t="n">
        <v>11</v>
      </c>
      <c r="D256" s="25" t="n">
        <v>11</v>
      </c>
      <c r="E256" s="25">
        <f>IF(AND(p_dis_year&gt;0,B256=p_dis_year),1,0)</f>
        <v/>
      </c>
      <c r="F256" s="26">
        <f>IF(AND(p_dis_year&gt;0,B256&gt;=p_dis_year),1-p_eps_a*p_rho_a^(B256-p_dis_year),1)</f>
        <v/>
      </c>
      <c r="G256" s="26">
        <f>INDEX(Calib!$N$1:$N$13,$D256)*(1-p_rent_decline*MIN(1,C256/26))</f>
        <v/>
      </c>
      <c r="H256" s="26">
        <f>IF(C256=0,0,SUMIFS(dl_val,dl_iso,$A256,dl_ind,"pub_cap",dl_year,$B256)/100)</f>
        <v/>
      </c>
      <c r="I256" s="26">
        <f>IF(C256=0,0,SUMIFS(dl_val,dl_iso,$A256,dl_ind,"pub_spend",dl_year,$B256)/100)</f>
        <v/>
      </c>
      <c r="J256" s="26">
        <f>IF(C256=0,0,SUMIFS(dl_val,dl_iso,$A256,dl_ind,"rev",dl_year,$B256)/100)</f>
        <v/>
      </c>
      <c r="K256" s="26">
        <f>(1-p_delta_g)*K255*(1-p_eps_g*$E256)+INDEX(Calib!$E$1:$E$13,$D256)*(INDEX(Calib!$G$1:$G$13,$D256)+0*$H256)</f>
        <v/>
      </c>
      <c r="L256" s="26">
        <f>L255*(1-p_eps_k*$E256)+p_lambda_k*(N256-L255*(1-p_eps_k*$E256))</f>
        <v/>
      </c>
      <c r="M256" s="26">
        <f>INDEX(Calib!$R$1:$R$13,$D256)*$F256*(K255*(1-p_eps_g*$E256))^INDEX(Calib!$Q$1:$Q$13,$D256)*(L255*(1-p_eps_k*$E256))^p_alpha</f>
        <v/>
      </c>
      <c r="N256" s="26">
        <f>p_alpha*(1-INDEX(Calib!$H$1:$H$13,$D256))*M256/(INDEX(Calib!$K$1:$K$13,$D256)+p_delta)</f>
        <v/>
      </c>
      <c r="O256" s="26">
        <f>M256+$G256</f>
        <v/>
      </c>
      <c r="P256" s="26">
        <f>0*($H256+$I256)</f>
        <v/>
      </c>
      <c r="Q256" s="26">
        <f>INDEX(Calib!$I$1:$I$13,$D256)+p_sh_grant*P256</f>
        <v/>
      </c>
      <c r="R256" s="26">
        <f>INDEX(Calib!$H$1:$H$13,$D256)*M256+p_gov_take*$G256+Q256+0*p_pricing*$J256</f>
        <v/>
      </c>
      <c r="S256" s="26">
        <f>INDEX(Calib!$Y$1:$Y$13,$D256)-INDEX(Calib!$Z$1:$Z$13,$D256)*(V255/O255-INDEX(Calib!$AA$1:$AA$13,$D256))</f>
        <v/>
      </c>
      <c r="T256" s="26">
        <f>INDEX(Calib!$X$1:$X$13,$D256)+INDEX(Calib!$G$1:$G$13,$D256)+P256+S256-R256</f>
        <v/>
      </c>
      <c r="U256" s="26">
        <f>p_rk*W255+Y255*(V255-W255)</f>
        <v/>
      </c>
      <c r="V256" s="26">
        <f>V255+U256+T256</f>
        <v/>
      </c>
      <c r="W256" s="26">
        <f>INDEX(Calib!$U$1:$U$13,$D256)+(W255-INDEX(Calib!$U$1:$U$13,$D256))*(1-p_amort)+p_sh_conc*P256</f>
        <v/>
      </c>
      <c r="X256" s="26">
        <f>V256/O256</f>
        <v/>
      </c>
      <c r="Y256" s="26">
        <f>INDEX(Calib!$K$1:$K$13,$D256)+p_eta*MAX(0,X256-INDEX(Calib!$AA$1:$AA$13,$D256))</f>
        <v/>
      </c>
      <c r="Z256" s="26">
        <f>(1-INDEX(Calib!$H$1:$H$13,$D256))*(1-p_alpha)*M256+S256</f>
        <v/>
      </c>
      <c r="AA256" s="26">
        <f>(1-p_delta_g)*AA255*(1-p_eps_g*$E256)+INDEX(Calib!$E$1:$E$13,$D256)*(INDEX(Calib!$G$1:$G$13,$D256)+p_programme*$H256)</f>
        <v/>
      </c>
      <c r="AB256" s="26">
        <f>AB255*(1-p_eps_k*$E256)+p_lambda_k*(AD256-AB255*(1-p_eps_k*$E256))</f>
        <v/>
      </c>
      <c r="AC256" s="26">
        <f>INDEX(Calib!$R$1:$R$13,$D256)*$F256*(AA255*(1-p_eps_g*$E256))^INDEX(Calib!$Q$1:$Q$13,$D256)*(AB255*(1-p_eps_k*$E256))^p_alpha</f>
        <v/>
      </c>
      <c r="AD256" s="26">
        <f>p_alpha*(1-INDEX(Calib!$H$1:$H$13,$D256))*AC256/(INDEX(Calib!$K$1:$K$13,$D256)+p_delta)</f>
        <v/>
      </c>
      <c r="AE256" s="26">
        <f>AC256+$G256</f>
        <v/>
      </c>
      <c r="AF256" s="26">
        <f>p_programme*($H256+$I256)</f>
        <v/>
      </c>
      <c r="AG256" s="26">
        <f>INDEX(Calib!$I$1:$I$13,$D256)+p_sh_grant*AF256</f>
        <v/>
      </c>
      <c r="AH256" s="26">
        <f>INDEX(Calib!$H$1:$H$13,$D256)*AC256+p_gov_take*$G256+AG256+p_programme*p_pricing*$J256</f>
        <v/>
      </c>
      <c r="AI256" s="26">
        <f>INDEX(Calib!$Y$1:$Y$13,$D256)-INDEX(Calib!$Z$1:$Z$13,$D256)*(AL255/AE255-INDEX(Calib!$AA$1:$AA$13,$D256))</f>
        <v/>
      </c>
      <c r="AJ256" s="26">
        <f>INDEX(Calib!$X$1:$X$13,$D256)+INDEX(Calib!$G$1:$G$13,$D256)+AF256+AI256-AH256</f>
        <v/>
      </c>
      <c r="AK256" s="26">
        <f>p_rk*AM255+AO255*(AL255-AM255)</f>
        <v/>
      </c>
      <c r="AL256" s="26">
        <f>AL255+AK256+AJ256</f>
        <v/>
      </c>
      <c r="AM256" s="26">
        <f>INDEX(Calib!$U$1:$U$13,$D256)+(AM255-INDEX(Calib!$U$1:$U$13,$D256))*(1-p_amort)+p_sh_conc*AF256</f>
        <v/>
      </c>
      <c r="AN256" s="26">
        <f>AL256/AE256</f>
        <v/>
      </c>
      <c r="AO256" s="26">
        <f>INDEX(Calib!$K$1:$K$13,$D256)+p_eta*MAX(0,AN256-INDEX(Calib!$AA$1:$AA$13,$D256))</f>
        <v/>
      </c>
      <c r="AP256" s="26">
        <f>(1-INDEX(Calib!$H$1:$H$13,$D256))*(1-p_alpha)*AC256+AI256</f>
        <v/>
      </c>
      <c r="AQ256" s="26">
        <f>(AE256/O256-1)*100</f>
        <v/>
      </c>
      <c r="AR256" s="26">
        <f>(AE256/AE245-1)*100</f>
        <v/>
      </c>
      <c r="AS256" s="26">
        <f>(O256/O245-1)*100</f>
        <v/>
      </c>
      <c r="AT256" s="26">
        <f>(AN256-X256)*100</f>
        <v/>
      </c>
      <c r="AU256" s="26">
        <f>(AP256/Z256-1)*100</f>
        <v/>
      </c>
      <c r="AV256" s="26">
        <f>(AI256-S256)*100</f>
        <v/>
      </c>
    </row>
    <row r="257">
      <c r="A257" s="25" t="inlineStr">
        <is>
          <t>AGO</t>
        </is>
      </c>
      <c r="B257" s="25" t="n">
        <v>2036</v>
      </c>
      <c r="C257" s="25" t="n">
        <v>12</v>
      </c>
      <c r="D257" s="25" t="n">
        <v>11</v>
      </c>
      <c r="E257" s="25">
        <f>IF(AND(p_dis_year&gt;0,B257=p_dis_year),1,0)</f>
        <v/>
      </c>
      <c r="F257" s="26">
        <f>IF(AND(p_dis_year&gt;0,B257&gt;=p_dis_year),1-p_eps_a*p_rho_a^(B257-p_dis_year),1)</f>
        <v/>
      </c>
      <c r="G257" s="26">
        <f>INDEX(Calib!$N$1:$N$13,$D257)*(1-p_rent_decline*MIN(1,C257/26))</f>
        <v/>
      </c>
      <c r="H257" s="26">
        <f>IF(C257=0,0,SUMIFS(dl_val,dl_iso,$A257,dl_ind,"pub_cap",dl_year,$B257)/100)</f>
        <v/>
      </c>
      <c r="I257" s="26">
        <f>IF(C257=0,0,SUMIFS(dl_val,dl_iso,$A257,dl_ind,"pub_spend",dl_year,$B257)/100)</f>
        <v/>
      </c>
      <c r="J257" s="26">
        <f>IF(C257=0,0,SUMIFS(dl_val,dl_iso,$A257,dl_ind,"rev",dl_year,$B257)/100)</f>
        <v/>
      </c>
      <c r="K257" s="26">
        <f>(1-p_delta_g)*K256*(1-p_eps_g*$E257)+INDEX(Calib!$E$1:$E$13,$D257)*(INDEX(Calib!$G$1:$G$13,$D257)+0*$H257)</f>
        <v/>
      </c>
      <c r="L257" s="26">
        <f>L256*(1-p_eps_k*$E257)+p_lambda_k*(N257-L256*(1-p_eps_k*$E257))</f>
        <v/>
      </c>
      <c r="M257" s="26">
        <f>INDEX(Calib!$R$1:$R$13,$D257)*$F257*(K256*(1-p_eps_g*$E257))^INDEX(Calib!$Q$1:$Q$13,$D257)*(L256*(1-p_eps_k*$E257))^p_alpha</f>
        <v/>
      </c>
      <c r="N257" s="26">
        <f>p_alpha*(1-INDEX(Calib!$H$1:$H$13,$D257))*M257/(INDEX(Calib!$K$1:$K$13,$D257)+p_delta)</f>
        <v/>
      </c>
      <c r="O257" s="26">
        <f>M257+$G257</f>
        <v/>
      </c>
      <c r="P257" s="26">
        <f>0*($H257+$I257)</f>
        <v/>
      </c>
      <c r="Q257" s="26">
        <f>INDEX(Calib!$I$1:$I$13,$D257)+p_sh_grant*P257</f>
        <v/>
      </c>
      <c r="R257" s="26">
        <f>INDEX(Calib!$H$1:$H$13,$D257)*M257+p_gov_take*$G257+Q257+0*p_pricing*$J257</f>
        <v/>
      </c>
      <c r="S257" s="26">
        <f>INDEX(Calib!$Y$1:$Y$13,$D257)-INDEX(Calib!$Z$1:$Z$13,$D257)*(V256/O256-INDEX(Calib!$AA$1:$AA$13,$D257))</f>
        <v/>
      </c>
      <c r="T257" s="26">
        <f>INDEX(Calib!$X$1:$X$13,$D257)+INDEX(Calib!$G$1:$G$13,$D257)+P257+S257-R257</f>
        <v/>
      </c>
      <c r="U257" s="26">
        <f>p_rk*W256+Y256*(V256-W256)</f>
        <v/>
      </c>
      <c r="V257" s="26">
        <f>V256+U257+T257</f>
        <v/>
      </c>
      <c r="W257" s="26">
        <f>INDEX(Calib!$U$1:$U$13,$D257)+(W256-INDEX(Calib!$U$1:$U$13,$D257))*(1-p_amort)+p_sh_conc*P257</f>
        <v/>
      </c>
      <c r="X257" s="26">
        <f>V257/O257</f>
        <v/>
      </c>
      <c r="Y257" s="26">
        <f>INDEX(Calib!$K$1:$K$13,$D257)+p_eta*MAX(0,X257-INDEX(Calib!$AA$1:$AA$13,$D257))</f>
        <v/>
      </c>
      <c r="Z257" s="26">
        <f>(1-INDEX(Calib!$H$1:$H$13,$D257))*(1-p_alpha)*M257+S257</f>
        <v/>
      </c>
      <c r="AA257" s="26">
        <f>(1-p_delta_g)*AA256*(1-p_eps_g*$E257)+INDEX(Calib!$E$1:$E$13,$D257)*(INDEX(Calib!$G$1:$G$13,$D257)+p_programme*$H257)</f>
        <v/>
      </c>
      <c r="AB257" s="26">
        <f>AB256*(1-p_eps_k*$E257)+p_lambda_k*(AD257-AB256*(1-p_eps_k*$E257))</f>
        <v/>
      </c>
      <c r="AC257" s="26">
        <f>INDEX(Calib!$R$1:$R$13,$D257)*$F257*(AA256*(1-p_eps_g*$E257))^INDEX(Calib!$Q$1:$Q$13,$D257)*(AB256*(1-p_eps_k*$E257))^p_alpha</f>
        <v/>
      </c>
      <c r="AD257" s="26">
        <f>p_alpha*(1-INDEX(Calib!$H$1:$H$13,$D257))*AC257/(INDEX(Calib!$K$1:$K$13,$D257)+p_delta)</f>
        <v/>
      </c>
      <c r="AE257" s="26">
        <f>AC257+$G257</f>
        <v/>
      </c>
      <c r="AF257" s="26">
        <f>p_programme*($H257+$I257)</f>
        <v/>
      </c>
      <c r="AG257" s="26">
        <f>INDEX(Calib!$I$1:$I$13,$D257)+p_sh_grant*AF257</f>
        <v/>
      </c>
      <c r="AH257" s="26">
        <f>INDEX(Calib!$H$1:$H$13,$D257)*AC257+p_gov_take*$G257+AG257+p_programme*p_pricing*$J257</f>
        <v/>
      </c>
      <c r="AI257" s="26">
        <f>INDEX(Calib!$Y$1:$Y$13,$D257)-INDEX(Calib!$Z$1:$Z$13,$D257)*(AL256/AE256-INDEX(Calib!$AA$1:$AA$13,$D257))</f>
        <v/>
      </c>
      <c r="AJ257" s="26">
        <f>INDEX(Calib!$X$1:$X$13,$D257)+INDEX(Calib!$G$1:$G$13,$D257)+AF257+AI257-AH257</f>
        <v/>
      </c>
      <c r="AK257" s="26">
        <f>p_rk*AM256+AO256*(AL256-AM256)</f>
        <v/>
      </c>
      <c r="AL257" s="26">
        <f>AL256+AK257+AJ257</f>
        <v/>
      </c>
      <c r="AM257" s="26">
        <f>INDEX(Calib!$U$1:$U$13,$D257)+(AM256-INDEX(Calib!$U$1:$U$13,$D257))*(1-p_amort)+p_sh_conc*AF257</f>
        <v/>
      </c>
      <c r="AN257" s="26">
        <f>AL257/AE257</f>
        <v/>
      </c>
      <c r="AO257" s="26">
        <f>INDEX(Calib!$K$1:$K$13,$D257)+p_eta*MAX(0,AN257-INDEX(Calib!$AA$1:$AA$13,$D257))</f>
        <v/>
      </c>
      <c r="AP257" s="26">
        <f>(1-INDEX(Calib!$H$1:$H$13,$D257))*(1-p_alpha)*AC257+AI257</f>
        <v/>
      </c>
      <c r="AQ257" s="26">
        <f>(AE257/O257-1)*100</f>
        <v/>
      </c>
      <c r="AR257" s="26">
        <f>(AE257/AE245-1)*100</f>
        <v/>
      </c>
      <c r="AS257" s="26">
        <f>(O257/O245-1)*100</f>
        <v/>
      </c>
      <c r="AT257" s="26">
        <f>(AN257-X257)*100</f>
        <v/>
      </c>
      <c r="AU257" s="26">
        <f>(AP257/Z257-1)*100</f>
        <v/>
      </c>
      <c r="AV257" s="26">
        <f>(AI257-S257)*100</f>
        <v/>
      </c>
    </row>
    <row r="258">
      <c r="A258" s="25" t="inlineStr">
        <is>
          <t>AGO</t>
        </is>
      </c>
      <c r="B258" s="25" t="n">
        <v>2037</v>
      </c>
      <c r="C258" s="25" t="n">
        <v>13</v>
      </c>
      <c r="D258" s="25" t="n">
        <v>11</v>
      </c>
      <c r="E258" s="25">
        <f>IF(AND(p_dis_year&gt;0,B258=p_dis_year),1,0)</f>
        <v/>
      </c>
      <c r="F258" s="26">
        <f>IF(AND(p_dis_year&gt;0,B258&gt;=p_dis_year),1-p_eps_a*p_rho_a^(B258-p_dis_year),1)</f>
        <v/>
      </c>
      <c r="G258" s="26">
        <f>INDEX(Calib!$N$1:$N$13,$D258)*(1-p_rent_decline*MIN(1,C258/26))</f>
        <v/>
      </c>
      <c r="H258" s="26">
        <f>IF(C258=0,0,SUMIFS(dl_val,dl_iso,$A258,dl_ind,"pub_cap",dl_year,$B258)/100)</f>
        <v/>
      </c>
      <c r="I258" s="26">
        <f>IF(C258=0,0,SUMIFS(dl_val,dl_iso,$A258,dl_ind,"pub_spend",dl_year,$B258)/100)</f>
        <v/>
      </c>
      <c r="J258" s="26">
        <f>IF(C258=0,0,SUMIFS(dl_val,dl_iso,$A258,dl_ind,"rev",dl_year,$B258)/100)</f>
        <v/>
      </c>
      <c r="K258" s="26">
        <f>(1-p_delta_g)*K257*(1-p_eps_g*$E258)+INDEX(Calib!$E$1:$E$13,$D258)*(INDEX(Calib!$G$1:$G$13,$D258)+0*$H258)</f>
        <v/>
      </c>
      <c r="L258" s="26">
        <f>L257*(1-p_eps_k*$E258)+p_lambda_k*(N258-L257*(1-p_eps_k*$E258))</f>
        <v/>
      </c>
      <c r="M258" s="26">
        <f>INDEX(Calib!$R$1:$R$13,$D258)*$F258*(K257*(1-p_eps_g*$E258))^INDEX(Calib!$Q$1:$Q$13,$D258)*(L257*(1-p_eps_k*$E258))^p_alpha</f>
        <v/>
      </c>
      <c r="N258" s="26">
        <f>p_alpha*(1-INDEX(Calib!$H$1:$H$13,$D258))*M258/(INDEX(Calib!$K$1:$K$13,$D258)+p_delta)</f>
        <v/>
      </c>
      <c r="O258" s="26">
        <f>M258+$G258</f>
        <v/>
      </c>
      <c r="P258" s="26">
        <f>0*($H258+$I258)</f>
        <v/>
      </c>
      <c r="Q258" s="26">
        <f>INDEX(Calib!$I$1:$I$13,$D258)+p_sh_grant*P258</f>
        <v/>
      </c>
      <c r="R258" s="26">
        <f>INDEX(Calib!$H$1:$H$13,$D258)*M258+p_gov_take*$G258+Q258+0*p_pricing*$J258</f>
        <v/>
      </c>
      <c r="S258" s="26">
        <f>INDEX(Calib!$Y$1:$Y$13,$D258)-INDEX(Calib!$Z$1:$Z$13,$D258)*(V257/O257-INDEX(Calib!$AA$1:$AA$13,$D258))</f>
        <v/>
      </c>
      <c r="T258" s="26">
        <f>INDEX(Calib!$X$1:$X$13,$D258)+INDEX(Calib!$G$1:$G$13,$D258)+P258+S258-R258</f>
        <v/>
      </c>
      <c r="U258" s="26">
        <f>p_rk*W257+Y257*(V257-W257)</f>
        <v/>
      </c>
      <c r="V258" s="26">
        <f>V257+U258+T258</f>
        <v/>
      </c>
      <c r="W258" s="26">
        <f>INDEX(Calib!$U$1:$U$13,$D258)+(W257-INDEX(Calib!$U$1:$U$13,$D258))*(1-p_amort)+p_sh_conc*P258</f>
        <v/>
      </c>
      <c r="X258" s="26">
        <f>V258/O258</f>
        <v/>
      </c>
      <c r="Y258" s="26">
        <f>INDEX(Calib!$K$1:$K$13,$D258)+p_eta*MAX(0,X258-INDEX(Calib!$AA$1:$AA$13,$D258))</f>
        <v/>
      </c>
      <c r="Z258" s="26">
        <f>(1-INDEX(Calib!$H$1:$H$13,$D258))*(1-p_alpha)*M258+S258</f>
        <v/>
      </c>
      <c r="AA258" s="26">
        <f>(1-p_delta_g)*AA257*(1-p_eps_g*$E258)+INDEX(Calib!$E$1:$E$13,$D258)*(INDEX(Calib!$G$1:$G$13,$D258)+p_programme*$H258)</f>
        <v/>
      </c>
      <c r="AB258" s="26">
        <f>AB257*(1-p_eps_k*$E258)+p_lambda_k*(AD258-AB257*(1-p_eps_k*$E258))</f>
        <v/>
      </c>
      <c r="AC258" s="26">
        <f>INDEX(Calib!$R$1:$R$13,$D258)*$F258*(AA257*(1-p_eps_g*$E258))^INDEX(Calib!$Q$1:$Q$13,$D258)*(AB257*(1-p_eps_k*$E258))^p_alpha</f>
        <v/>
      </c>
      <c r="AD258" s="26">
        <f>p_alpha*(1-INDEX(Calib!$H$1:$H$13,$D258))*AC258/(INDEX(Calib!$K$1:$K$13,$D258)+p_delta)</f>
        <v/>
      </c>
      <c r="AE258" s="26">
        <f>AC258+$G258</f>
        <v/>
      </c>
      <c r="AF258" s="26">
        <f>p_programme*($H258+$I258)</f>
        <v/>
      </c>
      <c r="AG258" s="26">
        <f>INDEX(Calib!$I$1:$I$13,$D258)+p_sh_grant*AF258</f>
        <v/>
      </c>
      <c r="AH258" s="26">
        <f>INDEX(Calib!$H$1:$H$13,$D258)*AC258+p_gov_take*$G258+AG258+p_programme*p_pricing*$J258</f>
        <v/>
      </c>
      <c r="AI258" s="26">
        <f>INDEX(Calib!$Y$1:$Y$13,$D258)-INDEX(Calib!$Z$1:$Z$13,$D258)*(AL257/AE257-INDEX(Calib!$AA$1:$AA$13,$D258))</f>
        <v/>
      </c>
      <c r="AJ258" s="26">
        <f>INDEX(Calib!$X$1:$X$13,$D258)+INDEX(Calib!$G$1:$G$13,$D258)+AF258+AI258-AH258</f>
        <v/>
      </c>
      <c r="AK258" s="26">
        <f>p_rk*AM257+AO257*(AL257-AM257)</f>
        <v/>
      </c>
      <c r="AL258" s="26">
        <f>AL257+AK258+AJ258</f>
        <v/>
      </c>
      <c r="AM258" s="26">
        <f>INDEX(Calib!$U$1:$U$13,$D258)+(AM257-INDEX(Calib!$U$1:$U$13,$D258))*(1-p_amort)+p_sh_conc*AF258</f>
        <v/>
      </c>
      <c r="AN258" s="26">
        <f>AL258/AE258</f>
        <v/>
      </c>
      <c r="AO258" s="26">
        <f>INDEX(Calib!$K$1:$K$13,$D258)+p_eta*MAX(0,AN258-INDEX(Calib!$AA$1:$AA$13,$D258))</f>
        <v/>
      </c>
      <c r="AP258" s="26">
        <f>(1-INDEX(Calib!$H$1:$H$13,$D258))*(1-p_alpha)*AC258+AI258</f>
        <v/>
      </c>
      <c r="AQ258" s="26">
        <f>(AE258/O258-1)*100</f>
        <v/>
      </c>
      <c r="AR258" s="26">
        <f>(AE258/AE245-1)*100</f>
        <v/>
      </c>
      <c r="AS258" s="26">
        <f>(O258/O245-1)*100</f>
        <v/>
      </c>
      <c r="AT258" s="26">
        <f>(AN258-X258)*100</f>
        <v/>
      </c>
      <c r="AU258" s="26">
        <f>(AP258/Z258-1)*100</f>
        <v/>
      </c>
      <c r="AV258" s="26">
        <f>(AI258-S258)*100</f>
        <v/>
      </c>
    </row>
    <row r="259">
      <c r="A259" s="25" t="inlineStr">
        <is>
          <t>AGO</t>
        </is>
      </c>
      <c r="B259" s="25" t="n">
        <v>2038</v>
      </c>
      <c r="C259" s="25" t="n">
        <v>14</v>
      </c>
      <c r="D259" s="25" t="n">
        <v>11</v>
      </c>
      <c r="E259" s="25">
        <f>IF(AND(p_dis_year&gt;0,B259=p_dis_year),1,0)</f>
        <v/>
      </c>
      <c r="F259" s="26">
        <f>IF(AND(p_dis_year&gt;0,B259&gt;=p_dis_year),1-p_eps_a*p_rho_a^(B259-p_dis_year),1)</f>
        <v/>
      </c>
      <c r="G259" s="26">
        <f>INDEX(Calib!$N$1:$N$13,$D259)*(1-p_rent_decline*MIN(1,C259/26))</f>
        <v/>
      </c>
      <c r="H259" s="26">
        <f>IF(C259=0,0,SUMIFS(dl_val,dl_iso,$A259,dl_ind,"pub_cap",dl_year,$B259)/100)</f>
        <v/>
      </c>
      <c r="I259" s="26">
        <f>IF(C259=0,0,SUMIFS(dl_val,dl_iso,$A259,dl_ind,"pub_spend",dl_year,$B259)/100)</f>
        <v/>
      </c>
      <c r="J259" s="26">
        <f>IF(C259=0,0,SUMIFS(dl_val,dl_iso,$A259,dl_ind,"rev",dl_year,$B259)/100)</f>
        <v/>
      </c>
      <c r="K259" s="26">
        <f>(1-p_delta_g)*K258*(1-p_eps_g*$E259)+INDEX(Calib!$E$1:$E$13,$D259)*(INDEX(Calib!$G$1:$G$13,$D259)+0*$H259)</f>
        <v/>
      </c>
      <c r="L259" s="26">
        <f>L258*(1-p_eps_k*$E259)+p_lambda_k*(N259-L258*(1-p_eps_k*$E259))</f>
        <v/>
      </c>
      <c r="M259" s="26">
        <f>INDEX(Calib!$R$1:$R$13,$D259)*$F259*(K258*(1-p_eps_g*$E259))^INDEX(Calib!$Q$1:$Q$13,$D259)*(L258*(1-p_eps_k*$E259))^p_alpha</f>
        <v/>
      </c>
      <c r="N259" s="26">
        <f>p_alpha*(1-INDEX(Calib!$H$1:$H$13,$D259))*M259/(INDEX(Calib!$K$1:$K$13,$D259)+p_delta)</f>
        <v/>
      </c>
      <c r="O259" s="26">
        <f>M259+$G259</f>
        <v/>
      </c>
      <c r="P259" s="26">
        <f>0*($H259+$I259)</f>
        <v/>
      </c>
      <c r="Q259" s="26">
        <f>INDEX(Calib!$I$1:$I$13,$D259)+p_sh_grant*P259</f>
        <v/>
      </c>
      <c r="R259" s="26">
        <f>INDEX(Calib!$H$1:$H$13,$D259)*M259+p_gov_take*$G259+Q259+0*p_pricing*$J259</f>
        <v/>
      </c>
      <c r="S259" s="26">
        <f>INDEX(Calib!$Y$1:$Y$13,$D259)-INDEX(Calib!$Z$1:$Z$13,$D259)*(V258/O258-INDEX(Calib!$AA$1:$AA$13,$D259))</f>
        <v/>
      </c>
      <c r="T259" s="26">
        <f>INDEX(Calib!$X$1:$X$13,$D259)+INDEX(Calib!$G$1:$G$13,$D259)+P259+S259-R259</f>
        <v/>
      </c>
      <c r="U259" s="26">
        <f>p_rk*W258+Y258*(V258-W258)</f>
        <v/>
      </c>
      <c r="V259" s="26">
        <f>V258+U259+T259</f>
        <v/>
      </c>
      <c r="W259" s="26">
        <f>INDEX(Calib!$U$1:$U$13,$D259)+(W258-INDEX(Calib!$U$1:$U$13,$D259))*(1-p_amort)+p_sh_conc*P259</f>
        <v/>
      </c>
      <c r="X259" s="26">
        <f>V259/O259</f>
        <v/>
      </c>
      <c r="Y259" s="26">
        <f>INDEX(Calib!$K$1:$K$13,$D259)+p_eta*MAX(0,X259-INDEX(Calib!$AA$1:$AA$13,$D259))</f>
        <v/>
      </c>
      <c r="Z259" s="26">
        <f>(1-INDEX(Calib!$H$1:$H$13,$D259))*(1-p_alpha)*M259+S259</f>
        <v/>
      </c>
      <c r="AA259" s="26">
        <f>(1-p_delta_g)*AA258*(1-p_eps_g*$E259)+INDEX(Calib!$E$1:$E$13,$D259)*(INDEX(Calib!$G$1:$G$13,$D259)+p_programme*$H259)</f>
        <v/>
      </c>
      <c r="AB259" s="26">
        <f>AB258*(1-p_eps_k*$E259)+p_lambda_k*(AD259-AB258*(1-p_eps_k*$E259))</f>
        <v/>
      </c>
      <c r="AC259" s="26">
        <f>INDEX(Calib!$R$1:$R$13,$D259)*$F259*(AA258*(1-p_eps_g*$E259))^INDEX(Calib!$Q$1:$Q$13,$D259)*(AB258*(1-p_eps_k*$E259))^p_alpha</f>
        <v/>
      </c>
      <c r="AD259" s="26">
        <f>p_alpha*(1-INDEX(Calib!$H$1:$H$13,$D259))*AC259/(INDEX(Calib!$K$1:$K$13,$D259)+p_delta)</f>
        <v/>
      </c>
      <c r="AE259" s="26">
        <f>AC259+$G259</f>
        <v/>
      </c>
      <c r="AF259" s="26">
        <f>p_programme*($H259+$I259)</f>
        <v/>
      </c>
      <c r="AG259" s="26">
        <f>INDEX(Calib!$I$1:$I$13,$D259)+p_sh_grant*AF259</f>
        <v/>
      </c>
      <c r="AH259" s="26">
        <f>INDEX(Calib!$H$1:$H$13,$D259)*AC259+p_gov_take*$G259+AG259+p_programme*p_pricing*$J259</f>
        <v/>
      </c>
      <c r="AI259" s="26">
        <f>INDEX(Calib!$Y$1:$Y$13,$D259)-INDEX(Calib!$Z$1:$Z$13,$D259)*(AL258/AE258-INDEX(Calib!$AA$1:$AA$13,$D259))</f>
        <v/>
      </c>
      <c r="AJ259" s="26">
        <f>INDEX(Calib!$X$1:$X$13,$D259)+INDEX(Calib!$G$1:$G$13,$D259)+AF259+AI259-AH259</f>
        <v/>
      </c>
      <c r="AK259" s="26">
        <f>p_rk*AM258+AO258*(AL258-AM258)</f>
        <v/>
      </c>
      <c r="AL259" s="26">
        <f>AL258+AK259+AJ259</f>
        <v/>
      </c>
      <c r="AM259" s="26">
        <f>INDEX(Calib!$U$1:$U$13,$D259)+(AM258-INDEX(Calib!$U$1:$U$13,$D259))*(1-p_amort)+p_sh_conc*AF259</f>
        <v/>
      </c>
      <c r="AN259" s="26">
        <f>AL259/AE259</f>
        <v/>
      </c>
      <c r="AO259" s="26">
        <f>INDEX(Calib!$K$1:$K$13,$D259)+p_eta*MAX(0,AN259-INDEX(Calib!$AA$1:$AA$13,$D259))</f>
        <v/>
      </c>
      <c r="AP259" s="26">
        <f>(1-INDEX(Calib!$H$1:$H$13,$D259))*(1-p_alpha)*AC259+AI259</f>
        <v/>
      </c>
      <c r="AQ259" s="26">
        <f>(AE259/O259-1)*100</f>
        <v/>
      </c>
      <c r="AR259" s="26">
        <f>(AE259/AE245-1)*100</f>
        <v/>
      </c>
      <c r="AS259" s="26">
        <f>(O259/O245-1)*100</f>
        <v/>
      </c>
      <c r="AT259" s="26">
        <f>(AN259-X259)*100</f>
        <v/>
      </c>
      <c r="AU259" s="26">
        <f>(AP259/Z259-1)*100</f>
        <v/>
      </c>
      <c r="AV259" s="26">
        <f>(AI259-S259)*100</f>
        <v/>
      </c>
    </row>
    <row r="260">
      <c r="A260" s="25" t="inlineStr">
        <is>
          <t>AGO</t>
        </is>
      </c>
      <c r="B260" s="25" t="n">
        <v>2039</v>
      </c>
      <c r="C260" s="25" t="n">
        <v>15</v>
      </c>
      <c r="D260" s="25" t="n">
        <v>11</v>
      </c>
      <c r="E260" s="25">
        <f>IF(AND(p_dis_year&gt;0,B260=p_dis_year),1,0)</f>
        <v/>
      </c>
      <c r="F260" s="26">
        <f>IF(AND(p_dis_year&gt;0,B260&gt;=p_dis_year),1-p_eps_a*p_rho_a^(B260-p_dis_year),1)</f>
        <v/>
      </c>
      <c r="G260" s="26">
        <f>INDEX(Calib!$N$1:$N$13,$D260)*(1-p_rent_decline*MIN(1,C260/26))</f>
        <v/>
      </c>
      <c r="H260" s="26">
        <f>IF(C260=0,0,SUMIFS(dl_val,dl_iso,$A260,dl_ind,"pub_cap",dl_year,$B260)/100)</f>
        <v/>
      </c>
      <c r="I260" s="26">
        <f>IF(C260=0,0,SUMIFS(dl_val,dl_iso,$A260,dl_ind,"pub_spend",dl_year,$B260)/100)</f>
        <v/>
      </c>
      <c r="J260" s="26">
        <f>IF(C260=0,0,SUMIFS(dl_val,dl_iso,$A260,dl_ind,"rev",dl_year,$B260)/100)</f>
        <v/>
      </c>
      <c r="K260" s="26">
        <f>(1-p_delta_g)*K259*(1-p_eps_g*$E260)+INDEX(Calib!$E$1:$E$13,$D260)*(INDEX(Calib!$G$1:$G$13,$D260)+0*$H260)</f>
        <v/>
      </c>
      <c r="L260" s="26">
        <f>L259*(1-p_eps_k*$E260)+p_lambda_k*(N260-L259*(1-p_eps_k*$E260))</f>
        <v/>
      </c>
      <c r="M260" s="26">
        <f>INDEX(Calib!$R$1:$R$13,$D260)*$F260*(K259*(1-p_eps_g*$E260))^INDEX(Calib!$Q$1:$Q$13,$D260)*(L259*(1-p_eps_k*$E260))^p_alpha</f>
        <v/>
      </c>
      <c r="N260" s="26">
        <f>p_alpha*(1-INDEX(Calib!$H$1:$H$13,$D260))*M260/(INDEX(Calib!$K$1:$K$13,$D260)+p_delta)</f>
        <v/>
      </c>
      <c r="O260" s="26">
        <f>M260+$G260</f>
        <v/>
      </c>
      <c r="P260" s="26">
        <f>0*($H260+$I260)</f>
        <v/>
      </c>
      <c r="Q260" s="26">
        <f>INDEX(Calib!$I$1:$I$13,$D260)+p_sh_grant*P260</f>
        <v/>
      </c>
      <c r="R260" s="26">
        <f>INDEX(Calib!$H$1:$H$13,$D260)*M260+p_gov_take*$G260+Q260+0*p_pricing*$J260</f>
        <v/>
      </c>
      <c r="S260" s="26">
        <f>INDEX(Calib!$Y$1:$Y$13,$D260)-INDEX(Calib!$Z$1:$Z$13,$D260)*(V259/O259-INDEX(Calib!$AA$1:$AA$13,$D260))</f>
        <v/>
      </c>
      <c r="T260" s="26">
        <f>INDEX(Calib!$X$1:$X$13,$D260)+INDEX(Calib!$G$1:$G$13,$D260)+P260+S260-R260</f>
        <v/>
      </c>
      <c r="U260" s="26">
        <f>p_rk*W259+Y259*(V259-W259)</f>
        <v/>
      </c>
      <c r="V260" s="26">
        <f>V259+U260+T260</f>
        <v/>
      </c>
      <c r="W260" s="26">
        <f>INDEX(Calib!$U$1:$U$13,$D260)+(W259-INDEX(Calib!$U$1:$U$13,$D260))*(1-p_amort)+p_sh_conc*P260</f>
        <v/>
      </c>
      <c r="X260" s="26">
        <f>V260/O260</f>
        <v/>
      </c>
      <c r="Y260" s="26">
        <f>INDEX(Calib!$K$1:$K$13,$D260)+p_eta*MAX(0,X260-INDEX(Calib!$AA$1:$AA$13,$D260))</f>
        <v/>
      </c>
      <c r="Z260" s="26">
        <f>(1-INDEX(Calib!$H$1:$H$13,$D260))*(1-p_alpha)*M260+S260</f>
        <v/>
      </c>
      <c r="AA260" s="26">
        <f>(1-p_delta_g)*AA259*(1-p_eps_g*$E260)+INDEX(Calib!$E$1:$E$13,$D260)*(INDEX(Calib!$G$1:$G$13,$D260)+p_programme*$H260)</f>
        <v/>
      </c>
      <c r="AB260" s="26">
        <f>AB259*(1-p_eps_k*$E260)+p_lambda_k*(AD260-AB259*(1-p_eps_k*$E260))</f>
        <v/>
      </c>
      <c r="AC260" s="26">
        <f>INDEX(Calib!$R$1:$R$13,$D260)*$F260*(AA259*(1-p_eps_g*$E260))^INDEX(Calib!$Q$1:$Q$13,$D260)*(AB259*(1-p_eps_k*$E260))^p_alpha</f>
        <v/>
      </c>
      <c r="AD260" s="26">
        <f>p_alpha*(1-INDEX(Calib!$H$1:$H$13,$D260))*AC260/(INDEX(Calib!$K$1:$K$13,$D260)+p_delta)</f>
        <v/>
      </c>
      <c r="AE260" s="26">
        <f>AC260+$G260</f>
        <v/>
      </c>
      <c r="AF260" s="26">
        <f>p_programme*($H260+$I260)</f>
        <v/>
      </c>
      <c r="AG260" s="26">
        <f>INDEX(Calib!$I$1:$I$13,$D260)+p_sh_grant*AF260</f>
        <v/>
      </c>
      <c r="AH260" s="26">
        <f>INDEX(Calib!$H$1:$H$13,$D260)*AC260+p_gov_take*$G260+AG260+p_programme*p_pricing*$J260</f>
        <v/>
      </c>
      <c r="AI260" s="26">
        <f>INDEX(Calib!$Y$1:$Y$13,$D260)-INDEX(Calib!$Z$1:$Z$13,$D260)*(AL259/AE259-INDEX(Calib!$AA$1:$AA$13,$D260))</f>
        <v/>
      </c>
      <c r="AJ260" s="26">
        <f>INDEX(Calib!$X$1:$X$13,$D260)+INDEX(Calib!$G$1:$G$13,$D260)+AF260+AI260-AH260</f>
        <v/>
      </c>
      <c r="AK260" s="26">
        <f>p_rk*AM259+AO259*(AL259-AM259)</f>
        <v/>
      </c>
      <c r="AL260" s="26">
        <f>AL259+AK260+AJ260</f>
        <v/>
      </c>
      <c r="AM260" s="26">
        <f>INDEX(Calib!$U$1:$U$13,$D260)+(AM259-INDEX(Calib!$U$1:$U$13,$D260))*(1-p_amort)+p_sh_conc*AF260</f>
        <v/>
      </c>
      <c r="AN260" s="26">
        <f>AL260/AE260</f>
        <v/>
      </c>
      <c r="AO260" s="26">
        <f>INDEX(Calib!$K$1:$K$13,$D260)+p_eta*MAX(0,AN260-INDEX(Calib!$AA$1:$AA$13,$D260))</f>
        <v/>
      </c>
      <c r="AP260" s="26">
        <f>(1-INDEX(Calib!$H$1:$H$13,$D260))*(1-p_alpha)*AC260+AI260</f>
        <v/>
      </c>
      <c r="AQ260" s="26">
        <f>(AE260/O260-1)*100</f>
        <v/>
      </c>
      <c r="AR260" s="26">
        <f>(AE260/AE245-1)*100</f>
        <v/>
      </c>
      <c r="AS260" s="26">
        <f>(O260/O245-1)*100</f>
        <v/>
      </c>
      <c r="AT260" s="26">
        <f>(AN260-X260)*100</f>
        <v/>
      </c>
      <c r="AU260" s="26">
        <f>(AP260/Z260-1)*100</f>
        <v/>
      </c>
      <c r="AV260" s="26">
        <f>(AI260-S260)*100</f>
        <v/>
      </c>
    </row>
    <row r="261">
      <c r="A261" s="25" t="inlineStr">
        <is>
          <t>AGO</t>
        </is>
      </c>
      <c r="B261" s="25" t="n">
        <v>2040</v>
      </c>
      <c r="C261" s="25" t="n">
        <v>16</v>
      </c>
      <c r="D261" s="25" t="n">
        <v>11</v>
      </c>
      <c r="E261" s="25">
        <f>IF(AND(p_dis_year&gt;0,B261=p_dis_year),1,0)</f>
        <v/>
      </c>
      <c r="F261" s="26">
        <f>IF(AND(p_dis_year&gt;0,B261&gt;=p_dis_year),1-p_eps_a*p_rho_a^(B261-p_dis_year),1)</f>
        <v/>
      </c>
      <c r="G261" s="26">
        <f>INDEX(Calib!$N$1:$N$13,$D261)*(1-p_rent_decline*MIN(1,C261/26))</f>
        <v/>
      </c>
      <c r="H261" s="26">
        <f>IF(C261=0,0,SUMIFS(dl_val,dl_iso,$A261,dl_ind,"pub_cap",dl_year,$B261)/100)</f>
        <v/>
      </c>
      <c r="I261" s="26">
        <f>IF(C261=0,0,SUMIFS(dl_val,dl_iso,$A261,dl_ind,"pub_spend",dl_year,$B261)/100)</f>
        <v/>
      </c>
      <c r="J261" s="26">
        <f>IF(C261=0,0,SUMIFS(dl_val,dl_iso,$A261,dl_ind,"rev",dl_year,$B261)/100)</f>
        <v/>
      </c>
      <c r="K261" s="26">
        <f>(1-p_delta_g)*K260*(1-p_eps_g*$E261)+INDEX(Calib!$E$1:$E$13,$D261)*(INDEX(Calib!$G$1:$G$13,$D261)+0*$H261)</f>
        <v/>
      </c>
      <c r="L261" s="26">
        <f>L260*(1-p_eps_k*$E261)+p_lambda_k*(N261-L260*(1-p_eps_k*$E261))</f>
        <v/>
      </c>
      <c r="M261" s="26">
        <f>INDEX(Calib!$R$1:$R$13,$D261)*$F261*(K260*(1-p_eps_g*$E261))^INDEX(Calib!$Q$1:$Q$13,$D261)*(L260*(1-p_eps_k*$E261))^p_alpha</f>
        <v/>
      </c>
      <c r="N261" s="26">
        <f>p_alpha*(1-INDEX(Calib!$H$1:$H$13,$D261))*M261/(INDEX(Calib!$K$1:$K$13,$D261)+p_delta)</f>
        <v/>
      </c>
      <c r="O261" s="26">
        <f>M261+$G261</f>
        <v/>
      </c>
      <c r="P261" s="26">
        <f>0*($H261+$I261)</f>
        <v/>
      </c>
      <c r="Q261" s="26">
        <f>INDEX(Calib!$I$1:$I$13,$D261)+p_sh_grant*P261</f>
        <v/>
      </c>
      <c r="R261" s="26">
        <f>INDEX(Calib!$H$1:$H$13,$D261)*M261+p_gov_take*$G261+Q261+0*p_pricing*$J261</f>
        <v/>
      </c>
      <c r="S261" s="26">
        <f>INDEX(Calib!$Y$1:$Y$13,$D261)-INDEX(Calib!$Z$1:$Z$13,$D261)*(V260/O260-INDEX(Calib!$AA$1:$AA$13,$D261))</f>
        <v/>
      </c>
      <c r="T261" s="26">
        <f>INDEX(Calib!$X$1:$X$13,$D261)+INDEX(Calib!$G$1:$G$13,$D261)+P261+S261-R261</f>
        <v/>
      </c>
      <c r="U261" s="26">
        <f>p_rk*W260+Y260*(V260-W260)</f>
        <v/>
      </c>
      <c r="V261" s="26">
        <f>V260+U261+T261</f>
        <v/>
      </c>
      <c r="W261" s="26">
        <f>INDEX(Calib!$U$1:$U$13,$D261)+(W260-INDEX(Calib!$U$1:$U$13,$D261))*(1-p_amort)+p_sh_conc*P261</f>
        <v/>
      </c>
      <c r="X261" s="26">
        <f>V261/O261</f>
        <v/>
      </c>
      <c r="Y261" s="26">
        <f>INDEX(Calib!$K$1:$K$13,$D261)+p_eta*MAX(0,X261-INDEX(Calib!$AA$1:$AA$13,$D261))</f>
        <v/>
      </c>
      <c r="Z261" s="26">
        <f>(1-INDEX(Calib!$H$1:$H$13,$D261))*(1-p_alpha)*M261+S261</f>
        <v/>
      </c>
      <c r="AA261" s="26">
        <f>(1-p_delta_g)*AA260*(1-p_eps_g*$E261)+INDEX(Calib!$E$1:$E$13,$D261)*(INDEX(Calib!$G$1:$G$13,$D261)+p_programme*$H261)</f>
        <v/>
      </c>
      <c r="AB261" s="26">
        <f>AB260*(1-p_eps_k*$E261)+p_lambda_k*(AD261-AB260*(1-p_eps_k*$E261))</f>
        <v/>
      </c>
      <c r="AC261" s="26">
        <f>INDEX(Calib!$R$1:$R$13,$D261)*$F261*(AA260*(1-p_eps_g*$E261))^INDEX(Calib!$Q$1:$Q$13,$D261)*(AB260*(1-p_eps_k*$E261))^p_alpha</f>
        <v/>
      </c>
      <c r="AD261" s="26">
        <f>p_alpha*(1-INDEX(Calib!$H$1:$H$13,$D261))*AC261/(INDEX(Calib!$K$1:$K$13,$D261)+p_delta)</f>
        <v/>
      </c>
      <c r="AE261" s="26">
        <f>AC261+$G261</f>
        <v/>
      </c>
      <c r="AF261" s="26">
        <f>p_programme*($H261+$I261)</f>
        <v/>
      </c>
      <c r="AG261" s="26">
        <f>INDEX(Calib!$I$1:$I$13,$D261)+p_sh_grant*AF261</f>
        <v/>
      </c>
      <c r="AH261" s="26">
        <f>INDEX(Calib!$H$1:$H$13,$D261)*AC261+p_gov_take*$G261+AG261+p_programme*p_pricing*$J261</f>
        <v/>
      </c>
      <c r="AI261" s="26">
        <f>INDEX(Calib!$Y$1:$Y$13,$D261)-INDEX(Calib!$Z$1:$Z$13,$D261)*(AL260/AE260-INDEX(Calib!$AA$1:$AA$13,$D261))</f>
        <v/>
      </c>
      <c r="AJ261" s="26">
        <f>INDEX(Calib!$X$1:$X$13,$D261)+INDEX(Calib!$G$1:$G$13,$D261)+AF261+AI261-AH261</f>
        <v/>
      </c>
      <c r="AK261" s="26">
        <f>p_rk*AM260+AO260*(AL260-AM260)</f>
        <v/>
      </c>
      <c r="AL261" s="26">
        <f>AL260+AK261+AJ261</f>
        <v/>
      </c>
      <c r="AM261" s="26">
        <f>INDEX(Calib!$U$1:$U$13,$D261)+(AM260-INDEX(Calib!$U$1:$U$13,$D261))*(1-p_amort)+p_sh_conc*AF261</f>
        <v/>
      </c>
      <c r="AN261" s="26">
        <f>AL261/AE261</f>
        <v/>
      </c>
      <c r="AO261" s="26">
        <f>INDEX(Calib!$K$1:$K$13,$D261)+p_eta*MAX(0,AN261-INDEX(Calib!$AA$1:$AA$13,$D261))</f>
        <v/>
      </c>
      <c r="AP261" s="26">
        <f>(1-INDEX(Calib!$H$1:$H$13,$D261))*(1-p_alpha)*AC261+AI261</f>
        <v/>
      </c>
      <c r="AQ261" s="26">
        <f>(AE261/O261-1)*100</f>
        <v/>
      </c>
      <c r="AR261" s="26">
        <f>(AE261/AE245-1)*100</f>
        <v/>
      </c>
      <c r="AS261" s="26">
        <f>(O261/O245-1)*100</f>
        <v/>
      </c>
      <c r="AT261" s="26">
        <f>(AN261-X261)*100</f>
        <v/>
      </c>
      <c r="AU261" s="26">
        <f>(AP261/Z261-1)*100</f>
        <v/>
      </c>
      <c r="AV261" s="26">
        <f>(AI261-S261)*100</f>
        <v/>
      </c>
    </row>
    <row r="262">
      <c r="A262" s="25" t="inlineStr">
        <is>
          <t>AGO</t>
        </is>
      </c>
      <c r="B262" s="25" t="n">
        <v>2041</v>
      </c>
      <c r="C262" s="25" t="n">
        <v>17</v>
      </c>
      <c r="D262" s="25" t="n">
        <v>11</v>
      </c>
      <c r="E262" s="25">
        <f>IF(AND(p_dis_year&gt;0,B262=p_dis_year),1,0)</f>
        <v/>
      </c>
      <c r="F262" s="26">
        <f>IF(AND(p_dis_year&gt;0,B262&gt;=p_dis_year),1-p_eps_a*p_rho_a^(B262-p_dis_year),1)</f>
        <v/>
      </c>
      <c r="G262" s="26">
        <f>INDEX(Calib!$N$1:$N$13,$D262)*(1-p_rent_decline*MIN(1,C262/26))</f>
        <v/>
      </c>
      <c r="H262" s="26">
        <f>IF(C262=0,0,SUMIFS(dl_val,dl_iso,$A262,dl_ind,"pub_cap",dl_year,$B262)/100)</f>
        <v/>
      </c>
      <c r="I262" s="26">
        <f>IF(C262=0,0,SUMIFS(dl_val,dl_iso,$A262,dl_ind,"pub_spend",dl_year,$B262)/100)</f>
        <v/>
      </c>
      <c r="J262" s="26">
        <f>IF(C262=0,0,SUMIFS(dl_val,dl_iso,$A262,dl_ind,"rev",dl_year,$B262)/100)</f>
        <v/>
      </c>
      <c r="K262" s="26">
        <f>(1-p_delta_g)*K261*(1-p_eps_g*$E262)+INDEX(Calib!$E$1:$E$13,$D262)*(INDEX(Calib!$G$1:$G$13,$D262)+0*$H262)</f>
        <v/>
      </c>
      <c r="L262" s="26">
        <f>L261*(1-p_eps_k*$E262)+p_lambda_k*(N262-L261*(1-p_eps_k*$E262))</f>
        <v/>
      </c>
      <c r="M262" s="26">
        <f>INDEX(Calib!$R$1:$R$13,$D262)*$F262*(K261*(1-p_eps_g*$E262))^INDEX(Calib!$Q$1:$Q$13,$D262)*(L261*(1-p_eps_k*$E262))^p_alpha</f>
        <v/>
      </c>
      <c r="N262" s="26">
        <f>p_alpha*(1-INDEX(Calib!$H$1:$H$13,$D262))*M262/(INDEX(Calib!$K$1:$K$13,$D262)+p_delta)</f>
        <v/>
      </c>
      <c r="O262" s="26">
        <f>M262+$G262</f>
        <v/>
      </c>
      <c r="P262" s="26">
        <f>0*($H262+$I262)</f>
        <v/>
      </c>
      <c r="Q262" s="26">
        <f>INDEX(Calib!$I$1:$I$13,$D262)+p_sh_grant*P262</f>
        <v/>
      </c>
      <c r="R262" s="26">
        <f>INDEX(Calib!$H$1:$H$13,$D262)*M262+p_gov_take*$G262+Q262+0*p_pricing*$J262</f>
        <v/>
      </c>
      <c r="S262" s="26">
        <f>INDEX(Calib!$Y$1:$Y$13,$D262)-INDEX(Calib!$Z$1:$Z$13,$D262)*(V261/O261-INDEX(Calib!$AA$1:$AA$13,$D262))</f>
        <v/>
      </c>
      <c r="T262" s="26">
        <f>INDEX(Calib!$X$1:$X$13,$D262)+INDEX(Calib!$G$1:$G$13,$D262)+P262+S262-R262</f>
        <v/>
      </c>
      <c r="U262" s="26">
        <f>p_rk*W261+Y261*(V261-W261)</f>
        <v/>
      </c>
      <c r="V262" s="26">
        <f>V261+U262+T262</f>
        <v/>
      </c>
      <c r="W262" s="26">
        <f>INDEX(Calib!$U$1:$U$13,$D262)+(W261-INDEX(Calib!$U$1:$U$13,$D262))*(1-p_amort)+p_sh_conc*P262</f>
        <v/>
      </c>
      <c r="X262" s="26">
        <f>V262/O262</f>
        <v/>
      </c>
      <c r="Y262" s="26">
        <f>INDEX(Calib!$K$1:$K$13,$D262)+p_eta*MAX(0,X262-INDEX(Calib!$AA$1:$AA$13,$D262))</f>
        <v/>
      </c>
      <c r="Z262" s="26">
        <f>(1-INDEX(Calib!$H$1:$H$13,$D262))*(1-p_alpha)*M262+S262</f>
        <v/>
      </c>
      <c r="AA262" s="26">
        <f>(1-p_delta_g)*AA261*(1-p_eps_g*$E262)+INDEX(Calib!$E$1:$E$13,$D262)*(INDEX(Calib!$G$1:$G$13,$D262)+p_programme*$H262)</f>
        <v/>
      </c>
      <c r="AB262" s="26">
        <f>AB261*(1-p_eps_k*$E262)+p_lambda_k*(AD262-AB261*(1-p_eps_k*$E262))</f>
        <v/>
      </c>
      <c r="AC262" s="26">
        <f>INDEX(Calib!$R$1:$R$13,$D262)*$F262*(AA261*(1-p_eps_g*$E262))^INDEX(Calib!$Q$1:$Q$13,$D262)*(AB261*(1-p_eps_k*$E262))^p_alpha</f>
        <v/>
      </c>
      <c r="AD262" s="26">
        <f>p_alpha*(1-INDEX(Calib!$H$1:$H$13,$D262))*AC262/(INDEX(Calib!$K$1:$K$13,$D262)+p_delta)</f>
        <v/>
      </c>
      <c r="AE262" s="26">
        <f>AC262+$G262</f>
        <v/>
      </c>
      <c r="AF262" s="26">
        <f>p_programme*($H262+$I262)</f>
        <v/>
      </c>
      <c r="AG262" s="26">
        <f>INDEX(Calib!$I$1:$I$13,$D262)+p_sh_grant*AF262</f>
        <v/>
      </c>
      <c r="AH262" s="26">
        <f>INDEX(Calib!$H$1:$H$13,$D262)*AC262+p_gov_take*$G262+AG262+p_programme*p_pricing*$J262</f>
        <v/>
      </c>
      <c r="AI262" s="26">
        <f>INDEX(Calib!$Y$1:$Y$13,$D262)-INDEX(Calib!$Z$1:$Z$13,$D262)*(AL261/AE261-INDEX(Calib!$AA$1:$AA$13,$D262))</f>
        <v/>
      </c>
      <c r="AJ262" s="26">
        <f>INDEX(Calib!$X$1:$X$13,$D262)+INDEX(Calib!$G$1:$G$13,$D262)+AF262+AI262-AH262</f>
        <v/>
      </c>
      <c r="AK262" s="26">
        <f>p_rk*AM261+AO261*(AL261-AM261)</f>
        <v/>
      </c>
      <c r="AL262" s="26">
        <f>AL261+AK262+AJ262</f>
        <v/>
      </c>
      <c r="AM262" s="26">
        <f>INDEX(Calib!$U$1:$U$13,$D262)+(AM261-INDEX(Calib!$U$1:$U$13,$D262))*(1-p_amort)+p_sh_conc*AF262</f>
        <v/>
      </c>
      <c r="AN262" s="26">
        <f>AL262/AE262</f>
        <v/>
      </c>
      <c r="AO262" s="26">
        <f>INDEX(Calib!$K$1:$K$13,$D262)+p_eta*MAX(0,AN262-INDEX(Calib!$AA$1:$AA$13,$D262))</f>
        <v/>
      </c>
      <c r="AP262" s="26">
        <f>(1-INDEX(Calib!$H$1:$H$13,$D262))*(1-p_alpha)*AC262+AI262</f>
        <v/>
      </c>
      <c r="AQ262" s="26">
        <f>(AE262/O262-1)*100</f>
        <v/>
      </c>
      <c r="AR262" s="26">
        <f>(AE262/AE245-1)*100</f>
        <v/>
      </c>
      <c r="AS262" s="26">
        <f>(O262/O245-1)*100</f>
        <v/>
      </c>
      <c r="AT262" s="26">
        <f>(AN262-X262)*100</f>
        <v/>
      </c>
      <c r="AU262" s="26">
        <f>(AP262/Z262-1)*100</f>
        <v/>
      </c>
      <c r="AV262" s="26">
        <f>(AI262-S262)*100</f>
        <v/>
      </c>
    </row>
    <row r="263">
      <c r="A263" s="25" t="inlineStr">
        <is>
          <t>AGO</t>
        </is>
      </c>
      <c r="B263" s="25" t="n">
        <v>2042</v>
      </c>
      <c r="C263" s="25" t="n">
        <v>18</v>
      </c>
      <c r="D263" s="25" t="n">
        <v>11</v>
      </c>
      <c r="E263" s="25">
        <f>IF(AND(p_dis_year&gt;0,B263=p_dis_year),1,0)</f>
        <v/>
      </c>
      <c r="F263" s="26">
        <f>IF(AND(p_dis_year&gt;0,B263&gt;=p_dis_year),1-p_eps_a*p_rho_a^(B263-p_dis_year),1)</f>
        <v/>
      </c>
      <c r="G263" s="26">
        <f>INDEX(Calib!$N$1:$N$13,$D263)*(1-p_rent_decline*MIN(1,C263/26))</f>
        <v/>
      </c>
      <c r="H263" s="26">
        <f>IF(C263=0,0,SUMIFS(dl_val,dl_iso,$A263,dl_ind,"pub_cap",dl_year,$B263)/100)</f>
        <v/>
      </c>
      <c r="I263" s="26">
        <f>IF(C263=0,0,SUMIFS(dl_val,dl_iso,$A263,dl_ind,"pub_spend",dl_year,$B263)/100)</f>
        <v/>
      </c>
      <c r="J263" s="26">
        <f>IF(C263=0,0,SUMIFS(dl_val,dl_iso,$A263,dl_ind,"rev",dl_year,$B263)/100)</f>
        <v/>
      </c>
      <c r="K263" s="26">
        <f>(1-p_delta_g)*K262*(1-p_eps_g*$E263)+INDEX(Calib!$E$1:$E$13,$D263)*(INDEX(Calib!$G$1:$G$13,$D263)+0*$H263)</f>
        <v/>
      </c>
      <c r="L263" s="26">
        <f>L262*(1-p_eps_k*$E263)+p_lambda_k*(N263-L262*(1-p_eps_k*$E263))</f>
        <v/>
      </c>
      <c r="M263" s="26">
        <f>INDEX(Calib!$R$1:$R$13,$D263)*$F263*(K262*(1-p_eps_g*$E263))^INDEX(Calib!$Q$1:$Q$13,$D263)*(L262*(1-p_eps_k*$E263))^p_alpha</f>
        <v/>
      </c>
      <c r="N263" s="26">
        <f>p_alpha*(1-INDEX(Calib!$H$1:$H$13,$D263))*M263/(INDEX(Calib!$K$1:$K$13,$D263)+p_delta)</f>
        <v/>
      </c>
      <c r="O263" s="26">
        <f>M263+$G263</f>
        <v/>
      </c>
      <c r="P263" s="26">
        <f>0*($H263+$I263)</f>
        <v/>
      </c>
      <c r="Q263" s="26">
        <f>INDEX(Calib!$I$1:$I$13,$D263)+p_sh_grant*P263</f>
        <v/>
      </c>
      <c r="R263" s="26">
        <f>INDEX(Calib!$H$1:$H$13,$D263)*M263+p_gov_take*$G263+Q263+0*p_pricing*$J263</f>
        <v/>
      </c>
      <c r="S263" s="26">
        <f>INDEX(Calib!$Y$1:$Y$13,$D263)-INDEX(Calib!$Z$1:$Z$13,$D263)*(V262/O262-INDEX(Calib!$AA$1:$AA$13,$D263))</f>
        <v/>
      </c>
      <c r="T263" s="26">
        <f>INDEX(Calib!$X$1:$X$13,$D263)+INDEX(Calib!$G$1:$G$13,$D263)+P263+S263-R263</f>
        <v/>
      </c>
      <c r="U263" s="26">
        <f>p_rk*W262+Y262*(V262-W262)</f>
        <v/>
      </c>
      <c r="V263" s="26">
        <f>V262+U263+T263</f>
        <v/>
      </c>
      <c r="W263" s="26">
        <f>INDEX(Calib!$U$1:$U$13,$D263)+(W262-INDEX(Calib!$U$1:$U$13,$D263))*(1-p_amort)+p_sh_conc*P263</f>
        <v/>
      </c>
      <c r="X263" s="26">
        <f>V263/O263</f>
        <v/>
      </c>
      <c r="Y263" s="26">
        <f>INDEX(Calib!$K$1:$K$13,$D263)+p_eta*MAX(0,X263-INDEX(Calib!$AA$1:$AA$13,$D263))</f>
        <v/>
      </c>
      <c r="Z263" s="26">
        <f>(1-INDEX(Calib!$H$1:$H$13,$D263))*(1-p_alpha)*M263+S263</f>
        <v/>
      </c>
      <c r="AA263" s="26">
        <f>(1-p_delta_g)*AA262*(1-p_eps_g*$E263)+INDEX(Calib!$E$1:$E$13,$D263)*(INDEX(Calib!$G$1:$G$13,$D263)+p_programme*$H263)</f>
        <v/>
      </c>
      <c r="AB263" s="26">
        <f>AB262*(1-p_eps_k*$E263)+p_lambda_k*(AD263-AB262*(1-p_eps_k*$E263))</f>
        <v/>
      </c>
      <c r="AC263" s="26">
        <f>INDEX(Calib!$R$1:$R$13,$D263)*$F263*(AA262*(1-p_eps_g*$E263))^INDEX(Calib!$Q$1:$Q$13,$D263)*(AB262*(1-p_eps_k*$E263))^p_alpha</f>
        <v/>
      </c>
      <c r="AD263" s="26">
        <f>p_alpha*(1-INDEX(Calib!$H$1:$H$13,$D263))*AC263/(INDEX(Calib!$K$1:$K$13,$D263)+p_delta)</f>
        <v/>
      </c>
      <c r="AE263" s="26">
        <f>AC263+$G263</f>
        <v/>
      </c>
      <c r="AF263" s="26">
        <f>p_programme*($H263+$I263)</f>
        <v/>
      </c>
      <c r="AG263" s="26">
        <f>INDEX(Calib!$I$1:$I$13,$D263)+p_sh_grant*AF263</f>
        <v/>
      </c>
      <c r="AH263" s="26">
        <f>INDEX(Calib!$H$1:$H$13,$D263)*AC263+p_gov_take*$G263+AG263+p_programme*p_pricing*$J263</f>
        <v/>
      </c>
      <c r="AI263" s="26">
        <f>INDEX(Calib!$Y$1:$Y$13,$D263)-INDEX(Calib!$Z$1:$Z$13,$D263)*(AL262/AE262-INDEX(Calib!$AA$1:$AA$13,$D263))</f>
        <v/>
      </c>
      <c r="AJ263" s="26">
        <f>INDEX(Calib!$X$1:$X$13,$D263)+INDEX(Calib!$G$1:$G$13,$D263)+AF263+AI263-AH263</f>
        <v/>
      </c>
      <c r="AK263" s="26">
        <f>p_rk*AM262+AO262*(AL262-AM262)</f>
        <v/>
      </c>
      <c r="AL263" s="26">
        <f>AL262+AK263+AJ263</f>
        <v/>
      </c>
      <c r="AM263" s="26">
        <f>INDEX(Calib!$U$1:$U$13,$D263)+(AM262-INDEX(Calib!$U$1:$U$13,$D263))*(1-p_amort)+p_sh_conc*AF263</f>
        <v/>
      </c>
      <c r="AN263" s="26">
        <f>AL263/AE263</f>
        <v/>
      </c>
      <c r="AO263" s="26">
        <f>INDEX(Calib!$K$1:$K$13,$D263)+p_eta*MAX(0,AN263-INDEX(Calib!$AA$1:$AA$13,$D263))</f>
        <v/>
      </c>
      <c r="AP263" s="26">
        <f>(1-INDEX(Calib!$H$1:$H$13,$D263))*(1-p_alpha)*AC263+AI263</f>
        <v/>
      </c>
      <c r="AQ263" s="26">
        <f>(AE263/O263-1)*100</f>
        <v/>
      </c>
      <c r="AR263" s="26">
        <f>(AE263/AE245-1)*100</f>
        <v/>
      </c>
      <c r="AS263" s="26">
        <f>(O263/O245-1)*100</f>
        <v/>
      </c>
      <c r="AT263" s="26">
        <f>(AN263-X263)*100</f>
        <v/>
      </c>
      <c r="AU263" s="26">
        <f>(AP263/Z263-1)*100</f>
        <v/>
      </c>
      <c r="AV263" s="26">
        <f>(AI263-S263)*100</f>
        <v/>
      </c>
    </row>
    <row r="264">
      <c r="A264" s="25" t="inlineStr">
        <is>
          <t>AGO</t>
        </is>
      </c>
      <c r="B264" s="25" t="n">
        <v>2043</v>
      </c>
      <c r="C264" s="25" t="n">
        <v>19</v>
      </c>
      <c r="D264" s="25" t="n">
        <v>11</v>
      </c>
      <c r="E264" s="25">
        <f>IF(AND(p_dis_year&gt;0,B264=p_dis_year),1,0)</f>
        <v/>
      </c>
      <c r="F264" s="26">
        <f>IF(AND(p_dis_year&gt;0,B264&gt;=p_dis_year),1-p_eps_a*p_rho_a^(B264-p_dis_year),1)</f>
        <v/>
      </c>
      <c r="G264" s="26">
        <f>INDEX(Calib!$N$1:$N$13,$D264)*(1-p_rent_decline*MIN(1,C264/26))</f>
        <v/>
      </c>
      <c r="H264" s="26">
        <f>IF(C264=0,0,SUMIFS(dl_val,dl_iso,$A264,dl_ind,"pub_cap",dl_year,$B264)/100)</f>
        <v/>
      </c>
      <c r="I264" s="26">
        <f>IF(C264=0,0,SUMIFS(dl_val,dl_iso,$A264,dl_ind,"pub_spend",dl_year,$B264)/100)</f>
        <v/>
      </c>
      <c r="J264" s="26">
        <f>IF(C264=0,0,SUMIFS(dl_val,dl_iso,$A264,dl_ind,"rev",dl_year,$B264)/100)</f>
        <v/>
      </c>
      <c r="K264" s="26">
        <f>(1-p_delta_g)*K263*(1-p_eps_g*$E264)+INDEX(Calib!$E$1:$E$13,$D264)*(INDEX(Calib!$G$1:$G$13,$D264)+0*$H264)</f>
        <v/>
      </c>
      <c r="L264" s="26">
        <f>L263*(1-p_eps_k*$E264)+p_lambda_k*(N264-L263*(1-p_eps_k*$E264))</f>
        <v/>
      </c>
      <c r="M264" s="26">
        <f>INDEX(Calib!$R$1:$R$13,$D264)*$F264*(K263*(1-p_eps_g*$E264))^INDEX(Calib!$Q$1:$Q$13,$D264)*(L263*(1-p_eps_k*$E264))^p_alpha</f>
        <v/>
      </c>
      <c r="N264" s="26">
        <f>p_alpha*(1-INDEX(Calib!$H$1:$H$13,$D264))*M264/(INDEX(Calib!$K$1:$K$13,$D264)+p_delta)</f>
        <v/>
      </c>
      <c r="O264" s="26">
        <f>M264+$G264</f>
        <v/>
      </c>
      <c r="P264" s="26">
        <f>0*($H264+$I264)</f>
        <v/>
      </c>
      <c r="Q264" s="26">
        <f>INDEX(Calib!$I$1:$I$13,$D264)+p_sh_grant*P264</f>
        <v/>
      </c>
      <c r="R264" s="26">
        <f>INDEX(Calib!$H$1:$H$13,$D264)*M264+p_gov_take*$G264+Q264+0*p_pricing*$J264</f>
        <v/>
      </c>
      <c r="S264" s="26">
        <f>INDEX(Calib!$Y$1:$Y$13,$D264)-INDEX(Calib!$Z$1:$Z$13,$D264)*(V263/O263-INDEX(Calib!$AA$1:$AA$13,$D264))</f>
        <v/>
      </c>
      <c r="T264" s="26">
        <f>INDEX(Calib!$X$1:$X$13,$D264)+INDEX(Calib!$G$1:$G$13,$D264)+P264+S264-R264</f>
        <v/>
      </c>
      <c r="U264" s="26">
        <f>p_rk*W263+Y263*(V263-W263)</f>
        <v/>
      </c>
      <c r="V264" s="26">
        <f>V263+U264+T264</f>
        <v/>
      </c>
      <c r="W264" s="26">
        <f>INDEX(Calib!$U$1:$U$13,$D264)+(W263-INDEX(Calib!$U$1:$U$13,$D264))*(1-p_amort)+p_sh_conc*P264</f>
        <v/>
      </c>
      <c r="X264" s="26">
        <f>V264/O264</f>
        <v/>
      </c>
      <c r="Y264" s="26">
        <f>INDEX(Calib!$K$1:$K$13,$D264)+p_eta*MAX(0,X264-INDEX(Calib!$AA$1:$AA$13,$D264))</f>
        <v/>
      </c>
      <c r="Z264" s="26">
        <f>(1-INDEX(Calib!$H$1:$H$13,$D264))*(1-p_alpha)*M264+S264</f>
        <v/>
      </c>
      <c r="AA264" s="26">
        <f>(1-p_delta_g)*AA263*(1-p_eps_g*$E264)+INDEX(Calib!$E$1:$E$13,$D264)*(INDEX(Calib!$G$1:$G$13,$D264)+p_programme*$H264)</f>
        <v/>
      </c>
      <c r="AB264" s="26">
        <f>AB263*(1-p_eps_k*$E264)+p_lambda_k*(AD264-AB263*(1-p_eps_k*$E264))</f>
        <v/>
      </c>
      <c r="AC264" s="26">
        <f>INDEX(Calib!$R$1:$R$13,$D264)*$F264*(AA263*(1-p_eps_g*$E264))^INDEX(Calib!$Q$1:$Q$13,$D264)*(AB263*(1-p_eps_k*$E264))^p_alpha</f>
        <v/>
      </c>
      <c r="AD264" s="26">
        <f>p_alpha*(1-INDEX(Calib!$H$1:$H$13,$D264))*AC264/(INDEX(Calib!$K$1:$K$13,$D264)+p_delta)</f>
        <v/>
      </c>
      <c r="AE264" s="26">
        <f>AC264+$G264</f>
        <v/>
      </c>
      <c r="AF264" s="26">
        <f>p_programme*($H264+$I264)</f>
        <v/>
      </c>
      <c r="AG264" s="26">
        <f>INDEX(Calib!$I$1:$I$13,$D264)+p_sh_grant*AF264</f>
        <v/>
      </c>
      <c r="AH264" s="26">
        <f>INDEX(Calib!$H$1:$H$13,$D264)*AC264+p_gov_take*$G264+AG264+p_programme*p_pricing*$J264</f>
        <v/>
      </c>
      <c r="AI264" s="26">
        <f>INDEX(Calib!$Y$1:$Y$13,$D264)-INDEX(Calib!$Z$1:$Z$13,$D264)*(AL263/AE263-INDEX(Calib!$AA$1:$AA$13,$D264))</f>
        <v/>
      </c>
      <c r="AJ264" s="26">
        <f>INDEX(Calib!$X$1:$X$13,$D264)+INDEX(Calib!$G$1:$G$13,$D264)+AF264+AI264-AH264</f>
        <v/>
      </c>
      <c r="AK264" s="26">
        <f>p_rk*AM263+AO263*(AL263-AM263)</f>
        <v/>
      </c>
      <c r="AL264" s="26">
        <f>AL263+AK264+AJ264</f>
        <v/>
      </c>
      <c r="AM264" s="26">
        <f>INDEX(Calib!$U$1:$U$13,$D264)+(AM263-INDEX(Calib!$U$1:$U$13,$D264))*(1-p_amort)+p_sh_conc*AF264</f>
        <v/>
      </c>
      <c r="AN264" s="26">
        <f>AL264/AE264</f>
        <v/>
      </c>
      <c r="AO264" s="26">
        <f>INDEX(Calib!$K$1:$K$13,$D264)+p_eta*MAX(0,AN264-INDEX(Calib!$AA$1:$AA$13,$D264))</f>
        <v/>
      </c>
      <c r="AP264" s="26">
        <f>(1-INDEX(Calib!$H$1:$H$13,$D264))*(1-p_alpha)*AC264+AI264</f>
        <v/>
      </c>
      <c r="AQ264" s="26">
        <f>(AE264/O264-1)*100</f>
        <v/>
      </c>
      <c r="AR264" s="26">
        <f>(AE264/AE245-1)*100</f>
        <v/>
      </c>
      <c r="AS264" s="26">
        <f>(O264/O245-1)*100</f>
        <v/>
      </c>
      <c r="AT264" s="26">
        <f>(AN264-X264)*100</f>
        <v/>
      </c>
      <c r="AU264" s="26">
        <f>(AP264/Z264-1)*100</f>
        <v/>
      </c>
      <c r="AV264" s="26">
        <f>(AI264-S264)*100</f>
        <v/>
      </c>
    </row>
    <row r="265">
      <c r="A265" s="25" t="inlineStr">
        <is>
          <t>AGO</t>
        </is>
      </c>
      <c r="B265" s="25" t="n">
        <v>2044</v>
      </c>
      <c r="C265" s="25" t="n">
        <v>20</v>
      </c>
      <c r="D265" s="25" t="n">
        <v>11</v>
      </c>
      <c r="E265" s="25">
        <f>IF(AND(p_dis_year&gt;0,B265=p_dis_year),1,0)</f>
        <v/>
      </c>
      <c r="F265" s="26">
        <f>IF(AND(p_dis_year&gt;0,B265&gt;=p_dis_year),1-p_eps_a*p_rho_a^(B265-p_dis_year),1)</f>
        <v/>
      </c>
      <c r="G265" s="26">
        <f>INDEX(Calib!$N$1:$N$13,$D265)*(1-p_rent_decline*MIN(1,C265/26))</f>
        <v/>
      </c>
      <c r="H265" s="26">
        <f>IF(C265=0,0,SUMIFS(dl_val,dl_iso,$A265,dl_ind,"pub_cap",dl_year,$B265)/100)</f>
        <v/>
      </c>
      <c r="I265" s="26">
        <f>IF(C265=0,0,SUMIFS(dl_val,dl_iso,$A265,dl_ind,"pub_spend",dl_year,$B265)/100)</f>
        <v/>
      </c>
      <c r="J265" s="26">
        <f>IF(C265=0,0,SUMIFS(dl_val,dl_iso,$A265,dl_ind,"rev",dl_year,$B265)/100)</f>
        <v/>
      </c>
      <c r="K265" s="26">
        <f>(1-p_delta_g)*K264*(1-p_eps_g*$E265)+INDEX(Calib!$E$1:$E$13,$D265)*(INDEX(Calib!$G$1:$G$13,$D265)+0*$H265)</f>
        <v/>
      </c>
      <c r="L265" s="26">
        <f>L264*(1-p_eps_k*$E265)+p_lambda_k*(N265-L264*(1-p_eps_k*$E265))</f>
        <v/>
      </c>
      <c r="M265" s="26">
        <f>INDEX(Calib!$R$1:$R$13,$D265)*$F265*(K264*(1-p_eps_g*$E265))^INDEX(Calib!$Q$1:$Q$13,$D265)*(L264*(1-p_eps_k*$E265))^p_alpha</f>
        <v/>
      </c>
      <c r="N265" s="26">
        <f>p_alpha*(1-INDEX(Calib!$H$1:$H$13,$D265))*M265/(INDEX(Calib!$K$1:$K$13,$D265)+p_delta)</f>
        <v/>
      </c>
      <c r="O265" s="26">
        <f>M265+$G265</f>
        <v/>
      </c>
      <c r="P265" s="26">
        <f>0*($H265+$I265)</f>
        <v/>
      </c>
      <c r="Q265" s="26">
        <f>INDEX(Calib!$I$1:$I$13,$D265)+p_sh_grant*P265</f>
        <v/>
      </c>
      <c r="R265" s="26">
        <f>INDEX(Calib!$H$1:$H$13,$D265)*M265+p_gov_take*$G265+Q265+0*p_pricing*$J265</f>
        <v/>
      </c>
      <c r="S265" s="26">
        <f>INDEX(Calib!$Y$1:$Y$13,$D265)-INDEX(Calib!$Z$1:$Z$13,$D265)*(V264/O264-INDEX(Calib!$AA$1:$AA$13,$D265))</f>
        <v/>
      </c>
      <c r="T265" s="26">
        <f>INDEX(Calib!$X$1:$X$13,$D265)+INDEX(Calib!$G$1:$G$13,$D265)+P265+S265-R265</f>
        <v/>
      </c>
      <c r="U265" s="26">
        <f>p_rk*W264+Y264*(V264-W264)</f>
        <v/>
      </c>
      <c r="V265" s="26">
        <f>V264+U265+T265</f>
        <v/>
      </c>
      <c r="W265" s="26">
        <f>INDEX(Calib!$U$1:$U$13,$D265)+(W264-INDEX(Calib!$U$1:$U$13,$D265))*(1-p_amort)+p_sh_conc*P265</f>
        <v/>
      </c>
      <c r="X265" s="26">
        <f>V265/O265</f>
        <v/>
      </c>
      <c r="Y265" s="26">
        <f>INDEX(Calib!$K$1:$K$13,$D265)+p_eta*MAX(0,X265-INDEX(Calib!$AA$1:$AA$13,$D265))</f>
        <v/>
      </c>
      <c r="Z265" s="26">
        <f>(1-INDEX(Calib!$H$1:$H$13,$D265))*(1-p_alpha)*M265+S265</f>
        <v/>
      </c>
      <c r="AA265" s="26">
        <f>(1-p_delta_g)*AA264*(1-p_eps_g*$E265)+INDEX(Calib!$E$1:$E$13,$D265)*(INDEX(Calib!$G$1:$G$13,$D265)+p_programme*$H265)</f>
        <v/>
      </c>
      <c r="AB265" s="26">
        <f>AB264*(1-p_eps_k*$E265)+p_lambda_k*(AD265-AB264*(1-p_eps_k*$E265))</f>
        <v/>
      </c>
      <c r="AC265" s="26">
        <f>INDEX(Calib!$R$1:$R$13,$D265)*$F265*(AA264*(1-p_eps_g*$E265))^INDEX(Calib!$Q$1:$Q$13,$D265)*(AB264*(1-p_eps_k*$E265))^p_alpha</f>
        <v/>
      </c>
      <c r="AD265" s="26">
        <f>p_alpha*(1-INDEX(Calib!$H$1:$H$13,$D265))*AC265/(INDEX(Calib!$K$1:$K$13,$D265)+p_delta)</f>
        <v/>
      </c>
      <c r="AE265" s="26">
        <f>AC265+$G265</f>
        <v/>
      </c>
      <c r="AF265" s="26">
        <f>p_programme*($H265+$I265)</f>
        <v/>
      </c>
      <c r="AG265" s="26">
        <f>INDEX(Calib!$I$1:$I$13,$D265)+p_sh_grant*AF265</f>
        <v/>
      </c>
      <c r="AH265" s="26">
        <f>INDEX(Calib!$H$1:$H$13,$D265)*AC265+p_gov_take*$G265+AG265+p_programme*p_pricing*$J265</f>
        <v/>
      </c>
      <c r="AI265" s="26">
        <f>INDEX(Calib!$Y$1:$Y$13,$D265)-INDEX(Calib!$Z$1:$Z$13,$D265)*(AL264/AE264-INDEX(Calib!$AA$1:$AA$13,$D265))</f>
        <v/>
      </c>
      <c r="AJ265" s="26">
        <f>INDEX(Calib!$X$1:$X$13,$D265)+INDEX(Calib!$G$1:$G$13,$D265)+AF265+AI265-AH265</f>
        <v/>
      </c>
      <c r="AK265" s="26">
        <f>p_rk*AM264+AO264*(AL264-AM264)</f>
        <v/>
      </c>
      <c r="AL265" s="26">
        <f>AL264+AK265+AJ265</f>
        <v/>
      </c>
      <c r="AM265" s="26">
        <f>INDEX(Calib!$U$1:$U$13,$D265)+(AM264-INDEX(Calib!$U$1:$U$13,$D265))*(1-p_amort)+p_sh_conc*AF265</f>
        <v/>
      </c>
      <c r="AN265" s="26">
        <f>AL265/AE265</f>
        <v/>
      </c>
      <c r="AO265" s="26">
        <f>INDEX(Calib!$K$1:$K$13,$D265)+p_eta*MAX(0,AN265-INDEX(Calib!$AA$1:$AA$13,$D265))</f>
        <v/>
      </c>
      <c r="AP265" s="26">
        <f>(1-INDEX(Calib!$H$1:$H$13,$D265))*(1-p_alpha)*AC265+AI265</f>
        <v/>
      </c>
      <c r="AQ265" s="26">
        <f>(AE265/O265-1)*100</f>
        <v/>
      </c>
      <c r="AR265" s="26">
        <f>(AE265/AE245-1)*100</f>
        <v/>
      </c>
      <c r="AS265" s="26">
        <f>(O265/O245-1)*100</f>
        <v/>
      </c>
      <c r="AT265" s="26">
        <f>(AN265-X265)*100</f>
        <v/>
      </c>
      <c r="AU265" s="26">
        <f>(AP265/Z265-1)*100</f>
        <v/>
      </c>
      <c r="AV265" s="26">
        <f>(AI265-S265)*100</f>
        <v/>
      </c>
    </row>
    <row r="266">
      <c r="A266" s="25" t="inlineStr">
        <is>
          <t>AGO</t>
        </is>
      </c>
      <c r="B266" s="25" t="n">
        <v>2045</v>
      </c>
      <c r="C266" s="25" t="n">
        <v>21</v>
      </c>
      <c r="D266" s="25" t="n">
        <v>11</v>
      </c>
      <c r="E266" s="25">
        <f>IF(AND(p_dis_year&gt;0,B266=p_dis_year),1,0)</f>
        <v/>
      </c>
      <c r="F266" s="26">
        <f>IF(AND(p_dis_year&gt;0,B266&gt;=p_dis_year),1-p_eps_a*p_rho_a^(B266-p_dis_year),1)</f>
        <v/>
      </c>
      <c r="G266" s="26">
        <f>INDEX(Calib!$N$1:$N$13,$D266)*(1-p_rent_decline*MIN(1,C266/26))</f>
        <v/>
      </c>
      <c r="H266" s="26">
        <f>IF(C266=0,0,SUMIFS(dl_val,dl_iso,$A266,dl_ind,"pub_cap",dl_year,$B266)/100)</f>
        <v/>
      </c>
      <c r="I266" s="26">
        <f>IF(C266=0,0,SUMIFS(dl_val,dl_iso,$A266,dl_ind,"pub_spend",dl_year,$B266)/100)</f>
        <v/>
      </c>
      <c r="J266" s="26">
        <f>IF(C266=0,0,SUMIFS(dl_val,dl_iso,$A266,dl_ind,"rev",dl_year,$B266)/100)</f>
        <v/>
      </c>
      <c r="K266" s="26">
        <f>(1-p_delta_g)*K265*(1-p_eps_g*$E266)+INDEX(Calib!$E$1:$E$13,$D266)*(INDEX(Calib!$G$1:$G$13,$D266)+0*$H266)</f>
        <v/>
      </c>
      <c r="L266" s="26">
        <f>L265*(1-p_eps_k*$E266)+p_lambda_k*(N266-L265*(1-p_eps_k*$E266))</f>
        <v/>
      </c>
      <c r="M266" s="26">
        <f>INDEX(Calib!$R$1:$R$13,$D266)*$F266*(K265*(1-p_eps_g*$E266))^INDEX(Calib!$Q$1:$Q$13,$D266)*(L265*(1-p_eps_k*$E266))^p_alpha</f>
        <v/>
      </c>
      <c r="N266" s="26">
        <f>p_alpha*(1-INDEX(Calib!$H$1:$H$13,$D266))*M266/(INDEX(Calib!$K$1:$K$13,$D266)+p_delta)</f>
        <v/>
      </c>
      <c r="O266" s="26">
        <f>M266+$G266</f>
        <v/>
      </c>
      <c r="P266" s="26">
        <f>0*($H266+$I266)</f>
        <v/>
      </c>
      <c r="Q266" s="26">
        <f>INDEX(Calib!$I$1:$I$13,$D266)+p_sh_grant*P266</f>
        <v/>
      </c>
      <c r="R266" s="26">
        <f>INDEX(Calib!$H$1:$H$13,$D266)*M266+p_gov_take*$G266+Q266+0*p_pricing*$J266</f>
        <v/>
      </c>
      <c r="S266" s="26">
        <f>INDEX(Calib!$Y$1:$Y$13,$D266)-INDEX(Calib!$Z$1:$Z$13,$D266)*(V265/O265-INDEX(Calib!$AA$1:$AA$13,$D266))</f>
        <v/>
      </c>
      <c r="T266" s="26">
        <f>INDEX(Calib!$X$1:$X$13,$D266)+INDEX(Calib!$G$1:$G$13,$D266)+P266+S266-R266</f>
        <v/>
      </c>
      <c r="U266" s="26">
        <f>p_rk*W265+Y265*(V265-W265)</f>
        <v/>
      </c>
      <c r="V266" s="26">
        <f>V265+U266+T266</f>
        <v/>
      </c>
      <c r="W266" s="26">
        <f>INDEX(Calib!$U$1:$U$13,$D266)+(W265-INDEX(Calib!$U$1:$U$13,$D266))*(1-p_amort)+p_sh_conc*P266</f>
        <v/>
      </c>
      <c r="X266" s="26">
        <f>V266/O266</f>
        <v/>
      </c>
      <c r="Y266" s="26">
        <f>INDEX(Calib!$K$1:$K$13,$D266)+p_eta*MAX(0,X266-INDEX(Calib!$AA$1:$AA$13,$D266))</f>
        <v/>
      </c>
      <c r="Z266" s="26">
        <f>(1-INDEX(Calib!$H$1:$H$13,$D266))*(1-p_alpha)*M266+S266</f>
        <v/>
      </c>
      <c r="AA266" s="26">
        <f>(1-p_delta_g)*AA265*(1-p_eps_g*$E266)+INDEX(Calib!$E$1:$E$13,$D266)*(INDEX(Calib!$G$1:$G$13,$D266)+p_programme*$H266)</f>
        <v/>
      </c>
      <c r="AB266" s="26">
        <f>AB265*(1-p_eps_k*$E266)+p_lambda_k*(AD266-AB265*(1-p_eps_k*$E266))</f>
        <v/>
      </c>
      <c r="AC266" s="26">
        <f>INDEX(Calib!$R$1:$R$13,$D266)*$F266*(AA265*(1-p_eps_g*$E266))^INDEX(Calib!$Q$1:$Q$13,$D266)*(AB265*(1-p_eps_k*$E266))^p_alpha</f>
        <v/>
      </c>
      <c r="AD266" s="26">
        <f>p_alpha*(1-INDEX(Calib!$H$1:$H$13,$D266))*AC266/(INDEX(Calib!$K$1:$K$13,$D266)+p_delta)</f>
        <v/>
      </c>
      <c r="AE266" s="26">
        <f>AC266+$G266</f>
        <v/>
      </c>
      <c r="AF266" s="26">
        <f>p_programme*($H266+$I266)</f>
        <v/>
      </c>
      <c r="AG266" s="26">
        <f>INDEX(Calib!$I$1:$I$13,$D266)+p_sh_grant*AF266</f>
        <v/>
      </c>
      <c r="AH266" s="26">
        <f>INDEX(Calib!$H$1:$H$13,$D266)*AC266+p_gov_take*$G266+AG266+p_programme*p_pricing*$J266</f>
        <v/>
      </c>
      <c r="AI266" s="26">
        <f>INDEX(Calib!$Y$1:$Y$13,$D266)-INDEX(Calib!$Z$1:$Z$13,$D266)*(AL265/AE265-INDEX(Calib!$AA$1:$AA$13,$D266))</f>
        <v/>
      </c>
      <c r="AJ266" s="26">
        <f>INDEX(Calib!$X$1:$X$13,$D266)+INDEX(Calib!$G$1:$G$13,$D266)+AF266+AI266-AH266</f>
        <v/>
      </c>
      <c r="AK266" s="26">
        <f>p_rk*AM265+AO265*(AL265-AM265)</f>
        <v/>
      </c>
      <c r="AL266" s="26">
        <f>AL265+AK266+AJ266</f>
        <v/>
      </c>
      <c r="AM266" s="26">
        <f>INDEX(Calib!$U$1:$U$13,$D266)+(AM265-INDEX(Calib!$U$1:$U$13,$D266))*(1-p_amort)+p_sh_conc*AF266</f>
        <v/>
      </c>
      <c r="AN266" s="26">
        <f>AL266/AE266</f>
        <v/>
      </c>
      <c r="AO266" s="26">
        <f>INDEX(Calib!$K$1:$K$13,$D266)+p_eta*MAX(0,AN266-INDEX(Calib!$AA$1:$AA$13,$D266))</f>
        <v/>
      </c>
      <c r="AP266" s="26">
        <f>(1-INDEX(Calib!$H$1:$H$13,$D266))*(1-p_alpha)*AC266+AI266</f>
        <v/>
      </c>
      <c r="AQ266" s="26">
        <f>(AE266/O266-1)*100</f>
        <v/>
      </c>
      <c r="AR266" s="26">
        <f>(AE266/AE245-1)*100</f>
        <v/>
      </c>
      <c r="AS266" s="26">
        <f>(O266/O245-1)*100</f>
        <v/>
      </c>
      <c r="AT266" s="26">
        <f>(AN266-X266)*100</f>
        <v/>
      </c>
      <c r="AU266" s="26">
        <f>(AP266/Z266-1)*100</f>
        <v/>
      </c>
      <c r="AV266" s="26">
        <f>(AI266-S266)*100</f>
        <v/>
      </c>
    </row>
    <row r="267">
      <c r="A267" s="25" t="inlineStr">
        <is>
          <t>AGO</t>
        </is>
      </c>
      <c r="B267" s="25" t="n">
        <v>2046</v>
      </c>
      <c r="C267" s="25" t="n">
        <v>22</v>
      </c>
      <c r="D267" s="25" t="n">
        <v>11</v>
      </c>
      <c r="E267" s="25">
        <f>IF(AND(p_dis_year&gt;0,B267=p_dis_year),1,0)</f>
        <v/>
      </c>
      <c r="F267" s="26">
        <f>IF(AND(p_dis_year&gt;0,B267&gt;=p_dis_year),1-p_eps_a*p_rho_a^(B267-p_dis_year),1)</f>
        <v/>
      </c>
      <c r="G267" s="26">
        <f>INDEX(Calib!$N$1:$N$13,$D267)*(1-p_rent_decline*MIN(1,C267/26))</f>
        <v/>
      </c>
      <c r="H267" s="26">
        <f>IF(C267=0,0,SUMIFS(dl_val,dl_iso,$A267,dl_ind,"pub_cap",dl_year,$B267)/100)</f>
        <v/>
      </c>
      <c r="I267" s="26">
        <f>IF(C267=0,0,SUMIFS(dl_val,dl_iso,$A267,dl_ind,"pub_spend",dl_year,$B267)/100)</f>
        <v/>
      </c>
      <c r="J267" s="26">
        <f>IF(C267=0,0,SUMIFS(dl_val,dl_iso,$A267,dl_ind,"rev",dl_year,$B267)/100)</f>
        <v/>
      </c>
      <c r="K267" s="26">
        <f>(1-p_delta_g)*K266*(1-p_eps_g*$E267)+INDEX(Calib!$E$1:$E$13,$D267)*(INDEX(Calib!$G$1:$G$13,$D267)+0*$H267)</f>
        <v/>
      </c>
      <c r="L267" s="26">
        <f>L266*(1-p_eps_k*$E267)+p_lambda_k*(N267-L266*(1-p_eps_k*$E267))</f>
        <v/>
      </c>
      <c r="M267" s="26">
        <f>INDEX(Calib!$R$1:$R$13,$D267)*$F267*(K266*(1-p_eps_g*$E267))^INDEX(Calib!$Q$1:$Q$13,$D267)*(L266*(1-p_eps_k*$E267))^p_alpha</f>
        <v/>
      </c>
      <c r="N267" s="26">
        <f>p_alpha*(1-INDEX(Calib!$H$1:$H$13,$D267))*M267/(INDEX(Calib!$K$1:$K$13,$D267)+p_delta)</f>
        <v/>
      </c>
      <c r="O267" s="26">
        <f>M267+$G267</f>
        <v/>
      </c>
      <c r="P267" s="26">
        <f>0*($H267+$I267)</f>
        <v/>
      </c>
      <c r="Q267" s="26">
        <f>INDEX(Calib!$I$1:$I$13,$D267)+p_sh_grant*P267</f>
        <v/>
      </c>
      <c r="R267" s="26">
        <f>INDEX(Calib!$H$1:$H$13,$D267)*M267+p_gov_take*$G267+Q267+0*p_pricing*$J267</f>
        <v/>
      </c>
      <c r="S267" s="26">
        <f>INDEX(Calib!$Y$1:$Y$13,$D267)-INDEX(Calib!$Z$1:$Z$13,$D267)*(V266/O266-INDEX(Calib!$AA$1:$AA$13,$D267))</f>
        <v/>
      </c>
      <c r="T267" s="26">
        <f>INDEX(Calib!$X$1:$X$13,$D267)+INDEX(Calib!$G$1:$G$13,$D267)+P267+S267-R267</f>
        <v/>
      </c>
      <c r="U267" s="26">
        <f>p_rk*W266+Y266*(V266-W266)</f>
        <v/>
      </c>
      <c r="V267" s="26">
        <f>V266+U267+T267</f>
        <v/>
      </c>
      <c r="W267" s="26">
        <f>INDEX(Calib!$U$1:$U$13,$D267)+(W266-INDEX(Calib!$U$1:$U$13,$D267))*(1-p_amort)+p_sh_conc*P267</f>
        <v/>
      </c>
      <c r="X267" s="26">
        <f>V267/O267</f>
        <v/>
      </c>
      <c r="Y267" s="26">
        <f>INDEX(Calib!$K$1:$K$13,$D267)+p_eta*MAX(0,X267-INDEX(Calib!$AA$1:$AA$13,$D267))</f>
        <v/>
      </c>
      <c r="Z267" s="26">
        <f>(1-INDEX(Calib!$H$1:$H$13,$D267))*(1-p_alpha)*M267+S267</f>
        <v/>
      </c>
      <c r="AA267" s="26">
        <f>(1-p_delta_g)*AA266*(1-p_eps_g*$E267)+INDEX(Calib!$E$1:$E$13,$D267)*(INDEX(Calib!$G$1:$G$13,$D267)+p_programme*$H267)</f>
        <v/>
      </c>
      <c r="AB267" s="26">
        <f>AB266*(1-p_eps_k*$E267)+p_lambda_k*(AD267-AB266*(1-p_eps_k*$E267))</f>
        <v/>
      </c>
      <c r="AC267" s="26">
        <f>INDEX(Calib!$R$1:$R$13,$D267)*$F267*(AA266*(1-p_eps_g*$E267))^INDEX(Calib!$Q$1:$Q$13,$D267)*(AB266*(1-p_eps_k*$E267))^p_alpha</f>
        <v/>
      </c>
      <c r="AD267" s="26">
        <f>p_alpha*(1-INDEX(Calib!$H$1:$H$13,$D267))*AC267/(INDEX(Calib!$K$1:$K$13,$D267)+p_delta)</f>
        <v/>
      </c>
      <c r="AE267" s="26">
        <f>AC267+$G267</f>
        <v/>
      </c>
      <c r="AF267" s="26">
        <f>p_programme*($H267+$I267)</f>
        <v/>
      </c>
      <c r="AG267" s="26">
        <f>INDEX(Calib!$I$1:$I$13,$D267)+p_sh_grant*AF267</f>
        <v/>
      </c>
      <c r="AH267" s="26">
        <f>INDEX(Calib!$H$1:$H$13,$D267)*AC267+p_gov_take*$G267+AG267+p_programme*p_pricing*$J267</f>
        <v/>
      </c>
      <c r="AI267" s="26">
        <f>INDEX(Calib!$Y$1:$Y$13,$D267)-INDEX(Calib!$Z$1:$Z$13,$D267)*(AL266/AE266-INDEX(Calib!$AA$1:$AA$13,$D267))</f>
        <v/>
      </c>
      <c r="AJ267" s="26">
        <f>INDEX(Calib!$X$1:$X$13,$D267)+INDEX(Calib!$G$1:$G$13,$D267)+AF267+AI267-AH267</f>
        <v/>
      </c>
      <c r="AK267" s="26">
        <f>p_rk*AM266+AO266*(AL266-AM266)</f>
        <v/>
      </c>
      <c r="AL267" s="26">
        <f>AL266+AK267+AJ267</f>
        <v/>
      </c>
      <c r="AM267" s="26">
        <f>INDEX(Calib!$U$1:$U$13,$D267)+(AM266-INDEX(Calib!$U$1:$U$13,$D267))*(1-p_amort)+p_sh_conc*AF267</f>
        <v/>
      </c>
      <c r="AN267" s="26">
        <f>AL267/AE267</f>
        <v/>
      </c>
      <c r="AO267" s="26">
        <f>INDEX(Calib!$K$1:$K$13,$D267)+p_eta*MAX(0,AN267-INDEX(Calib!$AA$1:$AA$13,$D267))</f>
        <v/>
      </c>
      <c r="AP267" s="26">
        <f>(1-INDEX(Calib!$H$1:$H$13,$D267))*(1-p_alpha)*AC267+AI267</f>
        <v/>
      </c>
      <c r="AQ267" s="26">
        <f>(AE267/O267-1)*100</f>
        <v/>
      </c>
      <c r="AR267" s="26">
        <f>(AE267/AE245-1)*100</f>
        <v/>
      </c>
      <c r="AS267" s="26">
        <f>(O267/O245-1)*100</f>
        <v/>
      </c>
      <c r="AT267" s="26">
        <f>(AN267-X267)*100</f>
        <v/>
      </c>
      <c r="AU267" s="26">
        <f>(AP267/Z267-1)*100</f>
        <v/>
      </c>
      <c r="AV267" s="26">
        <f>(AI267-S267)*100</f>
        <v/>
      </c>
    </row>
    <row r="268">
      <c r="A268" s="25" t="inlineStr">
        <is>
          <t>AGO</t>
        </is>
      </c>
      <c r="B268" s="25" t="n">
        <v>2047</v>
      </c>
      <c r="C268" s="25" t="n">
        <v>23</v>
      </c>
      <c r="D268" s="25" t="n">
        <v>11</v>
      </c>
      <c r="E268" s="25">
        <f>IF(AND(p_dis_year&gt;0,B268=p_dis_year),1,0)</f>
        <v/>
      </c>
      <c r="F268" s="26">
        <f>IF(AND(p_dis_year&gt;0,B268&gt;=p_dis_year),1-p_eps_a*p_rho_a^(B268-p_dis_year),1)</f>
        <v/>
      </c>
      <c r="G268" s="26">
        <f>INDEX(Calib!$N$1:$N$13,$D268)*(1-p_rent_decline*MIN(1,C268/26))</f>
        <v/>
      </c>
      <c r="H268" s="26">
        <f>IF(C268=0,0,SUMIFS(dl_val,dl_iso,$A268,dl_ind,"pub_cap",dl_year,$B268)/100)</f>
        <v/>
      </c>
      <c r="I268" s="26">
        <f>IF(C268=0,0,SUMIFS(dl_val,dl_iso,$A268,dl_ind,"pub_spend",dl_year,$B268)/100)</f>
        <v/>
      </c>
      <c r="J268" s="26">
        <f>IF(C268=0,0,SUMIFS(dl_val,dl_iso,$A268,dl_ind,"rev",dl_year,$B268)/100)</f>
        <v/>
      </c>
      <c r="K268" s="26">
        <f>(1-p_delta_g)*K267*(1-p_eps_g*$E268)+INDEX(Calib!$E$1:$E$13,$D268)*(INDEX(Calib!$G$1:$G$13,$D268)+0*$H268)</f>
        <v/>
      </c>
      <c r="L268" s="26">
        <f>L267*(1-p_eps_k*$E268)+p_lambda_k*(N268-L267*(1-p_eps_k*$E268))</f>
        <v/>
      </c>
      <c r="M268" s="26">
        <f>INDEX(Calib!$R$1:$R$13,$D268)*$F268*(K267*(1-p_eps_g*$E268))^INDEX(Calib!$Q$1:$Q$13,$D268)*(L267*(1-p_eps_k*$E268))^p_alpha</f>
        <v/>
      </c>
      <c r="N268" s="26">
        <f>p_alpha*(1-INDEX(Calib!$H$1:$H$13,$D268))*M268/(INDEX(Calib!$K$1:$K$13,$D268)+p_delta)</f>
        <v/>
      </c>
      <c r="O268" s="26">
        <f>M268+$G268</f>
        <v/>
      </c>
      <c r="P268" s="26">
        <f>0*($H268+$I268)</f>
        <v/>
      </c>
      <c r="Q268" s="26">
        <f>INDEX(Calib!$I$1:$I$13,$D268)+p_sh_grant*P268</f>
        <v/>
      </c>
      <c r="R268" s="26">
        <f>INDEX(Calib!$H$1:$H$13,$D268)*M268+p_gov_take*$G268+Q268+0*p_pricing*$J268</f>
        <v/>
      </c>
      <c r="S268" s="26">
        <f>INDEX(Calib!$Y$1:$Y$13,$D268)-INDEX(Calib!$Z$1:$Z$13,$D268)*(V267/O267-INDEX(Calib!$AA$1:$AA$13,$D268))</f>
        <v/>
      </c>
      <c r="T268" s="26">
        <f>INDEX(Calib!$X$1:$X$13,$D268)+INDEX(Calib!$G$1:$G$13,$D268)+P268+S268-R268</f>
        <v/>
      </c>
      <c r="U268" s="26">
        <f>p_rk*W267+Y267*(V267-W267)</f>
        <v/>
      </c>
      <c r="V268" s="26">
        <f>V267+U268+T268</f>
        <v/>
      </c>
      <c r="W268" s="26">
        <f>INDEX(Calib!$U$1:$U$13,$D268)+(W267-INDEX(Calib!$U$1:$U$13,$D268))*(1-p_amort)+p_sh_conc*P268</f>
        <v/>
      </c>
      <c r="X268" s="26">
        <f>V268/O268</f>
        <v/>
      </c>
      <c r="Y268" s="26">
        <f>INDEX(Calib!$K$1:$K$13,$D268)+p_eta*MAX(0,X268-INDEX(Calib!$AA$1:$AA$13,$D268))</f>
        <v/>
      </c>
      <c r="Z268" s="26">
        <f>(1-INDEX(Calib!$H$1:$H$13,$D268))*(1-p_alpha)*M268+S268</f>
        <v/>
      </c>
      <c r="AA268" s="26">
        <f>(1-p_delta_g)*AA267*(1-p_eps_g*$E268)+INDEX(Calib!$E$1:$E$13,$D268)*(INDEX(Calib!$G$1:$G$13,$D268)+p_programme*$H268)</f>
        <v/>
      </c>
      <c r="AB268" s="26">
        <f>AB267*(1-p_eps_k*$E268)+p_lambda_k*(AD268-AB267*(1-p_eps_k*$E268))</f>
        <v/>
      </c>
      <c r="AC268" s="26">
        <f>INDEX(Calib!$R$1:$R$13,$D268)*$F268*(AA267*(1-p_eps_g*$E268))^INDEX(Calib!$Q$1:$Q$13,$D268)*(AB267*(1-p_eps_k*$E268))^p_alpha</f>
        <v/>
      </c>
      <c r="AD268" s="26">
        <f>p_alpha*(1-INDEX(Calib!$H$1:$H$13,$D268))*AC268/(INDEX(Calib!$K$1:$K$13,$D268)+p_delta)</f>
        <v/>
      </c>
      <c r="AE268" s="26">
        <f>AC268+$G268</f>
        <v/>
      </c>
      <c r="AF268" s="26">
        <f>p_programme*($H268+$I268)</f>
        <v/>
      </c>
      <c r="AG268" s="26">
        <f>INDEX(Calib!$I$1:$I$13,$D268)+p_sh_grant*AF268</f>
        <v/>
      </c>
      <c r="AH268" s="26">
        <f>INDEX(Calib!$H$1:$H$13,$D268)*AC268+p_gov_take*$G268+AG268+p_programme*p_pricing*$J268</f>
        <v/>
      </c>
      <c r="AI268" s="26">
        <f>INDEX(Calib!$Y$1:$Y$13,$D268)-INDEX(Calib!$Z$1:$Z$13,$D268)*(AL267/AE267-INDEX(Calib!$AA$1:$AA$13,$D268))</f>
        <v/>
      </c>
      <c r="AJ268" s="26">
        <f>INDEX(Calib!$X$1:$X$13,$D268)+INDEX(Calib!$G$1:$G$13,$D268)+AF268+AI268-AH268</f>
        <v/>
      </c>
      <c r="AK268" s="26">
        <f>p_rk*AM267+AO267*(AL267-AM267)</f>
        <v/>
      </c>
      <c r="AL268" s="26">
        <f>AL267+AK268+AJ268</f>
        <v/>
      </c>
      <c r="AM268" s="26">
        <f>INDEX(Calib!$U$1:$U$13,$D268)+(AM267-INDEX(Calib!$U$1:$U$13,$D268))*(1-p_amort)+p_sh_conc*AF268</f>
        <v/>
      </c>
      <c r="AN268" s="26">
        <f>AL268/AE268</f>
        <v/>
      </c>
      <c r="AO268" s="26">
        <f>INDEX(Calib!$K$1:$K$13,$D268)+p_eta*MAX(0,AN268-INDEX(Calib!$AA$1:$AA$13,$D268))</f>
        <v/>
      </c>
      <c r="AP268" s="26">
        <f>(1-INDEX(Calib!$H$1:$H$13,$D268))*(1-p_alpha)*AC268+AI268</f>
        <v/>
      </c>
      <c r="AQ268" s="26">
        <f>(AE268/O268-1)*100</f>
        <v/>
      </c>
      <c r="AR268" s="26">
        <f>(AE268/AE245-1)*100</f>
        <v/>
      </c>
      <c r="AS268" s="26">
        <f>(O268/O245-1)*100</f>
        <v/>
      </c>
      <c r="AT268" s="26">
        <f>(AN268-X268)*100</f>
        <v/>
      </c>
      <c r="AU268" s="26">
        <f>(AP268/Z268-1)*100</f>
        <v/>
      </c>
      <c r="AV268" s="26">
        <f>(AI268-S268)*100</f>
        <v/>
      </c>
    </row>
    <row r="269">
      <c r="A269" s="25" t="inlineStr">
        <is>
          <t>AGO</t>
        </is>
      </c>
      <c r="B269" s="25" t="n">
        <v>2048</v>
      </c>
      <c r="C269" s="25" t="n">
        <v>24</v>
      </c>
      <c r="D269" s="25" t="n">
        <v>11</v>
      </c>
      <c r="E269" s="25">
        <f>IF(AND(p_dis_year&gt;0,B269=p_dis_year),1,0)</f>
        <v/>
      </c>
      <c r="F269" s="26">
        <f>IF(AND(p_dis_year&gt;0,B269&gt;=p_dis_year),1-p_eps_a*p_rho_a^(B269-p_dis_year),1)</f>
        <v/>
      </c>
      <c r="G269" s="26">
        <f>INDEX(Calib!$N$1:$N$13,$D269)*(1-p_rent_decline*MIN(1,C269/26))</f>
        <v/>
      </c>
      <c r="H269" s="26">
        <f>IF(C269=0,0,SUMIFS(dl_val,dl_iso,$A269,dl_ind,"pub_cap",dl_year,$B269)/100)</f>
        <v/>
      </c>
      <c r="I269" s="26">
        <f>IF(C269=0,0,SUMIFS(dl_val,dl_iso,$A269,dl_ind,"pub_spend",dl_year,$B269)/100)</f>
        <v/>
      </c>
      <c r="J269" s="26">
        <f>IF(C269=0,0,SUMIFS(dl_val,dl_iso,$A269,dl_ind,"rev",dl_year,$B269)/100)</f>
        <v/>
      </c>
      <c r="K269" s="26">
        <f>(1-p_delta_g)*K268*(1-p_eps_g*$E269)+INDEX(Calib!$E$1:$E$13,$D269)*(INDEX(Calib!$G$1:$G$13,$D269)+0*$H269)</f>
        <v/>
      </c>
      <c r="L269" s="26">
        <f>L268*(1-p_eps_k*$E269)+p_lambda_k*(N269-L268*(1-p_eps_k*$E269))</f>
        <v/>
      </c>
      <c r="M269" s="26">
        <f>INDEX(Calib!$R$1:$R$13,$D269)*$F269*(K268*(1-p_eps_g*$E269))^INDEX(Calib!$Q$1:$Q$13,$D269)*(L268*(1-p_eps_k*$E269))^p_alpha</f>
        <v/>
      </c>
      <c r="N269" s="26">
        <f>p_alpha*(1-INDEX(Calib!$H$1:$H$13,$D269))*M269/(INDEX(Calib!$K$1:$K$13,$D269)+p_delta)</f>
        <v/>
      </c>
      <c r="O269" s="26">
        <f>M269+$G269</f>
        <v/>
      </c>
      <c r="P269" s="26">
        <f>0*($H269+$I269)</f>
        <v/>
      </c>
      <c r="Q269" s="26">
        <f>INDEX(Calib!$I$1:$I$13,$D269)+p_sh_grant*P269</f>
        <v/>
      </c>
      <c r="R269" s="26">
        <f>INDEX(Calib!$H$1:$H$13,$D269)*M269+p_gov_take*$G269+Q269+0*p_pricing*$J269</f>
        <v/>
      </c>
      <c r="S269" s="26">
        <f>INDEX(Calib!$Y$1:$Y$13,$D269)-INDEX(Calib!$Z$1:$Z$13,$D269)*(V268/O268-INDEX(Calib!$AA$1:$AA$13,$D269))</f>
        <v/>
      </c>
      <c r="T269" s="26">
        <f>INDEX(Calib!$X$1:$X$13,$D269)+INDEX(Calib!$G$1:$G$13,$D269)+P269+S269-R269</f>
        <v/>
      </c>
      <c r="U269" s="26">
        <f>p_rk*W268+Y268*(V268-W268)</f>
        <v/>
      </c>
      <c r="V269" s="26">
        <f>V268+U269+T269</f>
        <v/>
      </c>
      <c r="W269" s="26">
        <f>INDEX(Calib!$U$1:$U$13,$D269)+(W268-INDEX(Calib!$U$1:$U$13,$D269))*(1-p_amort)+p_sh_conc*P269</f>
        <v/>
      </c>
      <c r="X269" s="26">
        <f>V269/O269</f>
        <v/>
      </c>
      <c r="Y269" s="26">
        <f>INDEX(Calib!$K$1:$K$13,$D269)+p_eta*MAX(0,X269-INDEX(Calib!$AA$1:$AA$13,$D269))</f>
        <v/>
      </c>
      <c r="Z269" s="26">
        <f>(1-INDEX(Calib!$H$1:$H$13,$D269))*(1-p_alpha)*M269+S269</f>
        <v/>
      </c>
      <c r="AA269" s="26">
        <f>(1-p_delta_g)*AA268*(1-p_eps_g*$E269)+INDEX(Calib!$E$1:$E$13,$D269)*(INDEX(Calib!$G$1:$G$13,$D269)+p_programme*$H269)</f>
        <v/>
      </c>
      <c r="AB269" s="26">
        <f>AB268*(1-p_eps_k*$E269)+p_lambda_k*(AD269-AB268*(1-p_eps_k*$E269))</f>
        <v/>
      </c>
      <c r="AC269" s="26">
        <f>INDEX(Calib!$R$1:$R$13,$D269)*$F269*(AA268*(1-p_eps_g*$E269))^INDEX(Calib!$Q$1:$Q$13,$D269)*(AB268*(1-p_eps_k*$E269))^p_alpha</f>
        <v/>
      </c>
      <c r="AD269" s="26">
        <f>p_alpha*(1-INDEX(Calib!$H$1:$H$13,$D269))*AC269/(INDEX(Calib!$K$1:$K$13,$D269)+p_delta)</f>
        <v/>
      </c>
      <c r="AE269" s="26">
        <f>AC269+$G269</f>
        <v/>
      </c>
      <c r="AF269" s="26">
        <f>p_programme*($H269+$I269)</f>
        <v/>
      </c>
      <c r="AG269" s="26">
        <f>INDEX(Calib!$I$1:$I$13,$D269)+p_sh_grant*AF269</f>
        <v/>
      </c>
      <c r="AH269" s="26">
        <f>INDEX(Calib!$H$1:$H$13,$D269)*AC269+p_gov_take*$G269+AG269+p_programme*p_pricing*$J269</f>
        <v/>
      </c>
      <c r="AI269" s="26">
        <f>INDEX(Calib!$Y$1:$Y$13,$D269)-INDEX(Calib!$Z$1:$Z$13,$D269)*(AL268/AE268-INDEX(Calib!$AA$1:$AA$13,$D269))</f>
        <v/>
      </c>
      <c r="AJ269" s="26">
        <f>INDEX(Calib!$X$1:$X$13,$D269)+INDEX(Calib!$G$1:$G$13,$D269)+AF269+AI269-AH269</f>
        <v/>
      </c>
      <c r="AK269" s="26">
        <f>p_rk*AM268+AO268*(AL268-AM268)</f>
        <v/>
      </c>
      <c r="AL269" s="26">
        <f>AL268+AK269+AJ269</f>
        <v/>
      </c>
      <c r="AM269" s="26">
        <f>INDEX(Calib!$U$1:$U$13,$D269)+(AM268-INDEX(Calib!$U$1:$U$13,$D269))*(1-p_amort)+p_sh_conc*AF269</f>
        <v/>
      </c>
      <c r="AN269" s="26">
        <f>AL269/AE269</f>
        <v/>
      </c>
      <c r="AO269" s="26">
        <f>INDEX(Calib!$K$1:$K$13,$D269)+p_eta*MAX(0,AN269-INDEX(Calib!$AA$1:$AA$13,$D269))</f>
        <v/>
      </c>
      <c r="AP269" s="26">
        <f>(1-INDEX(Calib!$H$1:$H$13,$D269))*(1-p_alpha)*AC269+AI269</f>
        <v/>
      </c>
      <c r="AQ269" s="26">
        <f>(AE269/O269-1)*100</f>
        <v/>
      </c>
      <c r="AR269" s="26">
        <f>(AE269/AE245-1)*100</f>
        <v/>
      </c>
      <c r="AS269" s="26">
        <f>(O269/O245-1)*100</f>
        <v/>
      </c>
      <c r="AT269" s="26">
        <f>(AN269-X269)*100</f>
        <v/>
      </c>
      <c r="AU269" s="26">
        <f>(AP269/Z269-1)*100</f>
        <v/>
      </c>
      <c r="AV269" s="26">
        <f>(AI269-S269)*100</f>
        <v/>
      </c>
    </row>
    <row r="270">
      <c r="A270" s="25" t="inlineStr">
        <is>
          <t>AGO</t>
        </is>
      </c>
      <c r="B270" s="25" t="n">
        <v>2049</v>
      </c>
      <c r="C270" s="25" t="n">
        <v>25</v>
      </c>
      <c r="D270" s="25" t="n">
        <v>11</v>
      </c>
      <c r="E270" s="25">
        <f>IF(AND(p_dis_year&gt;0,B270=p_dis_year),1,0)</f>
        <v/>
      </c>
      <c r="F270" s="26">
        <f>IF(AND(p_dis_year&gt;0,B270&gt;=p_dis_year),1-p_eps_a*p_rho_a^(B270-p_dis_year),1)</f>
        <v/>
      </c>
      <c r="G270" s="26">
        <f>INDEX(Calib!$N$1:$N$13,$D270)*(1-p_rent_decline*MIN(1,C270/26))</f>
        <v/>
      </c>
      <c r="H270" s="26">
        <f>IF(C270=0,0,SUMIFS(dl_val,dl_iso,$A270,dl_ind,"pub_cap",dl_year,$B270)/100)</f>
        <v/>
      </c>
      <c r="I270" s="26">
        <f>IF(C270=0,0,SUMIFS(dl_val,dl_iso,$A270,dl_ind,"pub_spend",dl_year,$B270)/100)</f>
        <v/>
      </c>
      <c r="J270" s="26">
        <f>IF(C270=0,0,SUMIFS(dl_val,dl_iso,$A270,dl_ind,"rev",dl_year,$B270)/100)</f>
        <v/>
      </c>
      <c r="K270" s="26">
        <f>(1-p_delta_g)*K269*(1-p_eps_g*$E270)+INDEX(Calib!$E$1:$E$13,$D270)*(INDEX(Calib!$G$1:$G$13,$D270)+0*$H270)</f>
        <v/>
      </c>
      <c r="L270" s="26">
        <f>L269*(1-p_eps_k*$E270)+p_lambda_k*(N270-L269*(1-p_eps_k*$E270))</f>
        <v/>
      </c>
      <c r="M270" s="26">
        <f>INDEX(Calib!$R$1:$R$13,$D270)*$F270*(K269*(1-p_eps_g*$E270))^INDEX(Calib!$Q$1:$Q$13,$D270)*(L269*(1-p_eps_k*$E270))^p_alpha</f>
        <v/>
      </c>
      <c r="N270" s="26">
        <f>p_alpha*(1-INDEX(Calib!$H$1:$H$13,$D270))*M270/(INDEX(Calib!$K$1:$K$13,$D270)+p_delta)</f>
        <v/>
      </c>
      <c r="O270" s="26">
        <f>M270+$G270</f>
        <v/>
      </c>
      <c r="P270" s="26">
        <f>0*($H270+$I270)</f>
        <v/>
      </c>
      <c r="Q270" s="26">
        <f>INDEX(Calib!$I$1:$I$13,$D270)+p_sh_grant*P270</f>
        <v/>
      </c>
      <c r="R270" s="26">
        <f>INDEX(Calib!$H$1:$H$13,$D270)*M270+p_gov_take*$G270+Q270+0*p_pricing*$J270</f>
        <v/>
      </c>
      <c r="S270" s="26">
        <f>INDEX(Calib!$Y$1:$Y$13,$D270)-INDEX(Calib!$Z$1:$Z$13,$D270)*(V269/O269-INDEX(Calib!$AA$1:$AA$13,$D270))</f>
        <v/>
      </c>
      <c r="T270" s="26">
        <f>INDEX(Calib!$X$1:$X$13,$D270)+INDEX(Calib!$G$1:$G$13,$D270)+P270+S270-R270</f>
        <v/>
      </c>
      <c r="U270" s="26">
        <f>p_rk*W269+Y269*(V269-W269)</f>
        <v/>
      </c>
      <c r="V270" s="26">
        <f>V269+U270+T270</f>
        <v/>
      </c>
      <c r="W270" s="26">
        <f>INDEX(Calib!$U$1:$U$13,$D270)+(W269-INDEX(Calib!$U$1:$U$13,$D270))*(1-p_amort)+p_sh_conc*P270</f>
        <v/>
      </c>
      <c r="X270" s="26">
        <f>V270/O270</f>
        <v/>
      </c>
      <c r="Y270" s="26">
        <f>INDEX(Calib!$K$1:$K$13,$D270)+p_eta*MAX(0,X270-INDEX(Calib!$AA$1:$AA$13,$D270))</f>
        <v/>
      </c>
      <c r="Z270" s="26">
        <f>(1-INDEX(Calib!$H$1:$H$13,$D270))*(1-p_alpha)*M270+S270</f>
        <v/>
      </c>
      <c r="AA270" s="26">
        <f>(1-p_delta_g)*AA269*(1-p_eps_g*$E270)+INDEX(Calib!$E$1:$E$13,$D270)*(INDEX(Calib!$G$1:$G$13,$D270)+p_programme*$H270)</f>
        <v/>
      </c>
      <c r="AB270" s="26">
        <f>AB269*(1-p_eps_k*$E270)+p_lambda_k*(AD270-AB269*(1-p_eps_k*$E270))</f>
        <v/>
      </c>
      <c r="AC270" s="26">
        <f>INDEX(Calib!$R$1:$R$13,$D270)*$F270*(AA269*(1-p_eps_g*$E270))^INDEX(Calib!$Q$1:$Q$13,$D270)*(AB269*(1-p_eps_k*$E270))^p_alpha</f>
        <v/>
      </c>
      <c r="AD270" s="26">
        <f>p_alpha*(1-INDEX(Calib!$H$1:$H$13,$D270))*AC270/(INDEX(Calib!$K$1:$K$13,$D270)+p_delta)</f>
        <v/>
      </c>
      <c r="AE270" s="26">
        <f>AC270+$G270</f>
        <v/>
      </c>
      <c r="AF270" s="26">
        <f>p_programme*($H270+$I270)</f>
        <v/>
      </c>
      <c r="AG270" s="26">
        <f>INDEX(Calib!$I$1:$I$13,$D270)+p_sh_grant*AF270</f>
        <v/>
      </c>
      <c r="AH270" s="26">
        <f>INDEX(Calib!$H$1:$H$13,$D270)*AC270+p_gov_take*$G270+AG270+p_programme*p_pricing*$J270</f>
        <v/>
      </c>
      <c r="AI270" s="26">
        <f>INDEX(Calib!$Y$1:$Y$13,$D270)-INDEX(Calib!$Z$1:$Z$13,$D270)*(AL269/AE269-INDEX(Calib!$AA$1:$AA$13,$D270))</f>
        <v/>
      </c>
      <c r="AJ270" s="26">
        <f>INDEX(Calib!$X$1:$X$13,$D270)+INDEX(Calib!$G$1:$G$13,$D270)+AF270+AI270-AH270</f>
        <v/>
      </c>
      <c r="AK270" s="26">
        <f>p_rk*AM269+AO269*(AL269-AM269)</f>
        <v/>
      </c>
      <c r="AL270" s="26">
        <f>AL269+AK270+AJ270</f>
        <v/>
      </c>
      <c r="AM270" s="26">
        <f>INDEX(Calib!$U$1:$U$13,$D270)+(AM269-INDEX(Calib!$U$1:$U$13,$D270))*(1-p_amort)+p_sh_conc*AF270</f>
        <v/>
      </c>
      <c r="AN270" s="26">
        <f>AL270/AE270</f>
        <v/>
      </c>
      <c r="AO270" s="26">
        <f>INDEX(Calib!$K$1:$K$13,$D270)+p_eta*MAX(0,AN270-INDEX(Calib!$AA$1:$AA$13,$D270))</f>
        <v/>
      </c>
      <c r="AP270" s="26">
        <f>(1-INDEX(Calib!$H$1:$H$13,$D270))*(1-p_alpha)*AC270+AI270</f>
        <v/>
      </c>
      <c r="AQ270" s="26">
        <f>(AE270/O270-1)*100</f>
        <v/>
      </c>
      <c r="AR270" s="26">
        <f>(AE270/AE245-1)*100</f>
        <v/>
      </c>
      <c r="AS270" s="26">
        <f>(O270/O245-1)*100</f>
        <v/>
      </c>
      <c r="AT270" s="26">
        <f>(AN270-X270)*100</f>
        <v/>
      </c>
      <c r="AU270" s="26">
        <f>(AP270/Z270-1)*100</f>
        <v/>
      </c>
      <c r="AV270" s="26">
        <f>(AI270-S270)*100</f>
        <v/>
      </c>
    </row>
    <row r="271">
      <c r="A271" s="25" t="inlineStr">
        <is>
          <t>AGO</t>
        </is>
      </c>
      <c r="B271" s="25" t="n">
        <v>2050</v>
      </c>
      <c r="C271" s="25" t="n">
        <v>26</v>
      </c>
      <c r="D271" s="25" t="n">
        <v>11</v>
      </c>
      <c r="E271" s="25">
        <f>IF(AND(p_dis_year&gt;0,B271=p_dis_year),1,0)</f>
        <v/>
      </c>
      <c r="F271" s="26">
        <f>IF(AND(p_dis_year&gt;0,B271&gt;=p_dis_year),1-p_eps_a*p_rho_a^(B271-p_dis_year),1)</f>
        <v/>
      </c>
      <c r="G271" s="26">
        <f>INDEX(Calib!$N$1:$N$13,$D271)*(1-p_rent_decline*MIN(1,C271/26))</f>
        <v/>
      </c>
      <c r="H271" s="26">
        <f>IF(C271=0,0,SUMIFS(dl_val,dl_iso,$A271,dl_ind,"pub_cap",dl_year,$B271)/100)</f>
        <v/>
      </c>
      <c r="I271" s="26">
        <f>IF(C271=0,0,SUMIFS(dl_val,dl_iso,$A271,dl_ind,"pub_spend",dl_year,$B271)/100)</f>
        <v/>
      </c>
      <c r="J271" s="26">
        <f>IF(C271=0,0,SUMIFS(dl_val,dl_iso,$A271,dl_ind,"rev",dl_year,$B271)/100)</f>
        <v/>
      </c>
      <c r="K271" s="26">
        <f>(1-p_delta_g)*K270*(1-p_eps_g*$E271)+INDEX(Calib!$E$1:$E$13,$D271)*(INDEX(Calib!$G$1:$G$13,$D271)+0*$H271)</f>
        <v/>
      </c>
      <c r="L271" s="26">
        <f>L270*(1-p_eps_k*$E271)+p_lambda_k*(N271-L270*(1-p_eps_k*$E271))</f>
        <v/>
      </c>
      <c r="M271" s="26">
        <f>INDEX(Calib!$R$1:$R$13,$D271)*$F271*(K270*(1-p_eps_g*$E271))^INDEX(Calib!$Q$1:$Q$13,$D271)*(L270*(1-p_eps_k*$E271))^p_alpha</f>
        <v/>
      </c>
      <c r="N271" s="26">
        <f>p_alpha*(1-INDEX(Calib!$H$1:$H$13,$D271))*M271/(INDEX(Calib!$K$1:$K$13,$D271)+p_delta)</f>
        <v/>
      </c>
      <c r="O271" s="26">
        <f>M271+$G271</f>
        <v/>
      </c>
      <c r="P271" s="26">
        <f>0*($H271+$I271)</f>
        <v/>
      </c>
      <c r="Q271" s="26">
        <f>INDEX(Calib!$I$1:$I$13,$D271)+p_sh_grant*P271</f>
        <v/>
      </c>
      <c r="R271" s="26">
        <f>INDEX(Calib!$H$1:$H$13,$D271)*M271+p_gov_take*$G271+Q271+0*p_pricing*$J271</f>
        <v/>
      </c>
      <c r="S271" s="26">
        <f>INDEX(Calib!$Y$1:$Y$13,$D271)-INDEX(Calib!$Z$1:$Z$13,$D271)*(V270/O270-INDEX(Calib!$AA$1:$AA$13,$D271))</f>
        <v/>
      </c>
      <c r="T271" s="26">
        <f>INDEX(Calib!$X$1:$X$13,$D271)+INDEX(Calib!$G$1:$G$13,$D271)+P271+S271-R271</f>
        <v/>
      </c>
      <c r="U271" s="26">
        <f>p_rk*W270+Y270*(V270-W270)</f>
        <v/>
      </c>
      <c r="V271" s="26">
        <f>V270+U271+T271</f>
        <v/>
      </c>
      <c r="W271" s="26">
        <f>INDEX(Calib!$U$1:$U$13,$D271)+(W270-INDEX(Calib!$U$1:$U$13,$D271))*(1-p_amort)+p_sh_conc*P271</f>
        <v/>
      </c>
      <c r="X271" s="26">
        <f>V271/O271</f>
        <v/>
      </c>
      <c r="Y271" s="26">
        <f>INDEX(Calib!$K$1:$K$13,$D271)+p_eta*MAX(0,X271-INDEX(Calib!$AA$1:$AA$13,$D271))</f>
        <v/>
      </c>
      <c r="Z271" s="26">
        <f>(1-INDEX(Calib!$H$1:$H$13,$D271))*(1-p_alpha)*M271+S271</f>
        <v/>
      </c>
      <c r="AA271" s="26">
        <f>(1-p_delta_g)*AA270*(1-p_eps_g*$E271)+INDEX(Calib!$E$1:$E$13,$D271)*(INDEX(Calib!$G$1:$G$13,$D271)+p_programme*$H271)</f>
        <v/>
      </c>
      <c r="AB271" s="26">
        <f>AB270*(1-p_eps_k*$E271)+p_lambda_k*(AD271-AB270*(1-p_eps_k*$E271))</f>
        <v/>
      </c>
      <c r="AC271" s="26">
        <f>INDEX(Calib!$R$1:$R$13,$D271)*$F271*(AA270*(1-p_eps_g*$E271))^INDEX(Calib!$Q$1:$Q$13,$D271)*(AB270*(1-p_eps_k*$E271))^p_alpha</f>
        <v/>
      </c>
      <c r="AD271" s="26">
        <f>p_alpha*(1-INDEX(Calib!$H$1:$H$13,$D271))*AC271/(INDEX(Calib!$K$1:$K$13,$D271)+p_delta)</f>
        <v/>
      </c>
      <c r="AE271" s="26">
        <f>AC271+$G271</f>
        <v/>
      </c>
      <c r="AF271" s="26">
        <f>p_programme*($H271+$I271)</f>
        <v/>
      </c>
      <c r="AG271" s="26">
        <f>INDEX(Calib!$I$1:$I$13,$D271)+p_sh_grant*AF271</f>
        <v/>
      </c>
      <c r="AH271" s="26">
        <f>INDEX(Calib!$H$1:$H$13,$D271)*AC271+p_gov_take*$G271+AG271+p_programme*p_pricing*$J271</f>
        <v/>
      </c>
      <c r="AI271" s="26">
        <f>INDEX(Calib!$Y$1:$Y$13,$D271)-INDEX(Calib!$Z$1:$Z$13,$D271)*(AL270/AE270-INDEX(Calib!$AA$1:$AA$13,$D271))</f>
        <v/>
      </c>
      <c r="AJ271" s="26">
        <f>INDEX(Calib!$X$1:$X$13,$D271)+INDEX(Calib!$G$1:$G$13,$D271)+AF271+AI271-AH271</f>
        <v/>
      </c>
      <c r="AK271" s="26">
        <f>p_rk*AM270+AO270*(AL270-AM270)</f>
        <v/>
      </c>
      <c r="AL271" s="26">
        <f>AL270+AK271+AJ271</f>
        <v/>
      </c>
      <c r="AM271" s="26">
        <f>INDEX(Calib!$U$1:$U$13,$D271)+(AM270-INDEX(Calib!$U$1:$U$13,$D271))*(1-p_amort)+p_sh_conc*AF271</f>
        <v/>
      </c>
      <c r="AN271" s="26">
        <f>AL271/AE271</f>
        <v/>
      </c>
      <c r="AO271" s="26">
        <f>INDEX(Calib!$K$1:$K$13,$D271)+p_eta*MAX(0,AN271-INDEX(Calib!$AA$1:$AA$13,$D271))</f>
        <v/>
      </c>
      <c r="AP271" s="26">
        <f>(1-INDEX(Calib!$H$1:$H$13,$D271))*(1-p_alpha)*AC271+AI271</f>
        <v/>
      </c>
      <c r="AQ271" s="26">
        <f>(AE271/O271-1)*100</f>
        <v/>
      </c>
      <c r="AR271" s="26">
        <f>(AE271/AE245-1)*100</f>
        <v/>
      </c>
      <c r="AS271" s="26">
        <f>(O271/O245-1)*100</f>
        <v/>
      </c>
      <c r="AT271" s="26">
        <f>(AN271-X271)*100</f>
        <v/>
      </c>
      <c r="AU271" s="26">
        <f>(AP271/Z271-1)*100</f>
        <v/>
      </c>
      <c r="AV271" s="26">
        <f>(AI271-S271)*100</f>
        <v/>
      </c>
    </row>
    <row r="272">
      <c r="A272" s="25" t="inlineStr">
        <is>
          <t>COG</t>
        </is>
      </c>
      <c r="B272" s="25" t="n">
        <v>2024</v>
      </c>
      <c r="C272" s="25" t="n">
        <v>0</v>
      </c>
      <c r="D272" s="25" t="n">
        <v>12</v>
      </c>
      <c r="E272" s="25">
        <f>IF(AND(p_dis_year&gt;0,B272=p_dis_year),1,0)</f>
        <v/>
      </c>
      <c r="F272" s="26">
        <f>IF(AND(p_dis_year&gt;0,B272&gt;=p_dis_year),1-p_eps_a*p_rho_a^(B272-p_dis_year),1)</f>
        <v/>
      </c>
      <c r="G272" s="26">
        <f>INDEX(Calib!$N$1:$N$13,$D272)*(1-p_rent_decline*MIN(1,C272/26))</f>
        <v/>
      </c>
      <c r="H272" s="26">
        <f>IF(C272=0,0,SUMIFS(dl_val,dl_iso,$A272,dl_ind,"pub_cap",dl_year,$B272)/100)</f>
        <v/>
      </c>
      <c r="I272" s="26">
        <f>IF(C272=0,0,SUMIFS(dl_val,dl_iso,$A272,dl_ind,"pub_spend",dl_year,$B272)/100)</f>
        <v/>
      </c>
      <c r="J272" s="26">
        <f>IF(C272=0,0,SUMIFS(dl_val,dl_iso,$A272,dl_ind,"rev",dl_year,$B272)/100)</f>
        <v/>
      </c>
      <c r="K272" s="26">
        <f>INDEX(Calib!$P$1:$P$13,$D272)</f>
        <v/>
      </c>
      <c r="L272" s="26">
        <f>INDEX(Calib!$O$1:$O$13,$D272)</f>
        <v/>
      </c>
      <c r="M272" s="26">
        <f>1</f>
        <v/>
      </c>
      <c r="N272" s="26">
        <f>INDEX(Calib!$O$1:$O$13,$D272)</f>
        <v/>
      </c>
      <c r="O272" s="26">
        <f>INDEX(Calib!$S$1:$S$13,$D272)</f>
        <v/>
      </c>
      <c r="P272" s="26">
        <f>0</f>
        <v/>
      </c>
      <c r="Q272" s="26">
        <f>INDEX(Calib!$I$1:$I$13,$D272)</f>
        <v/>
      </c>
      <c r="R272" s="26">
        <f>INDEX(Calib!$W$1:$W$13,$D272)</f>
        <v/>
      </c>
      <c r="S272" s="26">
        <f>INDEX(Calib!$Y$1:$Y$13,$D272)</f>
        <v/>
      </c>
      <c r="T272" s="26">
        <f>-INDEX(Calib!$V$1:$V$13,$D272)</f>
        <v/>
      </c>
      <c r="U272" s="26">
        <f>INDEX(Calib!$V$1:$V$13,$D272)</f>
        <v/>
      </c>
      <c r="V272" s="26">
        <f>INDEX(Calib!$T$1:$T$13,$D272)</f>
        <v/>
      </c>
      <c r="W272" s="26">
        <f>INDEX(Calib!$U$1:$U$13,$D272)</f>
        <v/>
      </c>
      <c r="X272" s="26">
        <f>V272/O272</f>
        <v/>
      </c>
      <c r="Y272" s="26">
        <f>INDEX(Calib!$K$1:$K$13,$D272)</f>
        <v/>
      </c>
      <c r="Z272" s="26">
        <f>(1-INDEX(Calib!$H$1:$H$13,$D272))*(1-p_alpha)*M272+S272</f>
        <v/>
      </c>
      <c r="AA272" s="26">
        <f>INDEX(Calib!$P$1:$P$13,$D272)</f>
        <v/>
      </c>
      <c r="AB272" s="26">
        <f>INDEX(Calib!$O$1:$O$13,$D272)</f>
        <v/>
      </c>
      <c r="AC272" s="26">
        <f>1</f>
        <v/>
      </c>
      <c r="AD272" s="26">
        <f>INDEX(Calib!$O$1:$O$13,$D272)</f>
        <v/>
      </c>
      <c r="AE272" s="26">
        <f>INDEX(Calib!$S$1:$S$13,$D272)</f>
        <v/>
      </c>
      <c r="AF272" s="26">
        <f>0</f>
        <v/>
      </c>
      <c r="AG272" s="26">
        <f>INDEX(Calib!$I$1:$I$13,$D272)</f>
        <v/>
      </c>
      <c r="AH272" s="26">
        <f>INDEX(Calib!$W$1:$W$13,$D272)</f>
        <v/>
      </c>
      <c r="AI272" s="26">
        <f>INDEX(Calib!$Y$1:$Y$13,$D272)</f>
        <v/>
      </c>
      <c r="AJ272" s="26">
        <f>-INDEX(Calib!$V$1:$V$13,$D272)</f>
        <v/>
      </c>
      <c r="AK272" s="26">
        <f>INDEX(Calib!$V$1:$V$13,$D272)</f>
        <v/>
      </c>
      <c r="AL272" s="26">
        <f>INDEX(Calib!$T$1:$T$13,$D272)</f>
        <v/>
      </c>
      <c r="AM272" s="26">
        <f>INDEX(Calib!$U$1:$U$13,$D272)</f>
        <v/>
      </c>
      <c r="AN272" s="26">
        <f>AL272/AE272</f>
        <v/>
      </c>
      <c r="AO272" s="26">
        <f>INDEX(Calib!$K$1:$K$13,$D272)</f>
        <v/>
      </c>
      <c r="AP272" s="26">
        <f>(1-INDEX(Calib!$H$1:$H$13,$D272))*(1-p_alpha)*AC272+AI272</f>
        <v/>
      </c>
      <c r="AQ272" s="26">
        <f>(AE272/O272-1)*100</f>
        <v/>
      </c>
      <c r="AR272" s="26">
        <f>(AE272/AE272-1)*100</f>
        <v/>
      </c>
      <c r="AS272" s="26">
        <f>(O272/O272-1)*100</f>
        <v/>
      </c>
      <c r="AT272" s="26">
        <f>(AN272-X272)*100</f>
        <v/>
      </c>
      <c r="AU272" s="26">
        <f>(AP272/Z272-1)*100</f>
        <v/>
      </c>
      <c r="AV272" s="26">
        <f>(AI272-S272)*100</f>
        <v/>
      </c>
    </row>
    <row r="273">
      <c r="A273" s="25" t="inlineStr">
        <is>
          <t>COG</t>
        </is>
      </c>
      <c r="B273" s="25" t="n">
        <v>2025</v>
      </c>
      <c r="C273" s="25" t="n">
        <v>1</v>
      </c>
      <c r="D273" s="25" t="n">
        <v>12</v>
      </c>
      <c r="E273" s="25">
        <f>IF(AND(p_dis_year&gt;0,B273=p_dis_year),1,0)</f>
        <v/>
      </c>
      <c r="F273" s="26">
        <f>IF(AND(p_dis_year&gt;0,B273&gt;=p_dis_year),1-p_eps_a*p_rho_a^(B273-p_dis_year),1)</f>
        <v/>
      </c>
      <c r="G273" s="26">
        <f>INDEX(Calib!$N$1:$N$13,$D273)*(1-p_rent_decline*MIN(1,C273/26))</f>
        <v/>
      </c>
      <c r="H273" s="26">
        <f>IF(C273=0,0,SUMIFS(dl_val,dl_iso,$A273,dl_ind,"pub_cap",dl_year,$B273)/100)</f>
        <v/>
      </c>
      <c r="I273" s="26">
        <f>IF(C273=0,0,SUMIFS(dl_val,dl_iso,$A273,dl_ind,"pub_spend",dl_year,$B273)/100)</f>
        <v/>
      </c>
      <c r="J273" s="26">
        <f>IF(C273=0,0,SUMIFS(dl_val,dl_iso,$A273,dl_ind,"rev",dl_year,$B273)/100)</f>
        <v/>
      </c>
      <c r="K273" s="26">
        <f>(1-p_delta_g)*K272*(1-p_eps_g*$E273)+INDEX(Calib!$E$1:$E$13,$D273)*(INDEX(Calib!$G$1:$G$13,$D273)+0*$H273)</f>
        <v/>
      </c>
      <c r="L273" s="26">
        <f>L272*(1-p_eps_k*$E273)+p_lambda_k*(N273-L272*(1-p_eps_k*$E273))</f>
        <v/>
      </c>
      <c r="M273" s="26">
        <f>INDEX(Calib!$R$1:$R$13,$D273)*$F273*(K272*(1-p_eps_g*$E273))^INDEX(Calib!$Q$1:$Q$13,$D273)*(L272*(1-p_eps_k*$E273))^p_alpha</f>
        <v/>
      </c>
      <c r="N273" s="26">
        <f>p_alpha*(1-INDEX(Calib!$H$1:$H$13,$D273))*M273/(INDEX(Calib!$K$1:$K$13,$D273)+p_delta)</f>
        <v/>
      </c>
      <c r="O273" s="26">
        <f>M273+$G273</f>
        <v/>
      </c>
      <c r="P273" s="26">
        <f>0*($H273+$I273)</f>
        <v/>
      </c>
      <c r="Q273" s="26">
        <f>INDEX(Calib!$I$1:$I$13,$D273)+p_sh_grant*P273</f>
        <v/>
      </c>
      <c r="R273" s="26">
        <f>INDEX(Calib!$H$1:$H$13,$D273)*M273+p_gov_take*$G273+Q273+0*p_pricing*$J273</f>
        <v/>
      </c>
      <c r="S273" s="26">
        <f>INDEX(Calib!$Y$1:$Y$13,$D273)-INDEX(Calib!$Z$1:$Z$13,$D273)*(V272/O272-INDEX(Calib!$AA$1:$AA$13,$D273))</f>
        <v/>
      </c>
      <c r="T273" s="26">
        <f>INDEX(Calib!$X$1:$X$13,$D273)+INDEX(Calib!$G$1:$G$13,$D273)+P273+S273-R273</f>
        <v/>
      </c>
      <c r="U273" s="26">
        <f>p_rk*W272+Y272*(V272-W272)</f>
        <v/>
      </c>
      <c r="V273" s="26">
        <f>V272+U273+T273</f>
        <v/>
      </c>
      <c r="W273" s="26">
        <f>INDEX(Calib!$U$1:$U$13,$D273)+(W272-INDEX(Calib!$U$1:$U$13,$D273))*(1-p_amort)+p_sh_conc*P273</f>
        <v/>
      </c>
      <c r="X273" s="26">
        <f>V273/O273</f>
        <v/>
      </c>
      <c r="Y273" s="26">
        <f>INDEX(Calib!$K$1:$K$13,$D273)+p_eta*MAX(0,X273-INDEX(Calib!$AA$1:$AA$13,$D273))</f>
        <v/>
      </c>
      <c r="Z273" s="26">
        <f>(1-INDEX(Calib!$H$1:$H$13,$D273))*(1-p_alpha)*M273+S273</f>
        <v/>
      </c>
      <c r="AA273" s="26">
        <f>(1-p_delta_g)*AA272*(1-p_eps_g*$E273)+INDEX(Calib!$E$1:$E$13,$D273)*(INDEX(Calib!$G$1:$G$13,$D273)+p_programme*$H273)</f>
        <v/>
      </c>
      <c r="AB273" s="26">
        <f>AB272*(1-p_eps_k*$E273)+p_lambda_k*(AD273-AB272*(1-p_eps_k*$E273))</f>
        <v/>
      </c>
      <c r="AC273" s="26">
        <f>INDEX(Calib!$R$1:$R$13,$D273)*$F273*(AA272*(1-p_eps_g*$E273))^INDEX(Calib!$Q$1:$Q$13,$D273)*(AB272*(1-p_eps_k*$E273))^p_alpha</f>
        <v/>
      </c>
      <c r="AD273" s="26">
        <f>p_alpha*(1-INDEX(Calib!$H$1:$H$13,$D273))*AC273/(INDEX(Calib!$K$1:$K$13,$D273)+p_delta)</f>
        <v/>
      </c>
      <c r="AE273" s="26">
        <f>AC273+$G273</f>
        <v/>
      </c>
      <c r="AF273" s="26">
        <f>p_programme*($H273+$I273)</f>
        <v/>
      </c>
      <c r="AG273" s="26">
        <f>INDEX(Calib!$I$1:$I$13,$D273)+p_sh_grant*AF273</f>
        <v/>
      </c>
      <c r="AH273" s="26">
        <f>INDEX(Calib!$H$1:$H$13,$D273)*AC273+p_gov_take*$G273+AG273+p_programme*p_pricing*$J273</f>
        <v/>
      </c>
      <c r="AI273" s="26">
        <f>INDEX(Calib!$Y$1:$Y$13,$D273)-INDEX(Calib!$Z$1:$Z$13,$D273)*(AL272/AE272-INDEX(Calib!$AA$1:$AA$13,$D273))</f>
        <v/>
      </c>
      <c r="AJ273" s="26">
        <f>INDEX(Calib!$X$1:$X$13,$D273)+INDEX(Calib!$G$1:$G$13,$D273)+AF273+AI273-AH273</f>
        <v/>
      </c>
      <c r="AK273" s="26">
        <f>p_rk*AM272+AO272*(AL272-AM272)</f>
        <v/>
      </c>
      <c r="AL273" s="26">
        <f>AL272+AK273+AJ273</f>
        <v/>
      </c>
      <c r="AM273" s="26">
        <f>INDEX(Calib!$U$1:$U$13,$D273)+(AM272-INDEX(Calib!$U$1:$U$13,$D273))*(1-p_amort)+p_sh_conc*AF273</f>
        <v/>
      </c>
      <c r="AN273" s="26">
        <f>AL273/AE273</f>
        <v/>
      </c>
      <c r="AO273" s="26">
        <f>INDEX(Calib!$K$1:$K$13,$D273)+p_eta*MAX(0,AN273-INDEX(Calib!$AA$1:$AA$13,$D273))</f>
        <v/>
      </c>
      <c r="AP273" s="26">
        <f>(1-INDEX(Calib!$H$1:$H$13,$D273))*(1-p_alpha)*AC273+AI273</f>
        <v/>
      </c>
      <c r="AQ273" s="26">
        <f>(AE273/O273-1)*100</f>
        <v/>
      </c>
      <c r="AR273" s="26">
        <f>(AE273/AE272-1)*100</f>
        <v/>
      </c>
      <c r="AS273" s="26">
        <f>(O273/O272-1)*100</f>
        <v/>
      </c>
      <c r="AT273" s="26">
        <f>(AN273-X273)*100</f>
        <v/>
      </c>
      <c r="AU273" s="26">
        <f>(AP273/Z273-1)*100</f>
        <v/>
      </c>
      <c r="AV273" s="26">
        <f>(AI273-S273)*100</f>
        <v/>
      </c>
    </row>
    <row r="274">
      <c r="A274" s="25" t="inlineStr">
        <is>
          <t>COG</t>
        </is>
      </c>
      <c r="B274" s="25" t="n">
        <v>2026</v>
      </c>
      <c r="C274" s="25" t="n">
        <v>2</v>
      </c>
      <c r="D274" s="25" t="n">
        <v>12</v>
      </c>
      <c r="E274" s="25">
        <f>IF(AND(p_dis_year&gt;0,B274=p_dis_year),1,0)</f>
        <v/>
      </c>
      <c r="F274" s="26">
        <f>IF(AND(p_dis_year&gt;0,B274&gt;=p_dis_year),1-p_eps_a*p_rho_a^(B274-p_dis_year),1)</f>
        <v/>
      </c>
      <c r="G274" s="26">
        <f>INDEX(Calib!$N$1:$N$13,$D274)*(1-p_rent_decline*MIN(1,C274/26))</f>
        <v/>
      </c>
      <c r="H274" s="26">
        <f>IF(C274=0,0,SUMIFS(dl_val,dl_iso,$A274,dl_ind,"pub_cap",dl_year,$B274)/100)</f>
        <v/>
      </c>
      <c r="I274" s="26">
        <f>IF(C274=0,0,SUMIFS(dl_val,dl_iso,$A274,dl_ind,"pub_spend",dl_year,$B274)/100)</f>
        <v/>
      </c>
      <c r="J274" s="26">
        <f>IF(C274=0,0,SUMIFS(dl_val,dl_iso,$A274,dl_ind,"rev",dl_year,$B274)/100)</f>
        <v/>
      </c>
      <c r="K274" s="26">
        <f>(1-p_delta_g)*K273*(1-p_eps_g*$E274)+INDEX(Calib!$E$1:$E$13,$D274)*(INDEX(Calib!$G$1:$G$13,$D274)+0*$H274)</f>
        <v/>
      </c>
      <c r="L274" s="26">
        <f>L273*(1-p_eps_k*$E274)+p_lambda_k*(N274-L273*(1-p_eps_k*$E274))</f>
        <v/>
      </c>
      <c r="M274" s="26">
        <f>INDEX(Calib!$R$1:$R$13,$D274)*$F274*(K273*(1-p_eps_g*$E274))^INDEX(Calib!$Q$1:$Q$13,$D274)*(L273*(1-p_eps_k*$E274))^p_alpha</f>
        <v/>
      </c>
      <c r="N274" s="26">
        <f>p_alpha*(1-INDEX(Calib!$H$1:$H$13,$D274))*M274/(INDEX(Calib!$K$1:$K$13,$D274)+p_delta)</f>
        <v/>
      </c>
      <c r="O274" s="26">
        <f>M274+$G274</f>
        <v/>
      </c>
      <c r="P274" s="26">
        <f>0*($H274+$I274)</f>
        <v/>
      </c>
      <c r="Q274" s="26">
        <f>INDEX(Calib!$I$1:$I$13,$D274)+p_sh_grant*P274</f>
        <v/>
      </c>
      <c r="R274" s="26">
        <f>INDEX(Calib!$H$1:$H$13,$D274)*M274+p_gov_take*$G274+Q274+0*p_pricing*$J274</f>
        <v/>
      </c>
      <c r="S274" s="26">
        <f>INDEX(Calib!$Y$1:$Y$13,$D274)-INDEX(Calib!$Z$1:$Z$13,$D274)*(V273/O273-INDEX(Calib!$AA$1:$AA$13,$D274))</f>
        <v/>
      </c>
      <c r="T274" s="26">
        <f>INDEX(Calib!$X$1:$X$13,$D274)+INDEX(Calib!$G$1:$G$13,$D274)+P274+S274-R274</f>
        <v/>
      </c>
      <c r="U274" s="26">
        <f>p_rk*W273+Y273*(V273-W273)</f>
        <v/>
      </c>
      <c r="V274" s="26">
        <f>V273+U274+T274</f>
        <v/>
      </c>
      <c r="W274" s="26">
        <f>INDEX(Calib!$U$1:$U$13,$D274)+(W273-INDEX(Calib!$U$1:$U$13,$D274))*(1-p_amort)+p_sh_conc*P274</f>
        <v/>
      </c>
      <c r="X274" s="26">
        <f>V274/O274</f>
        <v/>
      </c>
      <c r="Y274" s="26">
        <f>INDEX(Calib!$K$1:$K$13,$D274)+p_eta*MAX(0,X274-INDEX(Calib!$AA$1:$AA$13,$D274))</f>
        <v/>
      </c>
      <c r="Z274" s="26">
        <f>(1-INDEX(Calib!$H$1:$H$13,$D274))*(1-p_alpha)*M274+S274</f>
        <v/>
      </c>
      <c r="AA274" s="26">
        <f>(1-p_delta_g)*AA273*(1-p_eps_g*$E274)+INDEX(Calib!$E$1:$E$13,$D274)*(INDEX(Calib!$G$1:$G$13,$D274)+p_programme*$H274)</f>
        <v/>
      </c>
      <c r="AB274" s="26">
        <f>AB273*(1-p_eps_k*$E274)+p_lambda_k*(AD274-AB273*(1-p_eps_k*$E274))</f>
        <v/>
      </c>
      <c r="AC274" s="26">
        <f>INDEX(Calib!$R$1:$R$13,$D274)*$F274*(AA273*(1-p_eps_g*$E274))^INDEX(Calib!$Q$1:$Q$13,$D274)*(AB273*(1-p_eps_k*$E274))^p_alpha</f>
        <v/>
      </c>
      <c r="AD274" s="26">
        <f>p_alpha*(1-INDEX(Calib!$H$1:$H$13,$D274))*AC274/(INDEX(Calib!$K$1:$K$13,$D274)+p_delta)</f>
        <v/>
      </c>
      <c r="AE274" s="26">
        <f>AC274+$G274</f>
        <v/>
      </c>
      <c r="AF274" s="26">
        <f>p_programme*($H274+$I274)</f>
        <v/>
      </c>
      <c r="AG274" s="26">
        <f>INDEX(Calib!$I$1:$I$13,$D274)+p_sh_grant*AF274</f>
        <v/>
      </c>
      <c r="AH274" s="26">
        <f>INDEX(Calib!$H$1:$H$13,$D274)*AC274+p_gov_take*$G274+AG274+p_programme*p_pricing*$J274</f>
        <v/>
      </c>
      <c r="AI274" s="26">
        <f>INDEX(Calib!$Y$1:$Y$13,$D274)-INDEX(Calib!$Z$1:$Z$13,$D274)*(AL273/AE273-INDEX(Calib!$AA$1:$AA$13,$D274))</f>
        <v/>
      </c>
      <c r="AJ274" s="26">
        <f>INDEX(Calib!$X$1:$X$13,$D274)+INDEX(Calib!$G$1:$G$13,$D274)+AF274+AI274-AH274</f>
        <v/>
      </c>
      <c r="AK274" s="26">
        <f>p_rk*AM273+AO273*(AL273-AM273)</f>
        <v/>
      </c>
      <c r="AL274" s="26">
        <f>AL273+AK274+AJ274</f>
        <v/>
      </c>
      <c r="AM274" s="26">
        <f>INDEX(Calib!$U$1:$U$13,$D274)+(AM273-INDEX(Calib!$U$1:$U$13,$D274))*(1-p_amort)+p_sh_conc*AF274</f>
        <v/>
      </c>
      <c r="AN274" s="26">
        <f>AL274/AE274</f>
        <v/>
      </c>
      <c r="AO274" s="26">
        <f>INDEX(Calib!$K$1:$K$13,$D274)+p_eta*MAX(0,AN274-INDEX(Calib!$AA$1:$AA$13,$D274))</f>
        <v/>
      </c>
      <c r="AP274" s="26">
        <f>(1-INDEX(Calib!$H$1:$H$13,$D274))*(1-p_alpha)*AC274+AI274</f>
        <v/>
      </c>
      <c r="AQ274" s="26">
        <f>(AE274/O274-1)*100</f>
        <v/>
      </c>
      <c r="AR274" s="26">
        <f>(AE274/AE272-1)*100</f>
        <v/>
      </c>
      <c r="AS274" s="26">
        <f>(O274/O272-1)*100</f>
        <v/>
      </c>
      <c r="AT274" s="26">
        <f>(AN274-X274)*100</f>
        <v/>
      </c>
      <c r="AU274" s="26">
        <f>(AP274/Z274-1)*100</f>
        <v/>
      </c>
      <c r="AV274" s="26">
        <f>(AI274-S274)*100</f>
        <v/>
      </c>
    </row>
    <row r="275">
      <c r="A275" s="25" t="inlineStr">
        <is>
          <t>COG</t>
        </is>
      </c>
      <c r="B275" s="25" t="n">
        <v>2027</v>
      </c>
      <c r="C275" s="25" t="n">
        <v>3</v>
      </c>
      <c r="D275" s="25" t="n">
        <v>12</v>
      </c>
      <c r="E275" s="25">
        <f>IF(AND(p_dis_year&gt;0,B275=p_dis_year),1,0)</f>
        <v/>
      </c>
      <c r="F275" s="26">
        <f>IF(AND(p_dis_year&gt;0,B275&gt;=p_dis_year),1-p_eps_a*p_rho_a^(B275-p_dis_year),1)</f>
        <v/>
      </c>
      <c r="G275" s="26">
        <f>INDEX(Calib!$N$1:$N$13,$D275)*(1-p_rent_decline*MIN(1,C275/26))</f>
        <v/>
      </c>
      <c r="H275" s="26">
        <f>IF(C275=0,0,SUMIFS(dl_val,dl_iso,$A275,dl_ind,"pub_cap",dl_year,$B275)/100)</f>
        <v/>
      </c>
      <c r="I275" s="26">
        <f>IF(C275=0,0,SUMIFS(dl_val,dl_iso,$A275,dl_ind,"pub_spend",dl_year,$B275)/100)</f>
        <v/>
      </c>
      <c r="J275" s="26">
        <f>IF(C275=0,0,SUMIFS(dl_val,dl_iso,$A275,dl_ind,"rev",dl_year,$B275)/100)</f>
        <v/>
      </c>
      <c r="K275" s="26">
        <f>(1-p_delta_g)*K274*(1-p_eps_g*$E275)+INDEX(Calib!$E$1:$E$13,$D275)*(INDEX(Calib!$G$1:$G$13,$D275)+0*$H275)</f>
        <v/>
      </c>
      <c r="L275" s="26">
        <f>L274*(1-p_eps_k*$E275)+p_lambda_k*(N275-L274*(1-p_eps_k*$E275))</f>
        <v/>
      </c>
      <c r="M275" s="26">
        <f>INDEX(Calib!$R$1:$R$13,$D275)*$F275*(K274*(1-p_eps_g*$E275))^INDEX(Calib!$Q$1:$Q$13,$D275)*(L274*(1-p_eps_k*$E275))^p_alpha</f>
        <v/>
      </c>
      <c r="N275" s="26">
        <f>p_alpha*(1-INDEX(Calib!$H$1:$H$13,$D275))*M275/(INDEX(Calib!$K$1:$K$13,$D275)+p_delta)</f>
        <v/>
      </c>
      <c r="O275" s="26">
        <f>M275+$G275</f>
        <v/>
      </c>
      <c r="P275" s="26">
        <f>0*($H275+$I275)</f>
        <v/>
      </c>
      <c r="Q275" s="26">
        <f>INDEX(Calib!$I$1:$I$13,$D275)+p_sh_grant*P275</f>
        <v/>
      </c>
      <c r="R275" s="26">
        <f>INDEX(Calib!$H$1:$H$13,$D275)*M275+p_gov_take*$G275+Q275+0*p_pricing*$J275</f>
        <v/>
      </c>
      <c r="S275" s="26">
        <f>INDEX(Calib!$Y$1:$Y$13,$D275)-INDEX(Calib!$Z$1:$Z$13,$D275)*(V274/O274-INDEX(Calib!$AA$1:$AA$13,$D275))</f>
        <v/>
      </c>
      <c r="T275" s="26">
        <f>INDEX(Calib!$X$1:$X$13,$D275)+INDEX(Calib!$G$1:$G$13,$D275)+P275+S275-R275</f>
        <v/>
      </c>
      <c r="U275" s="26">
        <f>p_rk*W274+Y274*(V274-W274)</f>
        <v/>
      </c>
      <c r="V275" s="26">
        <f>V274+U275+T275</f>
        <v/>
      </c>
      <c r="W275" s="26">
        <f>INDEX(Calib!$U$1:$U$13,$D275)+(W274-INDEX(Calib!$U$1:$U$13,$D275))*(1-p_amort)+p_sh_conc*P275</f>
        <v/>
      </c>
      <c r="X275" s="26">
        <f>V275/O275</f>
        <v/>
      </c>
      <c r="Y275" s="26">
        <f>INDEX(Calib!$K$1:$K$13,$D275)+p_eta*MAX(0,X275-INDEX(Calib!$AA$1:$AA$13,$D275))</f>
        <v/>
      </c>
      <c r="Z275" s="26">
        <f>(1-INDEX(Calib!$H$1:$H$13,$D275))*(1-p_alpha)*M275+S275</f>
        <v/>
      </c>
      <c r="AA275" s="26">
        <f>(1-p_delta_g)*AA274*(1-p_eps_g*$E275)+INDEX(Calib!$E$1:$E$13,$D275)*(INDEX(Calib!$G$1:$G$13,$D275)+p_programme*$H275)</f>
        <v/>
      </c>
      <c r="AB275" s="26">
        <f>AB274*(1-p_eps_k*$E275)+p_lambda_k*(AD275-AB274*(1-p_eps_k*$E275))</f>
        <v/>
      </c>
      <c r="AC275" s="26">
        <f>INDEX(Calib!$R$1:$R$13,$D275)*$F275*(AA274*(1-p_eps_g*$E275))^INDEX(Calib!$Q$1:$Q$13,$D275)*(AB274*(1-p_eps_k*$E275))^p_alpha</f>
        <v/>
      </c>
      <c r="AD275" s="26">
        <f>p_alpha*(1-INDEX(Calib!$H$1:$H$13,$D275))*AC275/(INDEX(Calib!$K$1:$K$13,$D275)+p_delta)</f>
        <v/>
      </c>
      <c r="AE275" s="26">
        <f>AC275+$G275</f>
        <v/>
      </c>
      <c r="AF275" s="26">
        <f>p_programme*($H275+$I275)</f>
        <v/>
      </c>
      <c r="AG275" s="26">
        <f>INDEX(Calib!$I$1:$I$13,$D275)+p_sh_grant*AF275</f>
        <v/>
      </c>
      <c r="AH275" s="26">
        <f>INDEX(Calib!$H$1:$H$13,$D275)*AC275+p_gov_take*$G275+AG275+p_programme*p_pricing*$J275</f>
        <v/>
      </c>
      <c r="AI275" s="26">
        <f>INDEX(Calib!$Y$1:$Y$13,$D275)-INDEX(Calib!$Z$1:$Z$13,$D275)*(AL274/AE274-INDEX(Calib!$AA$1:$AA$13,$D275))</f>
        <v/>
      </c>
      <c r="AJ275" s="26">
        <f>INDEX(Calib!$X$1:$X$13,$D275)+INDEX(Calib!$G$1:$G$13,$D275)+AF275+AI275-AH275</f>
        <v/>
      </c>
      <c r="AK275" s="26">
        <f>p_rk*AM274+AO274*(AL274-AM274)</f>
        <v/>
      </c>
      <c r="AL275" s="26">
        <f>AL274+AK275+AJ275</f>
        <v/>
      </c>
      <c r="AM275" s="26">
        <f>INDEX(Calib!$U$1:$U$13,$D275)+(AM274-INDEX(Calib!$U$1:$U$13,$D275))*(1-p_amort)+p_sh_conc*AF275</f>
        <v/>
      </c>
      <c r="AN275" s="26">
        <f>AL275/AE275</f>
        <v/>
      </c>
      <c r="AO275" s="26">
        <f>INDEX(Calib!$K$1:$K$13,$D275)+p_eta*MAX(0,AN275-INDEX(Calib!$AA$1:$AA$13,$D275))</f>
        <v/>
      </c>
      <c r="AP275" s="26">
        <f>(1-INDEX(Calib!$H$1:$H$13,$D275))*(1-p_alpha)*AC275+AI275</f>
        <v/>
      </c>
      <c r="AQ275" s="26">
        <f>(AE275/O275-1)*100</f>
        <v/>
      </c>
      <c r="AR275" s="26">
        <f>(AE275/AE272-1)*100</f>
        <v/>
      </c>
      <c r="AS275" s="26">
        <f>(O275/O272-1)*100</f>
        <v/>
      </c>
      <c r="AT275" s="26">
        <f>(AN275-X275)*100</f>
        <v/>
      </c>
      <c r="AU275" s="26">
        <f>(AP275/Z275-1)*100</f>
        <v/>
      </c>
      <c r="AV275" s="26">
        <f>(AI275-S275)*100</f>
        <v/>
      </c>
    </row>
    <row r="276">
      <c r="A276" s="25" t="inlineStr">
        <is>
          <t>COG</t>
        </is>
      </c>
      <c r="B276" s="25" t="n">
        <v>2028</v>
      </c>
      <c r="C276" s="25" t="n">
        <v>4</v>
      </c>
      <c r="D276" s="25" t="n">
        <v>12</v>
      </c>
      <c r="E276" s="25">
        <f>IF(AND(p_dis_year&gt;0,B276=p_dis_year),1,0)</f>
        <v/>
      </c>
      <c r="F276" s="26">
        <f>IF(AND(p_dis_year&gt;0,B276&gt;=p_dis_year),1-p_eps_a*p_rho_a^(B276-p_dis_year),1)</f>
        <v/>
      </c>
      <c r="G276" s="26">
        <f>INDEX(Calib!$N$1:$N$13,$D276)*(1-p_rent_decline*MIN(1,C276/26))</f>
        <v/>
      </c>
      <c r="H276" s="26">
        <f>IF(C276=0,0,SUMIFS(dl_val,dl_iso,$A276,dl_ind,"pub_cap",dl_year,$B276)/100)</f>
        <v/>
      </c>
      <c r="I276" s="26">
        <f>IF(C276=0,0,SUMIFS(dl_val,dl_iso,$A276,dl_ind,"pub_spend",dl_year,$B276)/100)</f>
        <v/>
      </c>
      <c r="J276" s="26">
        <f>IF(C276=0,0,SUMIFS(dl_val,dl_iso,$A276,dl_ind,"rev",dl_year,$B276)/100)</f>
        <v/>
      </c>
      <c r="K276" s="26">
        <f>(1-p_delta_g)*K275*(1-p_eps_g*$E276)+INDEX(Calib!$E$1:$E$13,$D276)*(INDEX(Calib!$G$1:$G$13,$D276)+0*$H276)</f>
        <v/>
      </c>
      <c r="L276" s="26">
        <f>L275*(1-p_eps_k*$E276)+p_lambda_k*(N276-L275*(1-p_eps_k*$E276))</f>
        <v/>
      </c>
      <c r="M276" s="26">
        <f>INDEX(Calib!$R$1:$R$13,$D276)*$F276*(K275*(1-p_eps_g*$E276))^INDEX(Calib!$Q$1:$Q$13,$D276)*(L275*(1-p_eps_k*$E276))^p_alpha</f>
        <v/>
      </c>
      <c r="N276" s="26">
        <f>p_alpha*(1-INDEX(Calib!$H$1:$H$13,$D276))*M276/(INDEX(Calib!$K$1:$K$13,$D276)+p_delta)</f>
        <v/>
      </c>
      <c r="O276" s="26">
        <f>M276+$G276</f>
        <v/>
      </c>
      <c r="P276" s="26">
        <f>0*($H276+$I276)</f>
        <v/>
      </c>
      <c r="Q276" s="26">
        <f>INDEX(Calib!$I$1:$I$13,$D276)+p_sh_grant*P276</f>
        <v/>
      </c>
      <c r="R276" s="26">
        <f>INDEX(Calib!$H$1:$H$13,$D276)*M276+p_gov_take*$G276+Q276+0*p_pricing*$J276</f>
        <v/>
      </c>
      <c r="S276" s="26">
        <f>INDEX(Calib!$Y$1:$Y$13,$D276)-INDEX(Calib!$Z$1:$Z$13,$D276)*(V275/O275-INDEX(Calib!$AA$1:$AA$13,$D276))</f>
        <v/>
      </c>
      <c r="T276" s="26">
        <f>INDEX(Calib!$X$1:$X$13,$D276)+INDEX(Calib!$G$1:$G$13,$D276)+P276+S276-R276</f>
        <v/>
      </c>
      <c r="U276" s="26">
        <f>p_rk*W275+Y275*(V275-W275)</f>
        <v/>
      </c>
      <c r="V276" s="26">
        <f>V275+U276+T276</f>
        <v/>
      </c>
      <c r="W276" s="26">
        <f>INDEX(Calib!$U$1:$U$13,$D276)+(W275-INDEX(Calib!$U$1:$U$13,$D276))*(1-p_amort)+p_sh_conc*P276</f>
        <v/>
      </c>
      <c r="X276" s="26">
        <f>V276/O276</f>
        <v/>
      </c>
      <c r="Y276" s="26">
        <f>INDEX(Calib!$K$1:$K$13,$D276)+p_eta*MAX(0,X276-INDEX(Calib!$AA$1:$AA$13,$D276))</f>
        <v/>
      </c>
      <c r="Z276" s="26">
        <f>(1-INDEX(Calib!$H$1:$H$13,$D276))*(1-p_alpha)*M276+S276</f>
        <v/>
      </c>
      <c r="AA276" s="26">
        <f>(1-p_delta_g)*AA275*(1-p_eps_g*$E276)+INDEX(Calib!$E$1:$E$13,$D276)*(INDEX(Calib!$G$1:$G$13,$D276)+p_programme*$H276)</f>
        <v/>
      </c>
      <c r="AB276" s="26">
        <f>AB275*(1-p_eps_k*$E276)+p_lambda_k*(AD276-AB275*(1-p_eps_k*$E276))</f>
        <v/>
      </c>
      <c r="AC276" s="26">
        <f>INDEX(Calib!$R$1:$R$13,$D276)*$F276*(AA275*(1-p_eps_g*$E276))^INDEX(Calib!$Q$1:$Q$13,$D276)*(AB275*(1-p_eps_k*$E276))^p_alpha</f>
        <v/>
      </c>
      <c r="AD276" s="26">
        <f>p_alpha*(1-INDEX(Calib!$H$1:$H$13,$D276))*AC276/(INDEX(Calib!$K$1:$K$13,$D276)+p_delta)</f>
        <v/>
      </c>
      <c r="AE276" s="26">
        <f>AC276+$G276</f>
        <v/>
      </c>
      <c r="AF276" s="26">
        <f>p_programme*($H276+$I276)</f>
        <v/>
      </c>
      <c r="AG276" s="26">
        <f>INDEX(Calib!$I$1:$I$13,$D276)+p_sh_grant*AF276</f>
        <v/>
      </c>
      <c r="AH276" s="26">
        <f>INDEX(Calib!$H$1:$H$13,$D276)*AC276+p_gov_take*$G276+AG276+p_programme*p_pricing*$J276</f>
        <v/>
      </c>
      <c r="AI276" s="26">
        <f>INDEX(Calib!$Y$1:$Y$13,$D276)-INDEX(Calib!$Z$1:$Z$13,$D276)*(AL275/AE275-INDEX(Calib!$AA$1:$AA$13,$D276))</f>
        <v/>
      </c>
      <c r="AJ276" s="26">
        <f>INDEX(Calib!$X$1:$X$13,$D276)+INDEX(Calib!$G$1:$G$13,$D276)+AF276+AI276-AH276</f>
        <v/>
      </c>
      <c r="AK276" s="26">
        <f>p_rk*AM275+AO275*(AL275-AM275)</f>
        <v/>
      </c>
      <c r="AL276" s="26">
        <f>AL275+AK276+AJ276</f>
        <v/>
      </c>
      <c r="AM276" s="26">
        <f>INDEX(Calib!$U$1:$U$13,$D276)+(AM275-INDEX(Calib!$U$1:$U$13,$D276))*(1-p_amort)+p_sh_conc*AF276</f>
        <v/>
      </c>
      <c r="AN276" s="26">
        <f>AL276/AE276</f>
        <v/>
      </c>
      <c r="AO276" s="26">
        <f>INDEX(Calib!$K$1:$K$13,$D276)+p_eta*MAX(0,AN276-INDEX(Calib!$AA$1:$AA$13,$D276))</f>
        <v/>
      </c>
      <c r="AP276" s="26">
        <f>(1-INDEX(Calib!$H$1:$H$13,$D276))*(1-p_alpha)*AC276+AI276</f>
        <v/>
      </c>
      <c r="AQ276" s="26">
        <f>(AE276/O276-1)*100</f>
        <v/>
      </c>
      <c r="AR276" s="26">
        <f>(AE276/AE272-1)*100</f>
        <v/>
      </c>
      <c r="AS276" s="26">
        <f>(O276/O272-1)*100</f>
        <v/>
      </c>
      <c r="AT276" s="26">
        <f>(AN276-X276)*100</f>
        <v/>
      </c>
      <c r="AU276" s="26">
        <f>(AP276/Z276-1)*100</f>
        <v/>
      </c>
      <c r="AV276" s="26">
        <f>(AI276-S276)*100</f>
        <v/>
      </c>
    </row>
    <row r="277">
      <c r="A277" s="25" t="inlineStr">
        <is>
          <t>COG</t>
        </is>
      </c>
      <c r="B277" s="25" t="n">
        <v>2029</v>
      </c>
      <c r="C277" s="25" t="n">
        <v>5</v>
      </c>
      <c r="D277" s="25" t="n">
        <v>12</v>
      </c>
      <c r="E277" s="25">
        <f>IF(AND(p_dis_year&gt;0,B277=p_dis_year),1,0)</f>
        <v/>
      </c>
      <c r="F277" s="26">
        <f>IF(AND(p_dis_year&gt;0,B277&gt;=p_dis_year),1-p_eps_a*p_rho_a^(B277-p_dis_year),1)</f>
        <v/>
      </c>
      <c r="G277" s="26">
        <f>INDEX(Calib!$N$1:$N$13,$D277)*(1-p_rent_decline*MIN(1,C277/26))</f>
        <v/>
      </c>
      <c r="H277" s="26">
        <f>IF(C277=0,0,SUMIFS(dl_val,dl_iso,$A277,dl_ind,"pub_cap",dl_year,$B277)/100)</f>
        <v/>
      </c>
      <c r="I277" s="26">
        <f>IF(C277=0,0,SUMIFS(dl_val,dl_iso,$A277,dl_ind,"pub_spend",dl_year,$B277)/100)</f>
        <v/>
      </c>
      <c r="J277" s="26">
        <f>IF(C277=0,0,SUMIFS(dl_val,dl_iso,$A277,dl_ind,"rev",dl_year,$B277)/100)</f>
        <v/>
      </c>
      <c r="K277" s="26">
        <f>(1-p_delta_g)*K276*(1-p_eps_g*$E277)+INDEX(Calib!$E$1:$E$13,$D277)*(INDEX(Calib!$G$1:$G$13,$D277)+0*$H277)</f>
        <v/>
      </c>
      <c r="L277" s="26">
        <f>L276*(1-p_eps_k*$E277)+p_lambda_k*(N277-L276*(1-p_eps_k*$E277))</f>
        <v/>
      </c>
      <c r="M277" s="26">
        <f>INDEX(Calib!$R$1:$R$13,$D277)*$F277*(K276*(1-p_eps_g*$E277))^INDEX(Calib!$Q$1:$Q$13,$D277)*(L276*(1-p_eps_k*$E277))^p_alpha</f>
        <v/>
      </c>
      <c r="N277" s="26">
        <f>p_alpha*(1-INDEX(Calib!$H$1:$H$13,$D277))*M277/(INDEX(Calib!$K$1:$K$13,$D277)+p_delta)</f>
        <v/>
      </c>
      <c r="O277" s="26">
        <f>M277+$G277</f>
        <v/>
      </c>
      <c r="P277" s="26">
        <f>0*($H277+$I277)</f>
        <v/>
      </c>
      <c r="Q277" s="26">
        <f>INDEX(Calib!$I$1:$I$13,$D277)+p_sh_grant*P277</f>
        <v/>
      </c>
      <c r="R277" s="26">
        <f>INDEX(Calib!$H$1:$H$13,$D277)*M277+p_gov_take*$G277+Q277+0*p_pricing*$J277</f>
        <v/>
      </c>
      <c r="S277" s="26">
        <f>INDEX(Calib!$Y$1:$Y$13,$D277)-INDEX(Calib!$Z$1:$Z$13,$D277)*(V276/O276-INDEX(Calib!$AA$1:$AA$13,$D277))</f>
        <v/>
      </c>
      <c r="T277" s="26">
        <f>INDEX(Calib!$X$1:$X$13,$D277)+INDEX(Calib!$G$1:$G$13,$D277)+P277+S277-R277</f>
        <v/>
      </c>
      <c r="U277" s="26">
        <f>p_rk*W276+Y276*(V276-W276)</f>
        <v/>
      </c>
      <c r="V277" s="26">
        <f>V276+U277+T277</f>
        <v/>
      </c>
      <c r="W277" s="26">
        <f>INDEX(Calib!$U$1:$U$13,$D277)+(W276-INDEX(Calib!$U$1:$U$13,$D277))*(1-p_amort)+p_sh_conc*P277</f>
        <v/>
      </c>
      <c r="X277" s="26">
        <f>V277/O277</f>
        <v/>
      </c>
      <c r="Y277" s="26">
        <f>INDEX(Calib!$K$1:$K$13,$D277)+p_eta*MAX(0,X277-INDEX(Calib!$AA$1:$AA$13,$D277))</f>
        <v/>
      </c>
      <c r="Z277" s="26">
        <f>(1-INDEX(Calib!$H$1:$H$13,$D277))*(1-p_alpha)*M277+S277</f>
        <v/>
      </c>
      <c r="AA277" s="26">
        <f>(1-p_delta_g)*AA276*(1-p_eps_g*$E277)+INDEX(Calib!$E$1:$E$13,$D277)*(INDEX(Calib!$G$1:$G$13,$D277)+p_programme*$H277)</f>
        <v/>
      </c>
      <c r="AB277" s="26">
        <f>AB276*(1-p_eps_k*$E277)+p_lambda_k*(AD277-AB276*(1-p_eps_k*$E277))</f>
        <v/>
      </c>
      <c r="AC277" s="26">
        <f>INDEX(Calib!$R$1:$R$13,$D277)*$F277*(AA276*(1-p_eps_g*$E277))^INDEX(Calib!$Q$1:$Q$13,$D277)*(AB276*(1-p_eps_k*$E277))^p_alpha</f>
        <v/>
      </c>
      <c r="AD277" s="26">
        <f>p_alpha*(1-INDEX(Calib!$H$1:$H$13,$D277))*AC277/(INDEX(Calib!$K$1:$K$13,$D277)+p_delta)</f>
        <v/>
      </c>
      <c r="AE277" s="26">
        <f>AC277+$G277</f>
        <v/>
      </c>
      <c r="AF277" s="26">
        <f>p_programme*($H277+$I277)</f>
        <v/>
      </c>
      <c r="AG277" s="26">
        <f>INDEX(Calib!$I$1:$I$13,$D277)+p_sh_grant*AF277</f>
        <v/>
      </c>
      <c r="AH277" s="26">
        <f>INDEX(Calib!$H$1:$H$13,$D277)*AC277+p_gov_take*$G277+AG277+p_programme*p_pricing*$J277</f>
        <v/>
      </c>
      <c r="AI277" s="26">
        <f>INDEX(Calib!$Y$1:$Y$13,$D277)-INDEX(Calib!$Z$1:$Z$13,$D277)*(AL276/AE276-INDEX(Calib!$AA$1:$AA$13,$D277))</f>
        <v/>
      </c>
      <c r="AJ277" s="26">
        <f>INDEX(Calib!$X$1:$X$13,$D277)+INDEX(Calib!$G$1:$G$13,$D277)+AF277+AI277-AH277</f>
        <v/>
      </c>
      <c r="AK277" s="26">
        <f>p_rk*AM276+AO276*(AL276-AM276)</f>
        <v/>
      </c>
      <c r="AL277" s="26">
        <f>AL276+AK277+AJ277</f>
        <v/>
      </c>
      <c r="AM277" s="26">
        <f>INDEX(Calib!$U$1:$U$13,$D277)+(AM276-INDEX(Calib!$U$1:$U$13,$D277))*(1-p_amort)+p_sh_conc*AF277</f>
        <v/>
      </c>
      <c r="AN277" s="26">
        <f>AL277/AE277</f>
        <v/>
      </c>
      <c r="AO277" s="26">
        <f>INDEX(Calib!$K$1:$K$13,$D277)+p_eta*MAX(0,AN277-INDEX(Calib!$AA$1:$AA$13,$D277))</f>
        <v/>
      </c>
      <c r="AP277" s="26">
        <f>(1-INDEX(Calib!$H$1:$H$13,$D277))*(1-p_alpha)*AC277+AI277</f>
        <v/>
      </c>
      <c r="AQ277" s="26">
        <f>(AE277/O277-1)*100</f>
        <v/>
      </c>
      <c r="AR277" s="26">
        <f>(AE277/AE272-1)*100</f>
        <v/>
      </c>
      <c r="AS277" s="26">
        <f>(O277/O272-1)*100</f>
        <v/>
      </c>
      <c r="AT277" s="26">
        <f>(AN277-X277)*100</f>
        <v/>
      </c>
      <c r="AU277" s="26">
        <f>(AP277/Z277-1)*100</f>
        <v/>
      </c>
      <c r="AV277" s="26">
        <f>(AI277-S277)*100</f>
        <v/>
      </c>
    </row>
    <row r="278">
      <c r="A278" s="25" t="inlineStr">
        <is>
          <t>COG</t>
        </is>
      </c>
      <c r="B278" s="25" t="n">
        <v>2030</v>
      </c>
      <c r="C278" s="25" t="n">
        <v>6</v>
      </c>
      <c r="D278" s="25" t="n">
        <v>12</v>
      </c>
      <c r="E278" s="25">
        <f>IF(AND(p_dis_year&gt;0,B278=p_dis_year),1,0)</f>
        <v/>
      </c>
      <c r="F278" s="26">
        <f>IF(AND(p_dis_year&gt;0,B278&gt;=p_dis_year),1-p_eps_a*p_rho_a^(B278-p_dis_year),1)</f>
        <v/>
      </c>
      <c r="G278" s="26">
        <f>INDEX(Calib!$N$1:$N$13,$D278)*(1-p_rent_decline*MIN(1,C278/26))</f>
        <v/>
      </c>
      <c r="H278" s="26">
        <f>IF(C278=0,0,SUMIFS(dl_val,dl_iso,$A278,dl_ind,"pub_cap",dl_year,$B278)/100)</f>
        <v/>
      </c>
      <c r="I278" s="26">
        <f>IF(C278=0,0,SUMIFS(dl_val,dl_iso,$A278,dl_ind,"pub_spend",dl_year,$B278)/100)</f>
        <v/>
      </c>
      <c r="J278" s="26">
        <f>IF(C278=0,0,SUMIFS(dl_val,dl_iso,$A278,dl_ind,"rev",dl_year,$B278)/100)</f>
        <v/>
      </c>
      <c r="K278" s="26">
        <f>(1-p_delta_g)*K277*(1-p_eps_g*$E278)+INDEX(Calib!$E$1:$E$13,$D278)*(INDEX(Calib!$G$1:$G$13,$D278)+0*$H278)</f>
        <v/>
      </c>
      <c r="L278" s="26">
        <f>L277*(1-p_eps_k*$E278)+p_lambda_k*(N278-L277*(1-p_eps_k*$E278))</f>
        <v/>
      </c>
      <c r="M278" s="26">
        <f>INDEX(Calib!$R$1:$R$13,$D278)*$F278*(K277*(1-p_eps_g*$E278))^INDEX(Calib!$Q$1:$Q$13,$D278)*(L277*(1-p_eps_k*$E278))^p_alpha</f>
        <v/>
      </c>
      <c r="N278" s="26">
        <f>p_alpha*(1-INDEX(Calib!$H$1:$H$13,$D278))*M278/(INDEX(Calib!$K$1:$K$13,$D278)+p_delta)</f>
        <v/>
      </c>
      <c r="O278" s="26">
        <f>M278+$G278</f>
        <v/>
      </c>
      <c r="P278" s="26">
        <f>0*($H278+$I278)</f>
        <v/>
      </c>
      <c r="Q278" s="26">
        <f>INDEX(Calib!$I$1:$I$13,$D278)+p_sh_grant*P278</f>
        <v/>
      </c>
      <c r="R278" s="26">
        <f>INDEX(Calib!$H$1:$H$13,$D278)*M278+p_gov_take*$G278+Q278+0*p_pricing*$J278</f>
        <v/>
      </c>
      <c r="S278" s="26">
        <f>INDEX(Calib!$Y$1:$Y$13,$D278)-INDEX(Calib!$Z$1:$Z$13,$D278)*(V277/O277-INDEX(Calib!$AA$1:$AA$13,$D278))</f>
        <v/>
      </c>
      <c r="T278" s="26">
        <f>INDEX(Calib!$X$1:$X$13,$D278)+INDEX(Calib!$G$1:$G$13,$D278)+P278+S278-R278</f>
        <v/>
      </c>
      <c r="U278" s="26">
        <f>p_rk*W277+Y277*(V277-W277)</f>
        <v/>
      </c>
      <c r="V278" s="26">
        <f>V277+U278+T278</f>
        <v/>
      </c>
      <c r="W278" s="26">
        <f>INDEX(Calib!$U$1:$U$13,$D278)+(W277-INDEX(Calib!$U$1:$U$13,$D278))*(1-p_amort)+p_sh_conc*P278</f>
        <v/>
      </c>
      <c r="X278" s="26">
        <f>V278/O278</f>
        <v/>
      </c>
      <c r="Y278" s="26">
        <f>INDEX(Calib!$K$1:$K$13,$D278)+p_eta*MAX(0,X278-INDEX(Calib!$AA$1:$AA$13,$D278))</f>
        <v/>
      </c>
      <c r="Z278" s="26">
        <f>(1-INDEX(Calib!$H$1:$H$13,$D278))*(1-p_alpha)*M278+S278</f>
        <v/>
      </c>
      <c r="AA278" s="26">
        <f>(1-p_delta_g)*AA277*(1-p_eps_g*$E278)+INDEX(Calib!$E$1:$E$13,$D278)*(INDEX(Calib!$G$1:$G$13,$D278)+p_programme*$H278)</f>
        <v/>
      </c>
      <c r="AB278" s="26">
        <f>AB277*(1-p_eps_k*$E278)+p_lambda_k*(AD278-AB277*(1-p_eps_k*$E278))</f>
        <v/>
      </c>
      <c r="AC278" s="26">
        <f>INDEX(Calib!$R$1:$R$13,$D278)*$F278*(AA277*(1-p_eps_g*$E278))^INDEX(Calib!$Q$1:$Q$13,$D278)*(AB277*(1-p_eps_k*$E278))^p_alpha</f>
        <v/>
      </c>
      <c r="AD278" s="26">
        <f>p_alpha*(1-INDEX(Calib!$H$1:$H$13,$D278))*AC278/(INDEX(Calib!$K$1:$K$13,$D278)+p_delta)</f>
        <v/>
      </c>
      <c r="AE278" s="26">
        <f>AC278+$G278</f>
        <v/>
      </c>
      <c r="AF278" s="26">
        <f>p_programme*($H278+$I278)</f>
        <v/>
      </c>
      <c r="AG278" s="26">
        <f>INDEX(Calib!$I$1:$I$13,$D278)+p_sh_grant*AF278</f>
        <v/>
      </c>
      <c r="AH278" s="26">
        <f>INDEX(Calib!$H$1:$H$13,$D278)*AC278+p_gov_take*$G278+AG278+p_programme*p_pricing*$J278</f>
        <v/>
      </c>
      <c r="AI278" s="26">
        <f>INDEX(Calib!$Y$1:$Y$13,$D278)-INDEX(Calib!$Z$1:$Z$13,$D278)*(AL277/AE277-INDEX(Calib!$AA$1:$AA$13,$D278))</f>
        <v/>
      </c>
      <c r="AJ278" s="26">
        <f>INDEX(Calib!$X$1:$X$13,$D278)+INDEX(Calib!$G$1:$G$13,$D278)+AF278+AI278-AH278</f>
        <v/>
      </c>
      <c r="AK278" s="26">
        <f>p_rk*AM277+AO277*(AL277-AM277)</f>
        <v/>
      </c>
      <c r="AL278" s="26">
        <f>AL277+AK278+AJ278</f>
        <v/>
      </c>
      <c r="AM278" s="26">
        <f>INDEX(Calib!$U$1:$U$13,$D278)+(AM277-INDEX(Calib!$U$1:$U$13,$D278))*(1-p_amort)+p_sh_conc*AF278</f>
        <v/>
      </c>
      <c r="AN278" s="26">
        <f>AL278/AE278</f>
        <v/>
      </c>
      <c r="AO278" s="26">
        <f>INDEX(Calib!$K$1:$K$13,$D278)+p_eta*MAX(0,AN278-INDEX(Calib!$AA$1:$AA$13,$D278))</f>
        <v/>
      </c>
      <c r="AP278" s="26">
        <f>(1-INDEX(Calib!$H$1:$H$13,$D278))*(1-p_alpha)*AC278+AI278</f>
        <v/>
      </c>
      <c r="AQ278" s="26">
        <f>(AE278/O278-1)*100</f>
        <v/>
      </c>
      <c r="AR278" s="26">
        <f>(AE278/AE272-1)*100</f>
        <v/>
      </c>
      <c r="AS278" s="26">
        <f>(O278/O272-1)*100</f>
        <v/>
      </c>
      <c r="AT278" s="26">
        <f>(AN278-X278)*100</f>
        <v/>
      </c>
      <c r="AU278" s="26">
        <f>(AP278/Z278-1)*100</f>
        <v/>
      </c>
      <c r="AV278" s="26">
        <f>(AI278-S278)*100</f>
        <v/>
      </c>
    </row>
    <row r="279">
      <c r="A279" s="25" t="inlineStr">
        <is>
          <t>COG</t>
        </is>
      </c>
      <c r="B279" s="25" t="n">
        <v>2031</v>
      </c>
      <c r="C279" s="25" t="n">
        <v>7</v>
      </c>
      <c r="D279" s="25" t="n">
        <v>12</v>
      </c>
      <c r="E279" s="25">
        <f>IF(AND(p_dis_year&gt;0,B279=p_dis_year),1,0)</f>
        <v/>
      </c>
      <c r="F279" s="26">
        <f>IF(AND(p_dis_year&gt;0,B279&gt;=p_dis_year),1-p_eps_a*p_rho_a^(B279-p_dis_year),1)</f>
        <v/>
      </c>
      <c r="G279" s="26">
        <f>INDEX(Calib!$N$1:$N$13,$D279)*(1-p_rent_decline*MIN(1,C279/26))</f>
        <v/>
      </c>
      <c r="H279" s="26">
        <f>IF(C279=0,0,SUMIFS(dl_val,dl_iso,$A279,dl_ind,"pub_cap",dl_year,$B279)/100)</f>
        <v/>
      </c>
      <c r="I279" s="26">
        <f>IF(C279=0,0,SUMIFS(dl_val,dl_iso,$A279,dl_ind,"pub_spend",dl_year,$B279)/100)</f>
        <v/>
      </c>
      <c r="J279" s="26">
        <f>IF(C279=0,0,SUMIFS(dl_val,dl_iso,$A279,dl_ind,"rev",dl_year,$B279)/100)</f>
        <v/>
      </c>
      <c r="K279" s="26">
        <f>(1-p_delta_g)*K278*(1-p_eps_g*$E279)+INDEX(Calib!$E$1:$E$13,$D279)*(INDEX(Calib!$G$1:$G$13,$D279)+0*$H279)</f>
        <v/>
      </c>
      <c r="L279" s="26">
        <f>L278*(1-p_eps_k*$E279)+p_lambda_k*(N279-L278*(1-p_eps_k*$E279))</f>
        <v/>
      </c>
      <c r="M279" s="26">
        <f>INDEX(Calib!$R$1:$R$13,$D279)*$F279*(K278*(1-p_eps_g*$E279))^INDEX(Calib!$Q$1:$Q$13,$D279)*(L278*(1-p_eps_k*$E279))^p_alpha</f>
        <v/>
      </c>
      <c r="N279" s="26">
        <f>p_alpha*(1-INDEX(Calib!$H$1:$H$13,$D279))*M279/(INDEX(Calib!$K$1:$K$13,$D279)+p_delta)</f>
        <v/>
      </c>
      <c r="O279" s="26">
        <f>M279+$G279</f>
        <v/>
      </c>
      <c r="P279" s="26">
        <f>0*($H279+$I279)</f>
        <v/>
      </c>
      <c r="Q279" s="26">
        <f>INDEX(Calib!$I$1:$I$13,$D279)+p_sh_grant*P279</f>
        <v/>
      </c>
      <c r="R279" s="26">
        <f>INDEX(Calib!$H$1:$H$13,$D279)*M279+p_gov_take*$G279+Q279+0*p_pricing*$J279</f>
        <v/>
      </c>
      <c r="S279" s="26">
        <f>INDEX(Calib!$Y$1:$Y$13,$D279)-INDEX(Calib!$Z$1:$Z$13,$D279)*(V278/O278-INDEX(Calib!$AA$1:$AA$13,$D279))</f>
        <v/>
      </c>
      <c r="T279" s="26">
        <f>INDEX(Calib!$X$1:$X$13,$D279)+INDEX(Calib!$G$1:$G$13,$D279)+P279+S279-R279</f>
        <v/>
      </c>
      <c r="U279" s="26">
        <f>p_rk*W278+Y278*(V278-W278)</f>
        <v/>
      </c>
      <c r="V279" s="26">
        <f>V278+U279+T279</f>
        <v/>
      </c>
      <c r="W279" s="26">
        <f>INDEX(Calib!$U$1:$U$13,$D279)+(W278-INDEX(Calib!$U$1:$U$13,$D279))*(1-p_amort)+p_sh_conc*P279</f>
        <v/>
      </c>
      <c r="X279" s="26">
        <f>V279/O279</f>
        <v/>
      </c>
      <c r="Y279" s="26">
        <f>INDEX(Calib!$K$1:$K$13,$D279)+p_eta*MAX(0,X279-INDEX(Calib!$AA$1:$AA$13,$D279))</f>
        <v/>
      </c>
      <c r="Z279" s="26">
        <f>(1-INDEX(Calib!$H$1:$H$13,$D279))*(1-p_alpha)*M279+S279</f>
        <v/>
      </c>
      <c r="AA279" s="26">
        <f>(1-p_delta_g)*AA278*(1-p_eps_g*$E279)+INDEX(Calib!$E$1:$E$13,$D279)*(INDEX(Calib!$G$1:$G$13,$D279)+p_programme*$H279)</f>
        <v/>
      </c>
      <c r="AB279" s="26">
        <f>AB278*(1-p_eps_k*$E279)+p_lambda_k*(AD279-AB278*(1-p_eps_k*$E279))</f>
        <v/>
      </c>
      <c r="AC279" s="26">
        <f>INDEX(Calib!$R$1:$R$13,$D279)*$F279*(AA278*(1-p_eps_g*$E279))^INDEX(Calib!$Q$1:$Q$13,$D279)*(AB278*(1-p_eps_k*$E279))^p_alpha</f>
        <v/>
      </c>
      <c r="AD279" s="26">
        <f>p_alpha*(1-INDEX(Calib!$H$1:$H$13,$D279))*AC279/(INDEX(Calib!$K$1:$K$13,$D279)+p_delta)</f>
        <v/>
      </c>
      <c r="AE279" s="26">
        <f>AC279+$G279</f>
        <v/>
      </c>
      <c r="AF279" s="26">
        <f>p_programme*($H279+$I279)</f>
        <v/>
      </c>
      <c r="AG279" s="26">
        <f>INDEX(Calib!$I$1:$I$13,$D279)+p_sh_grant*AF279</f>
        <v/>
      </c>
      <c r="AH279" s="26">
        <f>INDEX(Calib!$H$1:$H$13,$D279)*AC279+p_gov_take*$G279+AG279+p_programme*p_pricing*$J279</f>
        <v/>
      </c>
      <c r="AI279" s="26">
        <f>INDEX(Calib!$Y$1:$Y$13,$D279)-INDEX(Calib!$Z$1:$Z$13,$D279)*(AL278/AE278-INDEX(Calib!$AA$1:$AA$13,$D279))</f>
        <v/>
      </c>
      <c r="AJ279" s="26">
        <f>INDEX(Calib!$X$1:$X$13,$D279)+INDEX(Calib!$G$1:$G$13,$D279)+AF279+AI279-AH279</f>
        <v/>
      </c>
      <c r="AK279" s="26">
        <f>p_rk*AM278+AO278*(AL278-AM278)</f>
        <v/>
      </c>
      <c r="AL279" s="26">
        <f>AL278+AK279+AJ279</f>
        <v/>
      </c>
      <c r="AM279" s="26">
        <f>INDEX(Calib!$U$1:$U$13,$D279)+(AM278-INDEX(Calib!$U$1:$U$13,$D279))*(1-p_amort)+p_sh_conc*AF279</f>
        <v/>
      </c>
      <c r="AN279" s="26">
        <f>AL279/AE279</f>
        <v/>
      </c>
      <c r="AO279" s="26">
        <f>INDEX(Calib!$K$1:$K$13,$D279)+p_eta*MAX(0,AN279-INDEX(Calib!$AA$1:$AA$13,$D279))</f>
        <v/>
      </c>
      <c r="AP279" s="26">
        <f>(1-INDEX(Calib!$H$1:$H$13,$D279))*(1-p_alpha)*AC279+AI279</f>
        <v/>
      </c>
      <c r="AQ279" s="26">
        <f>(AE279/O279-1)*100</f>
        <v/>
      </c>
      <c r="AR279" s="26">
        <f>(AE279/AE272-1)*100</f>
        <v/>
      </c>
      <c r="AS279" s="26">
        <f>(O279/O272-1)*100</f>
        <v/>
      </c>
      <c r="AT279" s="26">
        <f>(AN279-X279)*100</f>
        <v/>
      </c>
      <c r="AU279" s="26">
        <f>(AP279/Z279-1)*100</f>
        <v/>
      </c>
      <c r="AV279" s="26">
        <f>(AI279-S279)*100</f>
        <v/>
      </c>
    </row>
    <row r="280">
      <c r="A280" s="25" t="inlineStr">
        <is>
          <t>COG</t>
        </is>
      </c>
      <c r="B280" s="25" t="n">
        <v>2032</v>
      </c>
      <c r="C280" s="25" t="n">
        <v>8</v>
      </c>
      <c r="D280" s="25" t="n">
        <v>12</v>
      </c>
      <c r="E280" s="25">
        <f>IF(AND(p_dis_year&gt;0,B280=p_dis_year),1,0)</f>
        <v/>
      </c>
      <c r="F280" s="26">
        <f>IF(AND(p_dis_year&gt;0,B280&gt;=p_dis_year),1-p_eps_a*p_rho_a^(B280-p_dis_year),1)</f>
        <v/>
      </c>
      <c r="G280" s="26">
        <f>INDEX(Calib!$N$1:$N$13,$D280)*(1-p_rent_decline*MIN(1,C280/26))</f>
        <v/>
      </c>
      <c r="H280" s="26">
        <f>IF(C280=0,0,SUMIFS(dl_val,dl_iso,$A280,dl_ind,"pub_cap",dl_year,$B280)/100)</f>
        <v/>
      </c>
      <c r="I280" s="26">
        <f>IF(C280=0,0,SUMIFS(dl_val,dl_iso,$A280,dl_ind,"pub_spend",dl_year,$B280)/100)</f>
        <v/>
      </c>
      <c r="J280" s="26">
        <f>IF(C280=0,0,SUMIFS(dl_val,dl_iso,$A280,dl_ind,"rev",dl_year,$B280)/100)</f>
        <v/>
      </c>
      <c r="K280" s="26">
        <f>(1-p_delta_g)*K279*(1-p_eps_g*$E280)+INDEX(Calib!$E$1:$E$13,$D280)*(INDEX(Calib!$G$1:$G$13,$D280)+0*$H280)</f>
        <v/>
      </c>
      <c r="L280" s="26">
        <f>L279*(1-p_eps_k*$E280)+p_lambda_k*(N280-L279*(1-p_eps_k*$E280))</f>
        <v/>
      </c>
      <c r="M280" s="26">
        <f>INDEX(Calib!$R$1:$R$13,$D280)*$F280*(K279*(1-p_eps_g*$E280))^INDEX(Calib!$Q$1:$Q$13,$D280)*(L279*(1-p_eps_k*$E280))^p_alpha</f>
        <v/>
      </c>
      <c r="N280" s="26">
        <f>p_alpha*(1-INDEX(Calib!$H$1:$H$13,$D280))*M280/(INDEX(Calib!$K$1:$K$13,$D280)+p_delta)</f>
        <v/>
      </c>
      <c r="O280" s="26">
        <f>M280+$G280</f>
        <v/>
      </c>
      <c r="P280" s="26">
        <f>0*($H280+$I280)</f>
        <v/>
      </c>
      <c r="Q280" s="26">
        <f>INDEX(Calib!$I$1:$I$13,$D280)+p_sh_grant*P280</f>
        <v/>
      </c>
      <c r="R280" s="26">
        <f>INDEX(Calib!$H$1:$H$13,$D280)*M280+p_gov_take*$G280+Q280+0*p_pricing*$J280</f>
        <v/>
      </c>
      <c r="S280" s="26">
        <f>INDEX(Calib!$Y$1:$Y$13,$D280)-INDEX(Calib!$Z$1:$Z$13,$D280)*(V279/O279-INDEX(Calib!$AA$1:$AA$13,$D280))</f>
        <v/>
      </c>
      <c r="T280" s="26">
        <f>INDEX(Calib!$X$1:$X$13,$D280)+INDEX(Calib!$G$1:$G$13,$D280)+P280+S280-R280</f>
        <v/>
      </c>
      <c r="U280" s="26">
        <f>p_rk*W279+Y279*(V279-W279)</f>
        <v/>
      </c>
      <c r="V280" s="26">
        <f>V279+U280+T280</f>
        <v/>
      </c>
      <c r="W280" s="26">
        <f>INDEX(Calib!$U$1:$U$13,$D280)+(W279-INDEX(Calib!$U$1:$U$13,$D280))*(1-p_amort)+p_sh_conc*P280</f>
        <v/>
      </c>
      <c r="X280" s="26">
        <f>V280/O280</f>
        <v/>
      </c>
      <c r="Y280" s="26">
        <f>INDEX(Calib!$K$1:$K$13,$D280)+p_eta*MAX(0,X280-INDEX(Calib!$AA$1:$AA$13,$D280))</f>
        <v/>
      </c>
      <c r="Z280" s="26">
        <f>(1-INDEX(Calib!$H$1:$H$13,$D280))*(1-p_alpha)*M280+S280</f>
        <v/>
      </c>
      <c r="AA280" s="26">
        <f>(1-p_delta_g)*AA279*(1-p_eps_g*$E280)+INDEX(Calib!$E$1:$E$13,$D280)*(INDEX(Calib!$G$1:$G$13,$D280)+p_programme*$H280)</f>
        <v/>
      </c>
      <c r="AB280" s="26">
        <f>AB279*(1-p_eps_k*$E280)+p_lambda_k*(AD280-AB279*(1-p_eps_k*$E280))</f>
        <v/>
      </c>
      <c r="AC280" s="26">
        <f>INDEX(Calib!$R$1:$R$13,$D280)*$F280*(AA279*(1-p_eps_g*$E280))^INDEX(Calib!$Q$1:$Q$13,$D280)*(AB279*(1-p_eps_k*$E280))^p_alpha</f>
        <v/>
      </c>
      <c r="AD280" s="26">
        <f>p_alpha*(1-INDEX(Calib!$H$1:$H$13,$D280))*AC280/(INDEX(Calib!$K$1:$K$13,$D280)+p_delta)</f>
        <v/>
      </c>
      <c r="AE280" s="26">
        <f>AC280+$G280</f>
        <v/>
      </c>
      <c r="AF280" s="26">
        <f>p_programme*($H280+$I280)</f>
        <v/>
      </c>
      <c r="AG280" s="26">
        <f>INDEX(Calib!$I$1:$I$13,$D280)+p_sh_grant*AF280</f>
        <v/>
      </c>
      <c r="AH280" s="26">
        <f>INDEX(Calib!$H$1:$H$13,$D280)*AC280+p_gov_take*$G280+AG280+p_programme*p_pricing*$J280</f>
        <v/>
      </c>
      <c r="AI280" s="26">
        <f>INDEX(Calib!$Y$1:$Y$13,$D280)-INDEX(Calib!$Z$1:$Z$13,$D280)*(AL279/AE279-INDEX(Calib!$AA$1:$AA$13,$D280))</f>
        <v/>
      </c>
      <c r="AJ280" s="26">
        <f>INDEX(Calib!$X$1:$X$13,$D280)+INDEX(Calib!$G$1:$G$13,$D280)+AF280+AI280-AH280</f>
        <v/>
      </c>
      <c r="AK280" s="26">
        <f>p_rk*AM279+AO279*(AL279-AM279)</f>
        <v/>
      </c>
      <c r="AL280" s="26">
        <f>AL279+AK280+AJ280</f>
        <v/>
      </c>
      <c r="AM280" s="26">
        <f>INDEX(Calib!$U$1:$U$13,$D280)+(AM279-INDEX(Calib!$U$1:$U$13,$D280))*(1-p_amort)+p_sh_conc*AF280</f>
        <v/>
      </c>
      <c r="AN280" s="26">
        <f>AL280/AE280</f>
        <v/>
      </c>
      <c r="AO280" s="26">
        <f>INDEX(Calib!$K$1:$K$13,$D280)+p_eta*MAX(0,AN280-INDEX(Calib!$AA$1:$AA$13,$D280))</f>
        <v/>
      </c>
      <c r="AP280" s="26">
        <f>(1-INDEX(Calib!$H$1:$H$13,$D280))*(1-p_alpha)*AC280+AI280</f>
        <v/>
      </c>
      <c r="AQ280" s="26">
        <f>(AE280/O280-1)*100</f>
        <v/>
      </c>
      <c r="AR280" s="26">
        <f>(AE280/AE272-1)*100</f>
        <v/>
      </c>
      <c r="AS280" s="26">
        <f>(O280/O272-1)*100</f>
        <v/>
      </c>
      <c r="AT280" s="26">
        <f>(AN280-X280)*100</f>
        <v/>
      </c>
      <c r="AU280" s="26">
        <f>(AP280/Z280-1)*100</f>
        <v/>
      </c>
      <c r="AV280" s="26">
        <f>(AI280-S280)*100</f>
        <v/>
      </c>
    </row>
    <row r="281">
      <c r="A281" s="25" t="inlineStr">
        <is>
          <t>COG</t>
        </is>
      </c>
      <c r="B281" s="25" t="n">
        <v>2033</v>
      </c>
      <c r="C281" s="25" t="n">
        <v>9</v>
      </c>
      <c r="D281" s="25" t="n">
        <v>12</v>
      </c>
      <c r="E281" s="25">
        <f>IF(AND(p_dis_year&gt;0,B281=p_dis_year),1,0)</f>
        <v/>
      </c>
      <c r="F281" s="26">
        <f>IF(AND(p_dis_year&gt;0,B281&gt;=p_dis_year),1-p_eps_a*p_rho_a^(B281-p_dis_year),1)</f>
        <v/>
      </c>
      <c r="G281" s="26">
        <f>INDEX(Calib!$N$1:$N$13,$D281)*(1-p_rent_decline*MIN(1,C281/26))</f>
        <v/>
      </c>
      <c r="H281" s="26">
        <f>IF(C281=0,0,SUMIFS(dl_val,dl_iso,$A281,dl_ind,"pub_cap",dl_year,$B281)/100)</f>
        <v/>
      </c>
      <c r="I281" s="26">
        <f>IF(C281=0,0,SUMIFS(dl_val,dl_iso,$A281,dl_ind,"pub_spend",dl_year,$B281)/100)</f>
        <v/>
      </c>
      <c r="J281" s="26">
        <f>IF(C281=0,0,SUMIFS(dl_val,dl_iso,$A281,dl_ind,"rev",dl_year,$B281)/100)</f>
        <v/>
      </c>
      <c r="K281" s="26">
        <f>(1-p_delta_g)*K280*(1-p_eps_g*$E281)+INDEX(Calib!$E$1:$E$13,$D281)*(INDEX(Calib!$G$1:$G$13,$D281)+0*$H281)</f>
        <v/>
      </c>
      <c r="L281" s="26">
        <f>L280*(1-p_eps_k*$E281)+p_lambda_k*(N281-L280*(1-p_eps_k*$E281))</f>
        <v/>
      </c>
      <c r="M281" s="26">
        <f>INDEX(Calib!$R$1:$R$13,$D281)*$F281*(K280*(1-p_eps_g*$E281))^INDEX(Calib!$Q$1:$Q$13,$D281)*(L280*(1-p_eps_k*$E281))^p_alpha</f>
        <v/>
      </c>
      <c r="N281" s="26">
        <f>p_alpha*(1-INDEX(Calib!$H$1:$H$13,$D281))*M281/(INDEX(Calib!$K$1:$K$13,$D281)+p_delta)</f>
        <v/>
      </c>
      <c r="O281" s="26">
        <f>M281+$G281</f>
        <v/>
      </c>
      <c r="P281" s="26">
        <f>0*($H281+$I281)</f>
        <v/>
      </c>
      <c r="Q281" s="26">
        <f>INDEX(Calib!$I$1:$I$13,$D281)+p_sh_grant*P281</f>
        <v/>
      </c>
      <c r="R281" s="26">
        <f>INDEX(Calib!$H$1:$H$13,$D281)*M281+p_gov_take*$G281+Q281+0*p_pricing*$J281</f>
        <v/>
      </c>
      <c r="S281" s="26">
        <f>INDEX(Calib!$Y$1:$Y$13,$D281)-INDEX(Calib!$Z$1:$Z$13,$D281)*(V280/O280-INDEX(Calib!$AA$1:$AA$13,$D281))</f>
        <v/>
      </c>
      <c r="T281" s="26">
        <f>INDEX(Calib!$X$1:$X$13,$D281)+INDEX(Calib!$G$1:$G$13,$D281)+P281+S281-R281</f>
        <v/>
      </c>
      <c r="U281" s="26">
        <f>p_rk*W280+Y280*(V280-W280)</f>
        <v/>
      </c>
      <c r="V281" s="26">
        <f>V280+U281+T281</f>
        <v/>
      </c>
      <c r="W281" s="26">
        <f>INDEX(Calib!$U$1:$U$13,$D281)+(W280-INDEX(Calib!$U$1:$U$13,$D281))*(1-p_amort)+p_sh_conc*P281</f>
        <v/>
      </c>
      <c r="X281" s="26">
        <f>V281/O281</f>
        <v/>
      </c>
      <c r="Y281" s="26">
        <f>INDEX(Calib!$K$1:$K$13,$D281)+p_eta*MAX(0,X281-INDEX(Calib!$AA$1:$AA$13,$D281))</f>
        <v/>
      </c>
      <c r="Z281" s="26">
        <f>(1-INDEX(Calib!$H$1:$H$13,$D281))*(1-p_alpha)*M281+S281</f>
        <v/>
      </c>
      <c r="AA281" s="26">
        <f>(1-p_delta_g)*AA280*(1-p_eps_g*$E281)+INDEX(Calib!$E$1:$E$13,$D281)*(INDEX(Calib!$G$1:$G$13,$D281)+p_programme*$H281)</f>
        <v/>
      </c>
      <c r="AB281" s="26">
        <f>AB280*(1-p_eps_k*$E281)+p_lambda_k*(AD281-AB280*(1-p_eps_k*$E281))</f>
        <v/>
      </c>
      <c r="AC281" s="26">
        <f>INDEX(Calib!$R$1:$R$13,$D281)*$F281*(AA280*(1-p_eps_g*$E281))^INDEX(Calib!$Q$1:$Q$13,$D281)*(AB280*(1-p_eps_k*$E281))^p_alpha</f>
        <v/>
      </c>
      <c r="AD281" s="26">
        <f>p_alpha*(1-INDEX(Calib!$H$1:$H$13,$D281))*AC281/(INDEX(Calib!$K$1:$K$13,$D281)+p_delta)</f>
        <v/>
      </c>
      <c r="AE281" s="26">
        <f>AC281+$G281</f>
        <v/>
      </c>
      <c r="AF281" s="26">
        <f>p_programme*($H281+$I281)</f>
        <v/>
      </c>
      <c r="AG281" s="26">
        <f>INDEX(Calib!$I$1:$I$13,$D281)+p_sh_grant*AF281</f>
        <v/>
      </c>
      <c r="AH281" s="26">
        <f>INDEX(Calib!$H$1:$H$13,$D281)*AC281+p_gov_take*$G281+AG281+p_programme*p_pricing*$J281</f>
        <v/>
      </c>
      <c r="AI281" s="26">
        <f>INDEX(Calib!$Y$1:$Y$13,$D281)-INDEX(Calib!$Z$1:$Z$13,$D281)*(AL280/AE280-INDEX(Calib!$AA$1:$AA$13,$D281))</f>
        <v/>
      </c>
      <c r="AJ281" s="26">
        <f>INDEX(Calib!$X$1:$X$13,$D281)+INDEX(Calib!$G$1:$G$13,$D281)+AF281+AI281-AH281</f>
        <v/>
      </c>
      <c r="AK281" s="26">
        <f>p_rk*AM280+AO280*(AL280-AM280)</f>
        <v/>
      </c>
      <c r="AL281" s="26">
        <f>AL280+AK281+AJ281</f>
        <v/>
      </c>
      <c r="AM281" s="26">
        <f>INDEX(Calib!$U$1:$U$13,$D281)+(AM280-INDEX(Calib!$U$1:$U$13,$D281))*(1-p_amort)+p_sh_conc*AF281</f>
        <v/>
      </c>
      <c r="AN281" s="26">
        <f>AL281/AE281</f>
        <v/>
      </c>
      <c r="AO281" s="26">
        <f>INDEX(Calib!$K$1:$K$13,$D281)+p_eta*MAX(0,AN281-INDEX(Calib!$AA$1:$AA$13,$D281))</f>
        <v/>
      </c>
      <c r="AP281" s="26">
        <f>(1-INDEX(Calib!$H$1:$H$13,$D281))*(1-p_alpha)*AC281+AI281</f>
        <v/>
      </c>
      <c r="AQ281" s="26">
        <f>(AE281/O281-1)*100</f>
        <v/>
      </c>
      <c r="AR281" s="26">
        <f>(AE281/AE272-1)*100</f>
        <v/>
      </c>
      <c r="AS281" s="26">
        <f>(O281/O272-1)*100</f>
        <v/>
      </c>
      <c r="AT281" s="26">
        <f>(AN281-X281)*100</f>
        <v/>
      </c>
      <c r="AU281" s="26">
        <f>(AP281/Z281-1)*100</f>
        <v/>
      </c>
      <c r="AV281" s="26">
        <f>(AI281-S281)*100</f>
        <v/>
      </c>
    </row>
    <row r="282">
      <c r="A282" s="25" t="inlineStr">
        <is>
          <t>COG</t>
        </is>
      </c>
      <c r="B282" s="25" t="n">
        <v>2034</v>
      </c>
      <c r="C282" s="25" t="n">
        <v>10</v>
      </c>
      <c r="D282" s="25" t="n">
        <v>12</v>
      </c>
      <c r="E282" s="25">
        <f>IF(AND(p_dis_year&gt;0,B282=p_dis_year),1,0)</f>
        <v/>
      </c>
      <c r="F282" s="26">
        <f>IF(AND(p_dis_year&gt;0,B282&gt;=p_dis_year),1-p_eps_a*p_rho_a^(B282-p_dis_year),1)</f>
        <v/>
      </c>
      <c r="G282" s="26">
        <f>INDEX(Calib!$N$1:$N$13,$D282)*(1-p_rent_decline*MIN(1,C282/26))</f>
        <v/>
      </c>
      <c r="H282" s="26">
        <f>IF(C282=0,0,SUMIFS(dl_val,dl_iso,$A282,dl_ind,"pub_cap",dl_year,$B282)/100)</f>
        <v/>
      </c>
      <c r="I282" s="26">
        <f>IF(C282=0,0,SUMIFS(dl_val,dl_iso,$A282,dl_ind,"pub_spend",dl_year,$B282)/100)</f>
        <v/>
      </c>
      <c r="J282" s="26">
        <f>IF(C282=0,0,SUMIFS(dl_val,dl_iso,$A282,dl_ind,"rev",dl_year,$B282)/100)</f>
        <v/>
      </c>
      <c r="K282" s="26">
        <f>(1-p_delta_g)*K281*(1-p_eps_g*$E282)+INDEX(Calib!$E$1:$E$13,$D282)*(INDEX(Calib!$G$1:$G$13,$D282)+0*$H282)</f>
        <v/>
      </c>
      <c r="L282" s="26">
        <f>L281*(1-p_eps_k*$E282)+p_lambda_k*(N282-L281*(1-p_eps_k*$E282))</f>
        <v/>
      </c>
      <c r="M282" s="26">
        <f>INDEX(Calib!$R$1:$R$13,$D282)*$F282*(K281*(1-p_eps_g*$E282))^INDEX(Calib!$Q$1:$Q$13,$D282)*(L281*(1-p_eps_k*$E282))^p_alpha</f>
        <v/>
      </c>
      <c r="N282" s="26">
        <f>p_alpha*(1-INDEX(Calib!$H$1:$H$13,$D282))*M282/(INDEX(Calib!$K$1:$K$13,$D282)+p_delta)</f>
        <v/>
      </c>
      <c r="O282" s="26">
        <f>M282+$G282</f>
        <v/>
      </c>
      <c r="P282" s="26">
        <f>0*($H282+$I282)</f>
        <v/>
      </c>
      <c r="Q282" s="26">
        <f>INDEX(Calib!$I$1:$I$13,$D282)+p_sh_grant*P282</f>
        <v/>
      </c>
      <c r="R282" s="26">
        <f>INDEX(Calib!$H$1:$H$13,$D282)*M282+p_gov_take*$G282+Q282+0*p_pricing*$J282</f>
        <v/>
      </c>
      <c r="S282" s="26">
        <f>INDEX(Calib!$Y$1:$Y$13,$D282)-INDEX(Calib!$Z$1:$Z$13,$D282)*(V281/O281-INDEX(Calib!$AA$1:$AA$13,$D282))</f>
        <v/>
      </c>
      <c r="T282" s="26">
        <f>INDEX(Calib!$X$1:$X$13,$D282)+INDEX(Calib!$G$1:$G$13,$D282)+P282+S282-R282</f>
        <v/>
      </c>
      <c r="U282" s="26">
        <f>p_rk*W281+Y281*(V281-W281)</f>
        <v/>
      </c>
      <c r="V282" s="26">
        <f>V281+U282+T282</f>
        <v/>
      </c>
      <c r="W282" s="26">
        <f>INDEX(Calib!$U$1:$U$13,$D282)+(W281-INDEX(Calib!$U$1:$U$13,$D282))*(1-p_amort)+p_sh_conc*P282</f>
        <v/>
      </c>
      <c r="X282" s="26">
        <f>V282/O282</f>
        <v/>
      </c>
      <c r="Y282" s="26">
        <f>INDEX(Calib!$K$1:$K$13,$D282)+p_eta*MAX(0,X282-INDEX(Calib!$AA$1:$AA$13,$D282))</f>
        <v/>
      </c>
      <c r="Z282" s="26">
        <f>(1-INDEX(Calib!$H$1:$H$13,$D282))*(1-p_alpha)*M282+S282</f>
        <v/>
      </c>
      <c r="AA282" s="26">
        <f>(1-p_delta_g)*AA281*(1-p_eps_g*$E282)+INDEX(Calib!$E$1:$E$13,$D282)*(INDEX(Calib!$G$1:$G$13,$D282)+p_programme*$H282)</f>
        <v/>
      </c>
      <c r="AB282" s="26">
        <f>AB281*(1-p_eps_k*$E282)+p_lambda_k*(AD282-AB281*(1-p_eps_k*$E282))</f>
        <v/>
      </c>
      <c r="AC282" s="26">
        <f>INDEX(Calib!$R$1:$R$13,$D282)*$F282*(AA281*(1-p_eps_g*$E282))^INDEX(Calib!$Q$1:$Q$13,$D282)*(AB281*(1-p_eps_k*$E282))^p_alpha</f>
        <v/>
      </c>
      <c r="AD282" s="26">
        <f>p_alpha*(1-INDEX(Calib!$H$1:$H$13,$D282))*AC282/(INDEX(Calib!$K$1:$K$13,$D282)+p_delta)</f>
        <v/>
      </c>
      <c r="AE282" s="26">
        <f>AC282+$G282</f>
        <v/>
      </c>
      <c r="AF282" s="26">
        <f>p_programme*($H282+$I282)</f>
        <v/>
      </c>
      <c r="AG282" s="26">
        <f>INDEX(Calib!$I$1:$I$13,$D282)+p_sh_grant*AF282</f>
        <v/>
      </c>
      <c r="AH282" s="26">
        <f>INDEX(Calib!$H$1:$H$13,$D282)*AC282+p_gov_take*$G282+AG282+p_programme*p_pricing*$J282</f>
        <v/>
      </c>
      <c r="AI282" s="26">
        <f>INDEX(Calib!$Y$1:$Y$13,$D282)-INDEX(Calib!$Z$1:$Z$13,$D282)*(AL281/AE281-INDEX(Calib!$AA$1:$AA$13,$D282))</f>
        <v/>
      </c>
      <c r="AJ282" s="26">
        <f>INDEX(Calib!$X$1:$X$13,$D282)+INDEX(Calib!$G$1:$G$13,$D282)+AF282+AI282-AH282</f>
        <v/>
      </c>
      <c r="AK282" s="26">
        <f>p_rk*AM281+AO281*(AL281-AM281)</f>
        <v/>
      </c>
      <c r="AL282" s="26">
        <f>AL281+AK282+AJ282</f>
        <v/>
      </c>
      <c r="AM282" s="26">
        <f>INDEX(Calib!$U$1:$U$13,$D282)+(AM281-INDEX(Calib!$U$1:$U$13,$D282))*(1-p_amort)+p_sh_conc*AF282</f>
        <v/>
      </c>
      <c r="AN282" s="26">
        <f>AL282/AE282</f>
        <v/>
      </c>
      <c r="AO282" s="26">
        <f>INDEX(Calib!$K$1:$K$13,$D282)+p_eta*MAX(0,AN282-INDEX(Calib!$AA$1:$AA$13,$D282))</f>
        <v/>
      </c>
      <c r="AP282" s="26">
        <f>(1-INDEX(Calib!$H$1:$H$13,$D282))*(1-p_alpha)*AC282+AI282</f>
        <v/>
      </c>
      <c r="AQ282" s="26">
        <f>(AE282/O282-1)*100</f>
        <v/>
      </c>
      <c r="AR282" s="26">
        <f>(AE282/AE272-1)*100</f>
        <v/>
      </c>
      <c r="AS282" s="26">
        <f>(O282/O272-1)*100</f>
        <v/>
      </c>
      <c r="AT282" s="26">
        <f>(AN282-X282)*100</f>
        <v/>
      </c>
      <c r="AU282" s="26">
        <f>(AP282/Z282-1)*100</f>
        <v/>
      </c>
      <c r="AV282" s="26">
        <f>(AI282-S282)*100</f>
        <v/>
      </c>
    </row>
    <row r="283">
      <c r="A283" s="25" t="inlineStr">
        <is>
          <t>COG</t>
        </is>
      </c>
      <c r="B283" s="25" t="n">
        <v>2035</v>
      </c>
      <c r="C283" s="25" t="n">
        <v>11</v>
      </c>
      <c r="D283" s="25" t="n">
        <v>12</v>
      </c>
      <c r="E283" s="25">
        <f>IF(AND(p_dis_year&gt;0,B283=p_dis_year),1,0)</f>
        <v/>
      </c>
      <c r="F283" s="26">
        <f>IF(AND(p_dis_year&gt;0,B283&gt;=p_dis_year),1-p_eps_a*p_rho_a^(B283-p_dis_year),1)</f>
        <v/>
      </c>
      <c r="G283" s="26">
        <f>INDEX(Calib!$N$1:$N$13,$D283)*(1-p_rent_decline*MIN(1,C283/26))</f>
        <v/>
      </c>
      <c r="H283" s="26">
        <f>IF(C283=0,0,SUMIFS(dl_val,dl_iso,$A283,dl_ind,"pub_cap",dl_year,$B283)/100)</f>
        <v/>
      </c>
      <c r="I283" s="26">
        <f>IF(C283=0,0,SUMIFS(dl_val,dl_iso,$A283,dl_ind,"pub_spend",dl_year,$B283)/100)</f>
        <v/>
      </c>
      <c r="J283" s="26">
        <f>IF(C283=0,0,SUMIFS(dl_val,dl_iso,$A283,dl_ind,"rev",dl_year,$B283)/100)</f>
        <v/>
      </c>
      <c r="K283" s="26">
        <f>(1-p_delta_g)*K282*(1-p_eps_g*$E283)+INDEX(Calib!$E$1:$E$13,$D283)*(INDEX(Calib!$G$1:$G$13,$D283)+0*$H283)</f>
        <v/>
      </c>
      <c r="L283" s="26">
        <f>L282*(1-p_eps_k*$E283)+p_lambda_k*(N283-L282*(1-p_eps_k*$E283))</f>
        <v/>
      </c>
      <c r="M283" s="26">
        <f>INDEX(Calib!$R$1:$R$13,$D283)*$F283*(K282*(1-p_eps_g*$E283))^INDEX(Calib!$Q$1:$Q$13,$D283)*(L282*(1-p_eps_k*$E283))^p_alpha</f>
        <v/>
      </c>
      <c r="N283" s="26">
        <f>p_alpha*(1-INDEX(Calib!$H$1:$H$13,$D283))*M283/(INDEX(Calib!$K$1:$K$13,$D283)+p_delta)</f>
        <v/>
      </c>
      <c r="O283" s="26">
        <f>M283+$G283</f>
        <v/>
      </c>
      <c r="P283" s="26">
        <f>0*($H283+$I283)</f>
        <v/>
      </c>
      <c r="Q283" s="26">
        <f>INDEX(Calib!$I$1:$I$13,$D283)+p_sh_grant*P283</f>
        <v/>
      </c>
      <c r="R283" s="26">
        <f>INDEX(Calib!$H$1:$H$13,$D283)*M283+p_gov_take*$G283+Q283+0*p_pricing*$J283</f>
        <v/>
      </c>
      <c r="S283" s="26">
        <f>INDEX(Calib!$Y$1:$Y$13,$D283)-INDEX(Calib!$Z$1:$Z$13,$D283)*(V282/O282-INDEX(Calib!$AA$1:$AA$13,$D283))</f>
        <v/>
      </c>
      <c r="T283" s="26">
        <f>INDEX(Calib!$X$1:$X$13,$D283)+INDEX(Calib!$G$1:$G$13,$D283)+P283+S283-R283</f>
        <v/>
      </c>
      <c r="U283" s="26">
        <f>p_rk*W282+Y282*(V282-W282)</f>
        <v/>
      </c>
      <c r="V283" s="26">
        <f>V282+U283+T283</f>
        <v/>
      </c>
      <c r="W283" s="26">
        <f>INDEX(Calib!$U$1:$U$13,$D283)+(W282-INDEX(Calib!$U$1:$U$13,$D283))*(1-p_amort)+p_sh_conc*P283</f>
        <v/>
      </c>
      <c r="X283" s="26">
        <f>V283/O283</f>
        <v/>
      </c>
      <c r="Y283" s="26">
        <f>INDEX(Calib!$K$1:$K$13,$D283)+p_eta*MAX(0,X283-INDEX(Calib!$AA$1:$AA$13,$D283))</f>
        <v/>
      </c>
      <c r="Z283" s="26">
        <f>(1-INDEX(Calib!$H$1:$H$13,$D283))*(1-p_alpha)*M283+S283</f>
        <v/>
      </c>
      <c r="AA283" s="26">
        <f>(1-p_delta_g)*AA282*(1-p_eps_g*$E283)+INDEX(Calib!$E$1:$E$13,$D283)*(INDEX(Calib!$G$1:$G$13,$D283)+p_programme*$H283)</f>
        <v/>
      </c>
      <c r="AB283" s="26">
        <f>AB282*(1-p_eps_k*$E283)+p_lambda_k*(AD283-AB282*(1-p_eps_k*$E283))</f>
        <v/>
      </c>
      <c r="AC283" s="26">
        <f>INDEX(Calib!$R$1:$R$13,$D283)*$F283*(AA282*(1-p_eps_g*$E283))^INDEX(Calib!$Q$1:$Q$13,$D283)*(AB282*(1-p_eps_k*$E283))^p_alpha</f>
        <v/>
      </c>
      <c r="AD283" s="26">
        <f>p_alpha*(1-INDEX(Calib!$H$1:$H$13,$D283))*AC283/(INDEX(Calib!$K$1:$K$13,$D283)+p_delta)</f>
        <v/>
      </c>
      <c r="AE283" s="26">
        <f>AC283+$G283</f>
        <v/>
      </c>
      <c r="AF283" s="26">
        <f>p_programme*($H283+$I283)</f>
        <v/>
      </c>
      <c r="AG283" s="26">
        <f>INDEX(Calib!$I$1:$I$13,$D283)+p_sh_grant*AF283</f>
        <v/>
      </c>
      <c r="AH283" s="26">
        <f>INDEX(Calib!$H$1:$H$13,$D283)*AC283+p_gov_take*$G283+AG283+p_programme*p_pricing*$J283</f>
        <v/>
      </c>
      <c r="AI283" s="26">
        <f>INDEX(Calib!$Y$1:$Y$13,$D283)-INDEX(Calib!$Z$1:$Z$13,$D283)*(AL282/AE282-INDEX(Calib!$AA$1:$AA$13,$D283))</f>
        <v/>
      </c>
      <c r="AJ283" s="26">
        <f>INDEX(Calib!$X$1:$X$13,$D283)+INDEX(Calib!$G$1:$G$13,$D283)+AF283+AI283-AH283</f>
        <v/>
      </c>
      <c r="AK283" s="26">
        <f>p_rk*AM282+AO282*(AL282-AM282)</f>
        <v/>
      </c>
      <c r="AL283" s="26">
        <f>AL282+AK283+AJ283</f>
        <v/>
      </c>
      <c r="AM283" s="26">
        <f>INDEX(Calib!$U$1:$U$13,$D283)+(AM282-INDEX(Calib!$U$1:$U$13,$D283))*(1-p_amort)+p_sh_conc*AF283</f>
        <v/>
      </c>
      <c r="AN283" s="26">
        <f>AL283/AE283</f>
        <v/>
      </c>
      <c r="AO283" s="26">
        <f>INDEX(Calib!$K$1:$K$13,$D283)+p_eta*MAX(0,AN283-INDEX(Calib!$AA$1:$AA$13,$D283))</f>
        <v/>
      </c>
      <c r="AP283" s="26">
        <f>(1-INDEX(Calib!$H$1:$H$13,$D283))*(1-p_alpha)*AC283+AI283</f>
        <v/>
      </c>
      <c r="AQ283" s="26">
        <f>(AE283/O283-1)*100</f>
        <v/>
      </c>
      <c r="AR283" s="26">
        <f>(AE283/AE272-1)*100</f>
        <v/>
      </c>
      <c r="AS283" s="26">
        <f>(O283/O272-1)*100</f>
        <v/>
      </c>
      <c r="AT283" s="26">
        <f>(AN283-X283)*100</f>
        <v/>
      </c>
      <c r="AU283" s="26">
        <f>(AP283/Z283-1)*100</f>
        <v/>
      </c>
      <c r="AV283" s="26">
        <f>(AI283-S283)*100</f>
        <v/>
      </c>
    </row>
    <row r="284">
      <c r="A284" s="25" t="inlineStr">
        <is>
          <t>COG</t>
        </is>
      </c>
      <c r="B284" s="25" t="n">
        <v>2036</v>
      </c>
      <c r="C284" s="25" t="n">
        <v>12</v>
      </c>
      <c r="D284" s="25" t="n">
        <v>12</v>
      </c>
      <c r="E284" s="25">
        <f>IF(AND(p_dis_year&gt;0,B284=p_dis_year),1,0)</f>
        <v/>
      </c>
      <c r="F284" s="26">
        <f>IF(AND(p_dis_year&gt;0,B284&gt;=p_dis_year),1-p_eps_a*p_rho_a^(B284-p_dis_year),1)</f>
        <v/>
      </c>
      <c r="G284" s="26">
        <f>INDEX(Calib!$N$1:$N$13,$D284)*(1-p_rent_decline*MIN(1,C284/26))</f>
        <v/>
      </c>
      <c r="H284" s="26">
        <f>IF(C284=0,0,SUMIFS(dl_val,dl_iso,$A284,dl_ind,"pub_cap",dl_year,$B284)/100)</f>
        <v/>
      </c>
      <c r="I284" s="26">
        <f>IF(C284=0,0,SUMIFS(dl_val,dl_iso,$A284,dl_ind,"pub_spend",dl_year,$B284)/100)</f>
        <v/>
      </c>
      <c r="J284" s="26">
        <f>IF(C284=0,0,SUMIFS(dl_val,dl_iso,$A284,dl_ind,"rev",dl_year,$B284)/100)</f>
        <v/>
      </c>
      <c r="K284" s="26">
        <f>(1-p_delta_g)*K283*(1-p_eps_g*$E284)+INDEX(Calib!$E$1:$E$13,$D284)*(INDEX(Calib!$G$1:$G$13,$D284)+0*$H284)</f>
        <v/>
      </c>
      <c r="L284" s="26">
        <f>L283*(1-p_eps_k*$E284)+p_lambda_k*(N284-L283*(1-p_eps_k*$E284))</f>
        <v/>
      </c>
      <c r="M284" s="26">
        <f>INDEX(Calib!$R$1:$R$13,$D284)*$F284*(K283*(1-p_eps_g*$E284))^INDEX(Calib!$Q$1:$Q$13,$D284)*(L283*(1-p_eps_k*$E284))^p_alpha</f>
        <v/>
      </c>
      <c r="N284" s="26">
        <f>p_alpha*(1-INDEX(Calib!$H$1:$H$13,$D284))*M284/(INDEX(Calib!$K$1:$K$13,$D284)+p_delta)</f>
        <v/>
      </c>
      <c r="O284" s="26">
        <f>M284+$G284</f>
        <v/>
      </c>
      <c r="P284" s="26">
        <f>0*($H284+$I284)</f>
        <v/>
      </c>
      <c r="Q284" s="26">
        <f>INDEX(Calib!$I$1:$I$13,$D284)+p_sh_grant*P284</f>
        <v/>
      </c>
      <c r="R284" s="26">
        <f>INDEX(Calib!$H$1:$H$13,$D284)*M284+p_gov_take*$G284+Q284+0*p_pricing*$J284</f>
        <v/>
      </c>
      <c r="S284" s="26">
        <f>INDEX(Calib!$Y$1:$Y$13,$D284)-INDEX(Calib!$Z$1:$Z$13,$D284)*(V283/O283-INDEX(Calib!$AA$1:$AA$13,$D284))</f>
        <v/>
      </c>
      <c r="T284" s="26">
        <f>INDEX(Calib!$X$1:$X$13,$D284)+INDEX(Calib!$G$1:$G$13,$D284)+P284+S284-R284</f>
        <v/>
      </c>
      <c r="U284" s="26">
        <f>p_rk*W283+Y283*(V283-W283)</f>
        <v/>
      </c>
      <c r="V284" s="26">
        <f>V283+U284+T284</f>
        <v/>
      </c>
      <c r="W284" s="26">
        <f>INDEX(Calib!$U$1:$U$13,$D284)+(W283-INDEX(Calib!$U$1:$U$13,$D284))*(1-p_amort)+p_sh_conc*P284</f>
        <v/>
      </c>
      <c r="X284" s="26">
        <f>V284/O284</f>
        <v/>
      </c>
      <c r="Y284" s="26">
        <f>INDEX(Calib!$K$1:$K$13,$D284)+p_eta*MAX(0,X284-INDEX(Calib!$AA$1:$AA$13,$D284))</f>
        <v/>
      </c>
      <c r="Z284" s="26">
        <f>(1-INDEX(Calib!$H$1:$H$13,$D284))*(1-p_alpha)*M284+S284</f>
        <v/>
      </c>
      <c r="AA284" s="26">
        <f>(1-p_delta_g)*AA283*(1-p_eps_g*$E284)+INDEX(Calib!$E$1:$E$13,$D284)*(INDEX(Calib!$G$1:$G$13,$D284)+p_programme*$H284)</f>
        <v/>
      </c>
      <c r="AB284" s="26">
        <f>AB283*(1-p_eps_k*$E284)+p_lambda_k*(AD284-AB283*(1-p_eps_k*$E284))</f>
        <v/>
      </c>
      <c r="AC284" s="26">
        <f>INDEX(Calib!$R$1:$R$13,$D284)*$F284*(AA283*(1-p_eps_g*$E284))^INDEX(Calib!$Q$1:$Q$13,$D284)*(AB283*(1-p_eps_k*$E284))^p_alpha</f>
        <v/>
      </c>
      <c r="AD284" s="26">
        <f>p_alpha*(1-INDEX(Calib!$H$1:$H$13,$D284))*AC284/(INDEX(Calib!$K$1:$K$13,$D284)+p_delta)</f>
        <v/>
      </c>
      <c r="AE284" s="26">
        <f>AC284+$G284</f>
        <v/>
      </c>
      <c r="AF284" s="26">
        <f>p_programme*($H284+$I284)</f>
        <v/>
      </c>
      <c r="AG284" s="26">
        <f>INDEX(Calib!$I$1:$I$13,$D284)+p_sh_grant*AF284</f>
        <v/>
      </c>
      <c r="AH284" s="26">
        <f>INDEX(Calib!$H$1:$H$13,$D284)*AC284+p_gov_take*$G284+AG284+p_programme*p_pricing*$J284</f>
        <v/>
      </c>
      <c r="AI284" s="26">
        <f>INDEX(Calib!$Y$1:$Y$13,$D284)-INDEX(Calib!$Z$1:$Z$13,$D284)*(AL283/AE283-INDEX(Calib!$AA$1:$AA$13,$D284))</f>
        <v/>
      </c>
      <c r="AJ284" s="26">
        <f>INDEX(Calib!$X$1:$X$13,$D284)+INDEX(Calib!$G$1:$G$13,$D284)+AF284+AI284-AH284</f>
        <v/>
      </c>
      <c r="AK284" s="26">
        <f>p_rk*AM283+AO283*(AL283-AM283)</f>
        <v/>
      </c>
      <c r="AL284" s="26">
        <f>AL283+AK284+AJ284</f>
        <v/>
      </c>
      <c r="AM284" s="26">
        <f>INDEX(Calib!$U$1:$U$13,$D284)+(AM283-INDEX(Calib!$U$1:$U$13,$D284))*(1-p_amort)+p_sh_conc*AF284</f>
        <v/>
      </c>
      <c r="AN284" s="26">
        <f>AL284/AE284</f>
        <v/>
      </c>
      <c r="AO284" s="26">
        <f>INDEX(Calib!$K$1:$K$13,$D284)+p_eta*MAX(0,AN284-INDEX(Calib!$AA$1:$AA$13,$D284))</f>
        <v/>
      </c>
      <c r="AP284" s="26">
        <f>(1-INDEX(Calib!$H$1:$H$13,$D284))*(1-p_alpha)*AC284+AI284</f>
        <v/>
      </c>
      <c r="AQ284" s="26">
        <f>(AE284/O284-1)*100</f>
        <v/>
      </c>
      <c r="AR284" s="26">
        <f>(AE284/AE272-1)*100</f>
        <v/>
      </c>
      <c r="AS284" s="26">
        <f>(O284/O272-1)*100</f>
        <v/>
      </c>
      <c r="AT284" s="26">
        <f>(AN284-X284)*100</f>
        <v/>
      </c>
      <c r="AU284" s="26">
        <f>(AP284/Z284-1)*100</f>
        <v/>
      </c>
      <c r="AV284" s="26">
        <f>(AI284-S284)*100</f>
        <v/>
      </c>
    </row>
    <row r="285">
      <c r="A285" s="25" t="inlineStr">
        <is>
          <t>COG</t>
        </is>
      </c>
      <c r="B285" s="25" t="n">
        <v>2037</v>
      </c>
      <c r="C285" s="25" t="n">
        <v>13</v>
      </c>
      <c r="D285" s="25" t="n">
        <v>12</v>
      </c>
      <c r="E285" s="25">
        <f>IF(AND(p_dis_year&gt;0,B285=p_dis_year),1,0)</f>
        <v/>
      </c>
      <c r="F285" s="26">
        <f>IF(AND(p_dis_year&gt;0,B285&gt;=p_dis_year),1-p_eps_a*p_rho_a^(B285-p_dis_year),1)</f>
        <v/>
      </c>
      <c r="G285" s="26">
        <f>INDEX(Calib!$N$1:$N$13,$D285)*(1-p_rent_decline*MIN(1,C285/26))</f>
        <v/>
      </c>
      <c r="H285" s="26">
        <f>IF(C285=0,0,SUMIFS(dl_val,dl_iso,$A285,dl_ind,"pub_cap",dl_year,$B285)/100)</f>
        <v/>
      </c>
      <c r="I285" s="26">
        <f>IF(C285=0,0,SUMIFS(dl_val,dl_iso,$A285,dl_ind,"pub_spend",dl_year,$B285)/100)</f>
        <v/>
      </c>
      <c r="J285" s="26">
        <f>IF(C285=0,0,SUMIFS(dl_val,dl_iso,$A285,dl_ind,"rev",dl_year,$B285)/100)</f>
        <v/>
      </c>
      <c r="K285" s="26">
        <f>(1-p_delta_g)*K284*(1-p_eps_g*$E285)+INDEX(Calib!$E$1:$E$13,$D285)*(INDEX(Calib!$G$1:$G$13,$D285)+0*$H285)</f>
        <v/>
      </c>
      <c r="L285" s="26">
        <f>L284*(1-p_eps_k*$E285)+p_lambda_k*(N285-L284*(1-p_eps_k*$E285))</f>
        <v/>
      </c>
      <c r="M285" s="26">
        <f>INDEX(Calib!$R$1:$R$13,$D285)*$F285*(K284*(1-p_eps_g*$E285))^INDEX(Calib!$Q$1:$Q$13,$D285)*(L284*(1-p_eps_k*$E285))^p_alpha</f>
        <v/>
      </c>
      <c r="N285" s="26">
        <f>p_alpha*(1-INDEX(Calib!$H$1:$H$13,$D285))*M285/(INDEX(Calib!$K$1:$K$13,$D285)+p_delta)</f>
        <v/>
      </c>
      <c r="O285" s="26">
        <f>M285+$G285</f>
        <v/>
      </c>
      <c r="P285" s="26">
        <f>0*($H285+$I285)</f>
        <v/>
      </c>
      <c r="Q285" s="26">
        <f>INDEX(Calib!$I$1:$I$13,$D285)+p_sh_grant*P285</f>
        <v/>
      </c>
      <c r="R285" s="26">
        <f>INDEX(Calib!$H$1:$H$13,$D285)*M285+p_gov_take*$G285+Q285+0*p_pricing*$J285</f>
        <v/>
      </c>
      <c r="S285" s="26">
        <f>INDEX(Calib!$Y$1:$Y$13,$D285)-INDEX(Calib!$Z$1:$Z$13,$D285)*(V284/O284-INDEX(Calib!$AA$1:$AA$13,$D285))</f>
        <v/>
      </c>
      <c r="T285" s="26">
        <f>INDEX(Calib!$X$1:$X$13,$D285)+INDEX(Calib!$G$1:$G$13,$D285)+P285+S285-R285</f>
        <v/>
      </c>
      <c r="U285" s="26">
        <f>p_rk*W284+Y284*(V284-W284)</f>
        <v/>
      </c>
      <c r="V285" s="26">
        <f>V284+U285+T285</f>
        <v/>
      </c>
      <c r="W285" s="26">
        <f>INDEX(Calib!$U$1:$U$13,$D285)+(W284-INDEX(Calib!$U$1:$U$13,$D285))*(1-p_amort)+p_sh_conc*P285</f>
        <v/>
      </c>
      <c r="X285" s="26">
        <f>V285/O285</f>
        <v/>
      </c>
      <c r="Y285" s="26">
        <f>INDEX(Calib!$K$1:$K$13,$D285)+p_eta*MAX(0,X285-INDEX(Calib!$AA$1:$AA$13,$D285))</f>
        <v/>
      </c>
      <c r="Z285" s="26">
        <f>(1-INDEX(Calib!$H$1:$H$13,$D285))*(1-p_alpha)*M285+S285</f>
        <v/>
      </c>
      <c r="AA285" s="26">
        <f>(1-p_delta_g)*AA284*(1-p_eps_g*$E285)+INDEX(Calib!$E$1:$E$13,$D285)*(INDEX(Calib!$G$1:$G$13,$D285)+p_programme*$H285)</f>
        <v/>
      </c>
      <c r="AB285" s="26">
        <f>AB284*(1-p_eps_k*$E285)+p_lambda_k*(AD285-AB284*(1-p_eps_k*$E285))</f>
        <v/>
      </c>
      <c r="AC285" s="26">
        <f>INDEX(Calib!$R$1:$R$13,$D285)*$F285*(AA284*(1-p_eps_g*$E285))^INDEX(Calib!$Q$1:$Q$13,$D285)*(AB284*(1-p_eps_k*$E285))^p_alpha</f>
        <v/>
      </c>
      <c r="AD285" s="26">
        <f>p_alpha*(1-INDEX(Calib!$H$1:$H$13,$D285))*AC285/(INDEX(Calib!$K$1:$K$13,$D285)+p_delta)</f>
        <v/>
      </c>
      <c r="AE285" s="26">
        <f>AC285+$G285</f>
        <v/>
      </c>
      <c r="AF285" s="26">
        <f>p_programme*($H285+$I285)</f>
        <v/>
      </c>
      <c r="AG285" s="26">
        <f>INDEX(Calib!$I$1:$I$13,$D285)+p_sh_grant*AF285</f>
        <v/>
      </c>
      <c r="AH285" s="26">
        <f>INDEX(Calib!$H$1:$H$13,$D285)*AC285+p_gov_take*$G285+AG285+p_programme*p_pricing*$J285</f>
        <v/>
      </c>
      <c r="AI285" s="26">
        <f>INDEX(Calib!$Y$1:$Y$13,$D285)-INDEX(Calib!$Z$1:$Z$13,$D285)*(AL284/AE284-INDEX(Calib!$AA$1:$AA$13,$D285))</f>
        <v/>
      </c>
      <c r="AJ285" s="26">
        <f>INDEX(Calib!$X$1:$X$13,$D285)+INDEX(Calib!$G$1:$G$13,$D285)+AF285+AI285-AH285</f>
        <v/>
      </c>
      <c r="AK285" s="26">
        <f>p_rk*AM284+AO284*(AL284-AM284)</f>
        <v/>
      </c>
      <c r="AL285" s="26">
        <f>AL284+AK285+AJ285</f>
        <v/>
      </c>
      <c r="AM285" s="26">
        <f>INDEX(Calib!$U$1:$U$13,$D285)+(AM284-INDEX(Calib!$U$1:$U$13,$D285))*(1-p_amort)+p_sh_conc*AF285</f>
        <v/>
      </c>
      <c r="AN285" s="26">
        <f>AL285/AE285</f>
        <v/>
      </c>
      <c r="AO285" s="26">
        <f>INDEX(Calib!$K$1:$K$13,$D285)+p_eta*MAX(0,AN285-INDEX(Calib!$AA$1:$AA$13,$D285))</f>
        <v/>
      </c>
      <c r="AP285" s="26">
        <f>(1-INDEX(Calib!$H$1:$H$13,$D285))*(1-p_alpha)*AC285+AI285</f>
        <v/>
      </c>
      <c r="AQ285" s="26">
        <f>(AE285/O285-1)*100</f>
        <v/>
      </c>
      <c r="AR285" s="26">
        <f>(AE285/AE272-1)*100</f>
        <v/>
      </c>
      <c r="AS285" s="26">
        <f>(O285/O272-1)*100</f>
        <v/>
      </c>
      <c r="AT285" s="26">
        <f>(AN285-X285)*100</f>
        <v/>
      </c>
      <c r="AU285" s="26">
        <f>(AP285/Z285-1)*100</f>
        <v/>
      </c>
      <c r="AV285" s="26">
        <f>(AI285-S285)*100</f>
        <v/>
      </c>
    </row>
    <row r="286">
      <c r="A286" s="25" t="inlineStr">
        <is>
          <t>COG</t>
        </is>
      </c>
      <c r="B286" s="25" t="n">
        <v>2038</v>
      </c>
      <c r="C286" s="25" t="n">
        <v>14</v>
      </c>
      <c r="D286" s="25" t="n">
        <v>12</v>
      </c>
      <c r="E286" s="25">
        <f>IF(AND(p_dis_year&gt;0,B286=p_dis_year),1,0)</f>
        <v/>
      </c>
      <c r="F286" s="26">
        <f>IF(AND(p_dis_year&gt;0,B286&gt;=p_dis_year),1-p_eps_a*p_rho_a^(B286-p_dis_year),1)</f>
        <v/>
      </c>
      <c r="G286" s="26">
        <f>INDEX(Calib!$N$1:$N$13,$D286)*(1-p_rent_decline*MIN(1,C286/26))</f>
        <v/>
      </c>
      <c r="H286" s="26">
        <f>IF(C286=0,0,SUMIFS(dl_val,dl_iso,$A286,dl_ind,"pub_cap",dl_year,$B286)/100)</f>
        <v/>
      </c>
      <c r="I286" s="26">
        <f>IF(C286=0,0,SUMIFS(dl_val,dl_iso,$A286,dl_ind,"pub_spend",dl_year,$B286)/100)</f>
        <v/>
      </c>
      <c r="J286" s="26">
        <f>IF(C286=0,0,SUMIFS(dl_val,dl_iso,$A286,dl_ind,"rev",dl_year,$B286)/100)</f>
        <v/>
      </c>
      <c r="K286" s="26">
        <f>(1-p_delta_g)*K285*(1-p_eps_g*$E286)+INDEX(Calib!$E$1:$E$13,$D286)*(INDEX(Calib!$G$1:$G$13,$D286)+0*$H286)</f>
        <v/>
      </c>
      <c r="L286" s="26">
        <f>L285*(1-p_eps_k*$E286)+p_lambda_k*(N286-L285*(1-p_eps_k*$E286))</f>
        <v/>
      </c>
      <c r="M286" s="26">
        <f>INDEX(Calib!$R$1:$R$13,$D286)*$F286*(K285*(1-p_eps_g*$E286))^INDEX(Calib!$Q$1:$Q$13,$D286)*(L285*(1-p_eps_k*$E286))^p_alpha</f>
        <v/>
      </c>
      <c r="N286" s="26">
        <f>p_alpha*(1-INDEX(Calib!$H$1:$H$13,$D286))*M286/(INDEX(Calib!$K$1:$K$13,$D286)+p_delta)</f>
        <v/>
      </c>
      <c r="O286" s="26">
        <f>M286+$G286</f>
        <v/>
      </c>
      <c r="P286" s="26">
        <f>0*($H286+$I286)</f>
        <v/>
      </c>
      <c r="Q286" s="26">
        <f>INDEX(Calib!$I$1:$I$13,$D286)+p_sh_grant*P286</f>
        <v/>
      </c>
      <c r="R286" s="26">
        <f>INDEX(Calib!$H$1:$H$13,$D286)*M286+p_gov_take*$G286+Q286+0*p_pricing*$J286</f>
        <v/>
      </c>
      <c r="S286" s="26">
        <f>INDEX(Calib!$Y$1:$Y$13,$D286)-INDEX(Calib!$Z$1:$Z$13,$D286)*(V285/O285-INDEX(Calib!$AA$1:$AA$13,$D286))</f>
        <v/>
      </c>
      <c r="T286" s="26">
        <f>INDEX(Calib!$X$1:$X$13,$D286)+INDEX(Calib!$G$1:$G$13,$D286)+P286+S286-R286</f>
        <v/>
      </c>
      <c r="U286" s="26">
        <f>p_rk*W285+Y285*(V285-W285)</f>
        <v/>
      </c>
      <c r="V286" s="26">
        <f>V285+U286+T286</f>
        <v/>
      </c>
      <c r="W286" s="26">
        <f>INDEX(Calib!$U$1:$U$13,$D286)+(W285-INDEX(Calib!$U$1:$U$13,$D286))*(1-p_amort)+p_sh_conc*P286</f>
        <v/>
      </c>
      <c r="X286" s="26">
        <f>V286/O286</f>
        <v/>
      </c>
      <c r="Y286" s="26">
        <f>INDEX(Calib!$K$1:$K$13,$D286)+p_eta*MAX(0,X286-INDEX(Calib!$AA$1:$AA$13,$D286))</f>
        <v/>
      </c>
      <c r="Z286" s="26">
        <f>(1-INDEX(Calib!$H$1:$H$13,$D286))*(1-p_alpha)*M286+S286</f>
        <v/>
      </c>
      <c r="AA286" s="26">
        <f>(1-p_delta_g)*AA285*(1-p_eps_g*$E286)+INDEX(Calib!$E$1:$E$13,$D286)*(INDEX(Calib!$G$1:$G$13,$D286)+p_programme*$H286)</f>
        <v/>
      </c>
      <c r="AB286" s="26">
        <f>AB285*(1-p_eps_k*$E286)+p_lambda_k*(AD286-AB285*(1-p_eps_k*$E286))</f>
        <v/>
      </c>
      <c r="AC286" s="26">
        <f>INDEX(Calib!$R$1:$R$13,$D286)*$F286*(AA285*(1-p_eps_g*$E286))^INDEX(Calib!$Q$1:$Q$13,$D286)*(AB285*(1-p_eps_k*$E286))^p_alpha</f>
        <v/>
      </c>
      <c r="AD286" s="26">
        <f>p_alpha*(1-INDEX(Calib!$H$1:$H$13,$D286))*AC286/(INDEX(Calib!$K$1:$K$13,$D286)+p_delta)</f>
        <v/>
      </c>
      <c r="AE286" s="26">
        <f>AC286+$G286</f>
        <v/>
      </c>
      <c r="AF286" s="26">
        <f>p_programme*($H286+$I286)</f>
        <v/>
      </c>
      <c r="AG286" s="26">
        <f>INDEX(Calib!$I$1:$I$13,$D286)+p_sh_grant*AF286</f>
        <v/>
      </c>
      <c r="AH286" s="26">
        <f>INDEX(Calib!$H$1:$H$13,$D286)*AC286+p_gov_take*$G286+AG286+p_programme*p_pricing*$J286</f>
        <v/>
      </c>
      <c r="AI286" s="26">
        <f>INDEX(Calib!$Y$1:$Y$13,$D286)-INDEX(Calib!$Z$1:$Z$13,$D286)*(AL285/AE285-INDEX(Calib!$AA$1:$AA$13,$D286))</f>
        <v/>
      </c>
      <c r="AJ286" s="26">
        <f>INDEX(Calib!$X$1:$X$13,$D286)+INDEX(Calib!$G$1:$G$13,$D286)+AF286+AI286-AH286</f>
        <v/>
      </c>
      <c r="AK286" s="26">
        <f>p_rk*AM285+AO285*(AL285-AM285)</f>
        <v/>
      </c>
      <c r="AL286" s="26">
        <f>AL285+AK286+AJ286</f>
        <v/>
      </c>
      <c r="AM286" s="26">
        <f>INDEX(Calib!$U$1:$U$13,$D286)+(AM285-INDEX(Calib!$U$1:$U$13,$D286))*(1-p_amort)+p_sh_conc*AF286</f>
        <v/>
      </c>
      <c r="AN286" s="26">
        <f>AL286/AE286</f>
        <v/>
      </c>
      <c r="AO286" s="26">
        <f>INDEX(Calib!$K$1:$K$13,$D286)+p_eta*MAX(0,AN286-INDEX(Calib!$AA$1:$AA$13,$D286))</f>
        <v/>
      </c>
      <c r="AP286" s="26">
        <f>(1-INDEX(Calib!$H$1:$H$13,$D286))*(1-p_alpha)*AC286+AI286</f>
        <v/>
      </c>
      <c r="AQ286" s="26">
        <f>(AE286/O286-1)*100</f>
        <v/>
      </c>
      <c r="AR286" s="26">
        <f>(AE286/AE272-1)*100</f>
        <v/>
      </c>
      <c r="AS286" s="26">
        <f>(O286/O272-1)*100</f>
        <v/>
      </c>
      <c r="AT286" s="26">
        <f>(AN286-X286)*100</f>
        <v/>
      </c>
      <c r="AU286" s="26">
        <f>(AP286/Z286-1)*100</f>
        <v/>
      </c>
      <c r="AV286" s="26">
        <f>(AI286-S286)*100</f>
        <v/>
      </c>
    </row>
    <row r="287">
      <c r="A287" s="25" t="inlineStr">
        <is>
          <t>COG</t>
        </is>
      </c>
      <c r="B287" s="25" t="n">
        <v>2039</v>
      </c>
      <c r="C287" s="25" t="n">
        <v>15</v>
      </c>
      <c r="D287" s="25" t="n">
        <v>12</v>
      </c>
      <c r="E287" s="25">
        <f>IF(AND(p_dis_year&gt;0,B287=p_dis_year),1,0)</f>
        <v/>
      </c>
      <c r="F287" s="26">
        <f>IF(AND(p_dis_year&gt;0,B287&gt;=p_dis_year),1-p_eps_a*p_rho_a^(B287-p_dis_year),1)</f>
        <v/>
      </c>
      <c r="G287" s="26">
        <f>INDEX(Calib!$N$1:$N$13,$D287)*(1-p_rent_decline*MIN(1,C287/26))</f>
        <v/>
      </c>
      <c r="H287" s="26">
        <f>IF(C287=0,0,SUMIFS(dl_val,dl_iso,$A287,dl_ind,"pub_cap",dl_year,$B287)/100)</f>
        <v/>
      </c>
      <c r="I287" s="26">
        <f>IF(C287=0,0,SUMIFS(dl_val,dl_iso,$A287,dl_ind,"pub_spend",dl_year,$B287)/100)</f>
        <v/>
      </c>
      <c r="J287" s="26">
        <f>IF(C287=0,0,SUMIFS(dl_val,dl_iso,$A287,dl_ind,"rev",dl_year,$B287)/100)</f>
        <v/>
      </c>
      <c r="K287" s="26">
        <f>(1-p_delta_g)*K286*(1-p_eps_g*$E287)+INDEX(Calib!$E$1:$E$13,$D287)*(INDEX(Calib!$G$1:$G$13,$D287)+0*$H287)</f>
        <v/>
      </c>
      <c r="L287" s="26">
        <f>L286*(1-p_eps_k*$E287)+p_lambda_k*(N287-L286*(1-p_eps_k*$E287))</f>
        <v/>
      </c>
      <c r="M287" s="26">
        <f>INDEX(Calib!$R$1:$R$13,$D287)*$F287*(K286*(1-p_eps_g*$E287))^INDEX(Calib!$Q$1:$Q$13,$D287)*(L286*(1-p_eps_k*$E287))^p_alpha</f>
        <v/>
      </c>
      <c r="N287" s="26">
        <f>p_alpha*(1-INDEX(Calib!$H$1:$H$13,$D287))*M287/(INDEX(Calib!$K$1:$K$13,$D287)+p_delta)</f>
        <v/>
      </c>
      <c r="O287" s="26">
        <f>M287+$G287</f>
        <v/>
      </c>
      <c r="P287" s="26">
        <f>0*($H287+$I287)</f>
        <v/>
      </c>
      <c r="Q287" s="26">
        <f>INDEX(Calib!$I$1:$I$13,$D287)+p_sh_grant*P287</f>
        <v/>
      </c>
      <c r="R287" s="26">
        <f>INDEX(Calib!$H$1:$H$13,$D287)*M287+p_gov_take*$G287+Q287+0*p_pricing*$J287</f>
        <v/>
      </c>
      <c r="S287" s="26">
        <f>INDEX(Calib!$Y$1:$Y$13,$D287)-INDEX(Calib!$Z$1:$Z$13,$D287)*(V286/O286-INDEX(Calib!$AA$1:$AA$13,$D287))</f>
        <v/>
      </c>
      <c r="T287" s="26">
        <f>INDEX(Calib!$X$1:$X$13,$D287)+INDEX(Calib!$G$1:$G$13,$D287)+P287+S287-R287</f>
        <v/>
      </c>
      <c r="U287" s="26">
        <f>p_rk*W286+Y286*(V286-W286)</f>
        <v/>
      </c>
      <c r="V287" s="26">
        <f>V286+U287+T287</f>
        <v/>
      </c>
      <c r="W287" s="26">
        <f>INDEX(Calib!$U$1:$U$13,$D287)+(W286-INDEX(Calib!$U$1:$U$13,$D287))*(1-p_amort)+p_sh_conc*P287</f>
        <v/>
      </c>
      <c r="X287" s="26">
        <f>V287/O287</f>
        <v/>
      </c>
      <c r="Y287" s="26">
        <f>INDEX(Calib!$K$1:$K$13,$D287)+p_eta*MAX(0,X287-INDEX(Calib!$AA$1:$AA$13,$D287))</f>
        <v/>
      </c>
      <c r="Z287" s="26">
        <f>(1-INDEX(Calib!$H$1:$H$13,$D287))*(1-p_alpha)*M287+S287</f>
        <v/>
      </c>
      <c r="AA287" s="26">
        <f>(1-p_delta_g)*AA286*(1-p_eps_g*$E287)+INDEX(Calib!$E$1:$E$13,$D287)*(INDEX(Calib!$G$1:$G$13,$D287)+p_programme*$H287)</f>
        <v/>
      </c>
      <c r="AB287" s="26">
        <f>AB286*(1-p_eps_k*$E287)+p_lambda_k*(AD287-AB286*(1-p_eps_k*$E287))</f>
        <v/>
      </c>
      <c r="AC287" s="26">
        <f>INDEX(Calib!$R$1:$R$13,$D287)*$F287*(AA286*(1-p_eps_g*$E287))^INDEX(Calib!$Q$1:$Q$13,$D287)*(AB286*(1-p_eps_k*$E287))^p_alpha</f>
        <v/>
      </c>
      <c r="AD287" s="26">
        <f>p_alpha*(1-INDEX(Calib!$H$1:$H$13,$D287))*AC287/(INDEX(Calib!$K$1:$K$13,$D287)+p_delta)</f>
        <v/>
      </c>
      <c r="AE287" s="26">
        <f>AC287+$G287</f>
        <v/>
      </c>
      <c r="AF287" s="26">
        <f>p_programme*($H287+$I287)</f>
        <v/>
      </c>
      <c r="AG287" s="26">
        <f>INDEX(Calib!$I$1:$I$13,$D287)+p_sh_grant*AF287</f>
        <v/>
      </c>
      <c r="AH287" s="26">
        <f>INDEX(Calib!$H$1:$H$13,$D287)*AC287+p_gov_take*$G287+AG287+p_programme*p_pricing*$J287</f>
        <v/>
      </c>
      <c r="AI287" s="26">
        <f>INDEX(Calib!$Y$1:$Y$13,$D287)-INDEX(Calib!$Z$1:$Z$13,$D287)*(AL286/AE286-INDEX(Calib!$AA$1:$AA$13,$D287))</f>
        <v/>
      </c>
      <c r="AJ287" s="26">
        <f>INDEX(Calib!$X$1:$X$13,$D287)+INDEX(Calib!$G$1:$G$13,$D287)+AF287+AI287-AH287</f>
        <v/>
      </c>
      <c r="AK287" s="26">
        <f>p_rk*AM286+AO286*(AL286-AM286)</f>
        <v/>
      </c>
      <c r="AL287" s="26">
        <f>AL286+AK287+AJ287</f>
        <v/>
      </c>
      <c r="AM287" s="26">
        <f>INDEX(Calib!$U$1:$U$13,$D287)+(AM286-INDEX(Calib!$U$1:$U$13,$D287))*(1-p_amort)+p_sh_conc*AF287</f>
        <v/>
      </c>
      <c r="AN287" s="26">
        <f>AL287/AE287</f>
        <v/>
      </c>
      <c r="AO287" s="26">
        <f>INDEX(Calib!$K$1:$K$13,$D287)+p_eta*MAX(0,AN287-INDEX(Calib!$AA$1:$AA$13,$D287))</f>
        <v/>
      </c>
      <c r="AP287" s="26">
        <f>(1-INDEX(Calib!$H$1:$H$13,$D287))*(1-p_alpha)*AC287+AI287</f>
        <v/>
      </c>
      <c r="AQ287" s="26">
        <f>(AE287/O287-1)*100</f>
        <v/>
      </c>
      <c r="AR287" s="26">
        <f>(AE287/AE272-1)*100</f>
        <v/>
      </c>
      <c r="AS287" s="26">
        <f>(O287/O272-1)*100</f>
        <v/>
      </c>
      <c r="AT287" s="26">
        <f>(AN287-X287)*100</f>
        <v/>
      </c>
      <c r="AU287" s="26">
        <f>(AP287/Z287-1)*100</f>
        <v/>
      </c>
      <c r="AV287" s="26">
        <f>(AI287-S287)*100</f>
        <v/>
      </c>
    </row>
    <row r="288">
      <c r="A288" s="25" t="inlineStr">
        <is>
          <t>COG</t>
        </is>
      </c>
      <c r="B288" s="25" t="n">
        <v>2040</v>
      </c>
      <c r="C288" s="25" t="n">
        <v>16</v>
      </c>
      <c r="D288" s="25" t="n">
        <v>12</v>
      </c>
      <c r="E288" s="25">
        <f>IF(AND(p_dis_year&gt;0,B288=p_dis_year),1,0)</f>
        <v/>
      </c>
      <c r="F288" s="26">
        <f>IF(AND(p_dis_year&gt;0,B288&gt;=p_dis_year),1-p_eps_a*p_rho_a^(B288-p_dis_year),1)</f>
        <v/>
      </c>
      <c r="G288" s="26">
        <f>INDEX(Calib!$N$1:$N$13,$D288)*(1-p_rent_decline*MIN(1,C288/26))</f>
        <v/>
      </c>
      <c r="H288" s="26">
        <f>IF(C288=0,0,SUMIFS(dl_val,dl_iso,$A288,dl_ind,"pub_cap",dl_year,$B288)/100)</f>
        <v/>
      </c>
      <c r="I288" s="26">
        <f>IF(C288=0,0,SUMIFS(dl_val,dl_iso,$A288,dl_ind,"pub_spend",dl_year,$B288)/100)</f>
        <v/>
      </c>
      <c r="J288" s="26">
        <f>IF(C288=0,0,SUMIFS(dl_val,dl_iso,$A288,dl_ind,"rev",dl_year,$B288)/100)</f>
        <v/>
      </c>
      <c r="K288" s="26">
        <f>(1-p_delta_g)*K287*(1-p_eps_g*$E288)+INDEX(Calib!$E$1:$E$13,$D288)*(INDEX(Calib!$G$1:$G$13,$D288)+0*$H288)</f>
        <v/>
      </c>
      <c r="L288" s="26">
        <f>L287*(1-p_eps_k*$E288)+p_lambda_k*(N288-L287*(1-p_eps_k*$E288))</f>
        <v/>
      </c>
      <c r="M288" s="26">
        <f>INDEX(Calib!$R$1:$R$13,$D288)*$F288*(K287*(1-p_eps_g*$E288))^INDEX(Calib!$Q$1:$Q$13,$D288)*(L287*(1-p_eps_k*$E288))^p_alpha</f>
        <v/>
      </c>
      <c r="N288" s="26">
        <f>p_alpha*(1-INDEX(Calib!$H$1:$H$13,$D288))*M288/(INDEX(Calib!$K$1:$K$13,$D288)+p_delta)</f>
        <v/>
      </c>
      <c r="O288" s="26">
        <f>M288+$G288</f>
        <v/>
      </c>
      <c r="P288" s="26">
        <f>0*($H288+$I288)</f>
        <v/>
      </c>
      <c r="Q288" s="26">
        <f>INDEX(Calib!$I$1:$I$13,$D288)+p_sh_grant*P288</f>
        <v/>
      </c>
      <c r="R288" s="26">
        <f>INDEX(Calib!$H$1:$H$13,$D288)*M288+p_gov_take*$G288+Q288+0*p_pricing*$J288</f>
        <v/>
      </c>
      <c r="S288" s="26">
        <f>INDEX(Calib!$Y$1:$Y$13,$D288)-INDEX(Calib!$Z$1:$Z$13,$D288)*(V287/O287-INDEX(Calib!$AA$1:$AA$13,$D288))</f>
        <v/>
      </c>
      <c r="T288" s="26">
        <f>INDEX(Calib!$X$1:$X$13,$D288)+INDEX(Calib!$G$1:$G$13,$D288)+P288+S288-R288</f>
        <v/>
      </c>
      <c r="U288" s="26">
        <f>p_rk*W287+Y287*(V287-W287)</f>
        <v/>
      </c>
      <c r="V288" s="26">
        <f>V287+U288+T288</f>
        <v/>
      </c>
      <c r="W288" s="26">
        <f>INDEX(Calib!$U$1:$U$13,$D288)+(W287-INDEX(Calib!$U$1:$U$13,$D288))*(1-p_amort)+p_sh_conc*P288</f>
        <v/>
      </c>
      <c r="X288" s="26">
        <f>V288/O288</f>
        <v/>
      </c>
      <c r="Y288" s="26">
        <f>INDEX(Calib!$K$1:$K$13,$D288)+p_eta*MAX(0,X288-INDEX(Calib!$AA$1:$AA$13,$D288))</f>
        <v/>
      </c>
      <c r="Z288" s="26">
        <f>(1-INDEX(Calib!$H$1:$H$13,$D288))*(1-p_alpha)*M288+S288</f>
        <v/>
      </c>
      <c r="AA288" s="26">
        <f>(1-p_delta_g)*AA287*(1-p_eps_g*$E288)+INDEX(Calib!$E$1:$E$13,$D288)*(INDEX(Calib!$G$1:$G$13,$D288)+p_programme*$H288)</f>
        <v/>
      </c>
      <c r="AB288" s="26">
        <f>AB287*(1-p_eps_k*$E288)+p_lambda_k*(AD288-AB287*(1-p_eps_k*$E288))</f>
        <v/>
      </c>
      <c r="AC288" s="26">
        <f>INDEX(Calib!$R$1:$R$13,$D288)*$F288*(AA287*(1-p_eps_g*$E288))^INDEX(Calib!$Q$1:$Q$13,$D288)*(AB287*(1-p_eps_k*$E288))^p_alpha</f>
        <v/>
      </c>
      <c r="AD288" s="26">
        <f>p_alpha*(1-INDEX(Calib!$H$1:$H$13,$D288))*AC288/(INDEX(Calib!$K$1:$K$13,$D288)+p_delta)</f>
        <v/>
      </c>
      <c r="AE288" s="26">
        <f>AC288+$G288</f>
        <v/>
      </c>
      <c r="AF288" s="26">
        <f>p_programme*($H288+$I288)</f>
        <v/>
      </c>
      <c r="AG288" s="26">
        <f>INDEX(Calib!$I$1:$I$13,$D288)+p_sh_grant*AF288</f>
        <v/>
      </c>
      <c r="AH288" s="26">
        <f>INDEX(Calib!$H$1:$H$13,$D288)*AC288+p_gov_take*$G288+AG288+p_programme*p_pricing*$J288</f>
        <v/>
      </c>
      <c r="AI288" s="26">
        <f>INDEX(Calib!$Y$1:$Y$13,$D288)-INDEX(Calib!$Z$1:$Z$13,$D288)*(AL287/AE287-INDEX(Calib!$AA$1:$AA$13,$D288))</f>
        <v/>
      </c>
      <c r="AJ288" s="26">
        <f>INDEX(Calib!$X$1:$X$13,$D288)+INDEX(Calib!$G$1:$G$13,$D288)+AF288+AI288-AH288</f>
        <v/>
      </c>
      <c r="AK288" s="26">
        <f>p_rk*AM287+AO287*(AL287-AM287)</f>
        <v/>
      </c>
      <c r="AL288" s="26">
        <f>AL287+AK288+AJ288</f>
        <v/>
      </c>
      <c r="AM288" s="26">
        <f>INDEX(Calib!$U$1:$U$13,$D288)+(AM287-INDEX(Calib!$U$1:$U$13,$D288))*(1-p_amort)+p_sh_conc*AF288</f>
        <v/>
      </c>
      <c r="AN288" s="26">
        <f>AL288/AE288</f>
        <v/>
      </c>
      <c r="AO288" s="26">
        <f>INDEX(Calib!$K$1:$K$13,$D288)+p_eta*MAX(0,AN288-INDEX(Calib!$AA$1:$AA$13,$D288))</f>
        <v/>
      </c>
      <c r="AP288" s="26">
        <f>(1-INDEX(Calib!$H$1:$H$13,$D288))*(1-p_alpha)*AC288+AI288</f>
        <v/>
      </c>
      <c r="AQ288" s="26">
        <f>(AE288/O288-1)*100</f>
        <v/>
      </c>
      <c r="AR288" s="26">
        <f>(AE288/AE272-1)*100</f>
        <v/>
      </c>
      <c r="AS288" s="26">
        <f>(O288/O272-1)*100</f>
        <v/>
      </c>
      <c r="AT288" s="26">
        <f>(AN288-X288)*100</f>
        <v/>
      </c>
      <c r="AU288" s="26">
        <f>(AP288/Z288-1)*100</f>
        <v/>
      </c>
      <c r="AV288" s="26">
        <f>(AI288-S288)*100</f>
        <v/>
      </c>
    </row>
    <row r="289">
      <c r="A289" s="25" t="inlineStr">
        <is>
          <t>COG</t>
        </is>
      </c>
      <c r="B289" s="25" t="n">
        <v>2041</v>
      </c>
      <c r="C289" s="25" t="n">
        <v>17</v>
      </c>
      <c r="D289" s="25" t="n">
        <v>12</v>
      </c>
      <c r="E289" s="25">
        <f>IF(AND(p_dis_year&gt;0,B289=p_dis_year),1,0)</f>
        <v/>
      </c>
      <c r="F289" s="26">
        <f>IF(AND(p_dis_year&gt;0,B289&gt;=p_dis_year),1-p_eps_a*p_rho_a^(B289-p_dis_year),1)</f>
        <v/>
      </c>
      <c r="G289" s="26">
        <f>INDEX(Calib!$N$1:$N$13,$D289)*(1-p_rent_decline*MIN(1,C289/26))</f>
        <v/>
      </c>
      <c r="H289" s="26">
        <f>IF(C289=0,0,SUMIFS(dl_val,dl_iso,$A289,dl_ind,"pub_cap",dl_year,$B289)/100)</f>
        <v/>
      </c>
      <c r="I289" s="26">
        <f>IF(C289=0,0,SUMIFS(dl_val,dl_iso,$A289,dl_ind,"pub_spend",dl_year,$B289)/100)</f>
        <v/>
      </c>
      <c r="J289" s="26">
        <f>IF(C289=0,0,SUMIFS(dl_val,dl_iso,$A289,dl_ind,"rev",dl_year,$B289)/100)</f>
        <v/>
      </c>
      <c r="K289" s="26">
        <f>(1-p_delta_g)*K288*(1-p_eps_g*$E289)+INDEX(Calib!$E$1:$E$13,$D289)*(INDEX(Calib!$G$1:$G$13,$D289)+0*$H289)</f>
        <v/>
      </c>
      <c r="L289" s="26">
        <f>L288*(1-p_eps_k*$E289)+p_lambda_k*(N289-L288*(1-p_eps_k*$E289))</f>
        <v/>
      </c>
      <c r="M289" s="26">
        <f>INDEX(Calib!$R$1:$R$13,$D289)*$F289*(K288*(1-p_eps_g*$E289))^INDEX(Calib!$Q$1:$Q$13,$D289)*(L288*(1-p_eps_k*$E289))^p_alpha</f>
        <v/>
      </c>
      <c r="N289" s="26">
        <f>p_alpha*(1-INDEX(Calib!$H$1:$H$13,$D289))*M289/(INDEX(Calib!$K$1:$K$13,$D289)+p_delta)</f>
        <v/>
      </c>
      <c r="O289" s="26">
        <f>M289+$G289</f>
        <v/>
      </c>
      <c r="P289" s="26">
        <f>0*($H289+$I289)</f>
        <v/>
      </c>
      <c r="Q289" s="26">
        <f>INDEX(Calib!$I$1:$I$13,$D289)+p_sh_grant*P289</f>
        <v/>
      </c>
      <c r="R289" s="26">
        <f>INDEX(Calib!$H$1:$H$13,$D289)*M289+p_gov_take*$G289+Q289+0*p_pricing*$J289</f>
        <v/>
      </c>
      <c r="S289" s="26">
        <f>INDEX(Calib!$Y$1:$Y$13,$D289)-INDEX(Calib!$Z$1:$Z$13,$D289)*(V288/O288-INDEX(Calib!$AA$1:$AA$13,$D289))</f>
        <v/>
      </c>
      <c r="T289" s="26">
        <f>INDEX(Calib!$X$1:$X$13,$D289)+INDEX(Calib!$G$1:$G$13,$D289)+P289+S289-R289</f>
        <v/>
      </c>
      <c r="U289" s="26">
        <f>p_rk*W288+Y288*(V288-W288)</f>
        <v/>
      </c>
      <c r="V289" s="26">
        <f>V288+U289+T289</f>
        <v/>
      </c>
      <c r="W289" s="26">
        <f>INDEX(Calib!$U$1:$U$13,$D289)+(W288-INDEX(Calib!$U$1:$U$13,$D289))*(1-p_amort)+p_sh_conc*P289</f>
        <v/>
      </c>
      <c r="X289" s="26">
        <f>V289/O289</f>
        <v/>
      </c>
      <c r="Y289" s="26">
        <f>INDEX(Calib!$K$1:$K$13,$D289)+p_eta*MAX(0,X289-INDEX(Calib!$AA$1:$AA$13,$D289))</f>
        <v/>
      </c>
      <c r="Z289" s="26">
        <f>(1-INDEX(Calib!$H$1:$H$13,$D289))*(1-p_alpha)*M289+S289</f>
        <v/>
      </c>
      <c r="AA289" s="26">
        <f>(1-p_delta_g)*AA288*(1-p_eps_g*$E289)+INDEX(Calib!$E$1:$E$13,$D289)*(INDEX(Calib!$G$1:$G$13,$D289)+p_programme*$H289)</f>
        <v/>
      </c>
      <c r="AB289" s="26">
        <f>AB288*(1-p_eps_k*$E289)+p_lambda_k*(AD289-AB288*(1-p_eps_k*$E289))</f>
        <v/>
      </c>
      <c r="AC289" s="26">
        <f>INDEX(Calib!$R$1:$R$13,$D289)*$F289*(AA288*(1-p_eps_g*$E289))^INDEX(Calib!$Q$1:$Q$13,$D289)*(AB288*(1-p_eps_k*$E289))^p_alpha</f>
        <v/>
      </c>
      <c r="AD289" s="26">
        <f>p_alpha*(1-INDEX(Calib!$H$1:$H$13,$D289))*AC289/(INDEX(Calib!$K$1:$K$13,$D289)+p_delta)</f>
        <v/>
      </c>
      <c r="AE289" s="26">
        <f>AC289+$G289</f>
        <v/>
      </c>
      <c r="AF289" s="26">
        <f>p_programme*($H289+$I289)</f>
        <v/>
      </c>
      <c r="AG289" s="26">
        <f>INDEX(Calib!$I$1:$I$13,$D289)+p_sh_grant*AF289</f>
        <v/>
      </c>
      <c r="AH289" s="26">
        <f>INDEX(Calib!$H$1:$H$13,$D289)*AC289+p_gov_take*$G289+AG289+p_programme*p_pricing*$J289</f>
        <v/>
      </c>
      <c r="AI289" s="26">
        <f>INDEX(Calib!$Y$1:$Y$13,$D289)-INDEX(Calib!$Z$1:$Z$13,$D289)*(AL288/AE288-INDEX(Calib!$AA$1:$AA$13,$D289))</f>
        <v/>
      </c>
      <c r="AJ289" s="26">
        <f>INDEX(Calib!$X$1:$X$13,$D289)+INDEX(Calib!$G$1:$G$13,$D289)+AF289+AI289-AH289</f>
        <v/>
      </c>
      <c r="AK289" s="26">
        <f>p_rk*AM288+AO288*(AL288-AM288)</f>
        <v/>
      </c>
      <c r="AL289" s="26">
        <f>AL288+AK289+AJ289</f>
        <v/>
      </c>
      <c r="AM289" s="26">
        <f>INDEX(Calib!$U$1:$U$13,$D289)+(AM288-INDEX(Calib!$U$1:$U$13,$D289))*(1-p_amort)+p_sh_conc*AF289</f>
        <v/>
      </c>
      <c r="AN289" s="26">
        <f>AL289/AE289</f>
        <v/>
      </c>
      <c r="AO289" s="26">
        <f>INDEX(Calib!$K$1:$K$13,$D289)+p_eta*MAX(0,AN289-INDEX(Calib!$AA$1:$AA$13,$D289))</f>
        <v/>
      </c>
      <c r="AP289" s="26">
        <f>(1-INDEX(Calib!$H$1:$H$13,$D289))*(1-p_alpha)*AC289+AI289</f>
        <v/>
      </c>
      <c r="AQ289" s="26">
        <f>(AE289/O289-1)*100</f>
        <v/>
      </c>
      <c r="AR289" s="26">
        <f>(AE289/AE272-1)*100</f>
        <v/>
      </c>
      <c r="AS289" s="26">
        <f>(O289/O272-1)*100</f>
        <v/>
      </c>
      <c r="AT289" s="26">
        <f>(AN289-X289)*100</f>
        <v/>
      </c>
      <c r="AU289" s="26">
        <f>(AP289/Z289-1)*100</f>
        <v/>
      </c>
      <c r="AV289" s="26">
        <f>(AI289-S289)*100</f>
        <v/>
      </c>
    </row>
    <row r="290">
      <c r="A290" s="25" t="inlineStr">
        <is>
          <t>COG</t>
        </is>
      </c>
      <c r="B290" s="25" t="n">
        <v>2042</v>
      </c>
      <c r="C290" s="25" t="n">
        <v>18</v>
      </c>
      <c r="D290" s="25" t="n">
        <v>12</v>
      </c>
      <c r="E290" s="25">
        <f>IF(AND(p_dis_year&gt;0,B290=p_dis_year),1,0)</f>
        <v/>
      </c>
      <c r="F290" s="26">
        <f>IF(AND(p_dis_year&gt;0,B290&gt;=p_dis_year),1-p_eps_a*p_rho_a^(B290-p_dis_year),1)</f>
        <v/>
      </c>
      <c r="G290" s="26">
        <f>INDEX(Calib!$N$1:$N$13,$D290)*(1-p_rent_decline*MIN(1,C290/26))</f>
        <v/>
      </c>
      <c r="H290" s="26">
        <f>IF(C290=0,0,SUMIFS(dl_val,dl_iso,$A290,dl_ind,"pub_cap",dl_year,$B290)/100)</f>
        <v/>
      </c>
      <c r="I290" s="26">
        <f>IF(C290=0,0,SUMIFS(dl_val,dl_iso,$A290,dl_ind,"pub_spend",dl_year,$B290)/100)</f>
        <v/>
      </c>
      <c r="J290" s="26">
        <f>IF(C290=0,0,SUMIFS(dl_val,dl_iso,$A290,dl_ind,"rev",dl_year,$B290)/100)</f>
        <v/>
      </c>
      <c r="K290" s="26">
        <f>(1-p_delta_g)*K289*(1-p_eps_g*$E290)+INDEX(Calib!$E$1:$E$13,$D290)*(INDEX(Calib!$G$1:$G$13,$D290)+0*$H290)</f>
        <v/>
      </c>
      <c r="L290" s="26">
        <f>L289*(1-p_eps_k*$E290)+p_lambda_k*(N290-L289*(1-p_eps_k*$E290))</f>
        <v/>
      </c>
      <c r="M290" s="26">
        <f>INDEX(Calib!$R$1:$R$13,$D290)*$F290*(K289*(1-p_eps_g*$E290))^INDEX(Calib!$Q$1:$Q$13,$D290)*(L289*(1-p_eps_k*$E290))^p_alpha</f>
        <v/>
      </c>
      <c r="N290" s="26">
        <f>p_alpha*(1-INDEX(Calib!$H$1:$H$13,$D290))*M290/(INDEX(Calib!$K$1:$K$13,$D290)+p_delta)</f>
        <v/>
      </c>
      <c r="O290" s="26">
        <f>M290+$G290</f>
        <v/>
      </c>
      <c r="P290" s="26">
        <f>0*($H290+$I290)</f>
        <v/>
      </c>
      <c r="Q290" s="26">
        <f>INDEX(Calib!$I$1:$I$13,$D290)+p_sh_grant*P290</f>
        <v/>
      </c>
      <c r="R290" s="26">
        <f>INDEX(Calib!$H$1:$H$13,$D290)*M290+p_gov_take*$G290+Q290+0*p_pricing*$J290</f>
        <v/>
      </c>
      <c r="S290" s="26">
        <f>INDEX(Calib!$Y$1:$Y$13,$D290)-INDEX(Calib!$Z$1:$Z$13,$D290)*(V289/O289-INDEX(Calib!$AA$1:$AA$13,$D290))</f>
        <v/>
      </c>
      <c r="T290" s="26">
        <f>INDEX(Calib!$X$1:$X$13,$D290)+INDEX(Calib!$G$1:$G$13,$D290)+P290+S290-R290</f>
        <v/>
      </c>
      <c r="U290" s="26">
        <f>p_rk*W289+Y289*(V289-W289)</f>
        <v/>
      </c>
      <c r="V290" s="26">
        <f>V289+U290+T290</f>
        <v/>
      </c>
      <c r="W290" s="26">
        <f>INDEX(Calib!$U$1:$U$13,$D290)+(W289-INDEX(Calib!$U$1:$U$13,$D290))*(1-p_amort)+p_sh_conc*P290</f>
        <v/>
      </c>
      <c r="X290" s="26">
        <f>V290/O290</f>
        <v/>
      </c>
      <c r="Y290" s="26">
        <f>INDEX(Calib!$K$1:$K$13,$D290)+p_eta*MAX(0,X290-INDEX(Calib!$AA$1:$AA$13,$D290))</f>
        <v/>
      </c>
      <c r="Z290" s="26">
        <f>(1-INDEX(Calib!$H$1:$H$13,$D290))*(1-p_alpha)*M290+S290</f>
        <v/>
      </c>
      <c r="AA290" s="26">
        <f>(1-p_delta_g)*AA289*(1-p_eps_g*$E290)+INDEX(Calib!$E$1:$E$13,$D290)*(INDEX(Calib!$G$1:$G$13,$D290)+p_programme*$H290)</f>
        <v/>
      </c>
      <c r="AB290" s="26">
        <f>AB289*(1-p_eps_k*$E290)+p_lambda_k*(AD290-AB289*(1-p_eps_k*$E290))</f>
        <v/>
      </c>
      <c r="AC290" s="26">
        <f>INDEX(Calib!$R$1:$R$13,$D290)*$F290*(AA289*(1-p_eps_g*$E290))^INDEX(Calib!$Q$1:$Q$13,$D290)*(AB289*(1-p_eps_k*$E290))^p_alpha</f>
        <v/>
      </c>
      <c r="AD290" s="26">
        <f>p_alpha*(1-INDEX(Calib!$H$1:$H$13,$D290))*AC290/(INDEX(Calib!$K$1:$K$13,$D290)+p_delta)</f>
        <v/>
      </c>
      <c r="AE290" s="26">
        <f>AC290+$G290</f>
        <v/>
      </c>
      <c r="AF290" s="26">
        <f>p_programme*($H290+$I290)</f>
        <v/>
      </c>
      <c r="AG290" s="26">
        <f>INDEX(Calib!$I$1:$I$13,$D290)+p_sh_grant*AF290</f>
        <v/>
      </c>
      <c r="AH290" s="26">
        <f>INDEX(Calib!$H$1:$H$13,$D290)*AC290+p_gov_take*$G290+AG290+p_programme*p_pricing*$J290</f>
        <v/>
      </c>
      <c r="AI290" s="26">
        <f>INDEX(Calib!$Y$1:$Y$13,$D290)-INDEX(Calib!$Z$1:$Z$13,$D290)*(AL289/AE289-INDEX(Calib!$AA$1:$AA$13,$D290))</f>
        <v/>
      </c>
      <c r="AJ290" s="26">
        <f>INDEX(Calib!$X$1:$X$13,$D290)+INDEX(Calib!$G$1:$G$13,$D290)+AF290+AI290-AH290</f>
        <v/>
      </c>
      <c r="AK290" s="26">
        <f>p_rk*AM289+AO289*(AL289-AM289)</f>
        <v/>
      </c>
      <c r="AL290" s="26">
        <f>AL289+AK290+AJ290</f>
        <v/>
      </c>
      <c r="AM290" s="26">
        <f>INDEX(Calib!$U$1:$U$13,$D290)+(AM289-INDEX(Calib!$U$1:$U$13,$D290))*(1-p_amort)+p_sh_conc*AF290</f>
        <v/>
      </c>
      <c r="AN290" s="26">
        <f>AL290/AE290</f>
        <v/>
      </c>
      <c r="AO290" s="26">
        <f>INDEX(Calib!$K$1:$K$13,$D290)+p_eta*MAX(0,AN290-INDEX(Calib!$AA$1:$AA$13,$D290))</f>
        <v/>
      </c>
      <c r="AP290" s="26">
        <f>(1-INDEX(Calib!$H$1:$H$13,$D290))*(1-p_alpha)*AC290+AI290</f>
        <v/>
      </c>
      <c r="AQ290" s="26">
        <f>(AE290/O290-1)*100</f>
        <v/>
      </c>
      <c r="AR290" s="26">
        <f>(AE290/AE272-1)*100</f>
        <v/>
      </c>
      <c r="AS290" s="26">
        <f>(O290/O272-1)*100</f>
        <v/>
      </c>
      <c r="AT290" s="26">
        <f>(AN290-X290)*100</f>
        <v/>
      </c>
      <c r="AU290" s="26">
        <f>(AP290/Z290-1)*100</f>
        <v/>
      </c>
      <c r="AV290" s="26">
        <f>(AI290-S290)*100</f>
        <v/>
      </c>
    </row>
    <row r="291">
      <c r="A291" s="25" t="inlineStr">
        <is>
          <t>COG</t>
        </is>
      </c>
      <c r="B291" s="25" t="n">
        <v>2043</v>
      </c>
      <c r="C291" s="25" t="n">
        <v>19</v>
      </c>
      <c r="D291" s="25" t="n">
        <v>12</v>
      </c>
      <c r="E291" s="25">
        <f>IF(AND(p_dis_year&gt;0,B291=p_dis_year),1,0)</f>
        <v/>
      </c>
      <c r="F291" s="26">
        <f>IF(AND(p_dis_year&gt;0,B291&gt;=p_dis_year),1-p_eps_a*p_rho_a^(B291-p_dis_year),1)</f>
        <v/>
      </c>
      <c r="G291" s="26">
        <f>INDEX(Calib!$N$1:$N$13,$D291)*(1-p_rent_decline*MIN(1,C291/26))</f>
        <v/>
      </c>
      <c r="H291" s="26">
        <f>IF(C291=0,0,SUMIFS(dl_val,dl_iso,$A291,dl_ind,"pub_cap",dl_year,$B291)/100)</f>
        <v/>
      </c>
      <c r="I291" s="26">
        <f>IF(C291=0,0,SUMIFS(dl_val,dl_iso,$A291,dl_ind,"pub_spend",dl_year,$B291)/100)</f>
        <v/>
      </c>
      <c r="J291" s="26">
        <f>IF(C291=0,0,SUMIFS(dl_val,dl_iso,$A291,dl_ind,"rev",dl_year,$B291)/100)</f>
        <v/>
      </c>
      <c r="K291" s="26">
        <f>(1-p_delta_g)*K290*(1-p_eps_g*$E291)+INDEX(Calib!$E$1:$E$13,$D291)*(INDEX(Calib!$G$1:$G$13,$D291)+0*$H291)</f>
        <v/>
      </c>
      <c r="L291" s="26">
        <f>L290*(1-p_eps_k*$E291)+p_lambda_k*(N291-L290*(1-p_eps_k*$E291))</f>
        <v/>
      </c>
      <c r="M291" s="26">
        <f>INDEX(Calib!$R$1:$R$13,$D291)*$F291*(K290*(1-p_eps_g*$E291))^INDEX(Calib!$Q$1:$Q$13,$D291)*(L290*(1-p_eps_k*$E291))^p_alpha</f>
        <v/>
      </c>
      <c r="N291" s="26">
        <f>p_alpha*(1-INDEX(Calib!$H$1:$H$13,$D291))*M291/(INDEX(Calib!$K$1:$K$13,$D291)+p_delta)</f>
        <v/>
      </c>
      <c r="O291" s="26">
        <f>M291+$G291</f>
        <v/>
      </c>
      <c r="P291" s="26">
        <f>0*($H291+$I291)</f>
        <v/>
      </c>
      <c r="Q291" s="26">
        <f>INDEX(Calib!$I$1:$I$13,$D291)+p_sh_grant*P291</f>
        <v/>
      </c>
      <c r="R291" s="26">
        <f>INDEX(Calib!$H$1:$H$13,$D291)*M291+p_gov_take*$G291+Q291+0*p_pricing*$J291</f>
        <v/>
      </c>
      <c r="S291" s="26">
        <f>INDEX(Calib!$Y$1:$Y$13,$D291)-INDEX(Calib!$Z$1:$Z$13,$D291)*(V290/O290-INDEX(Calib!$AA$1:$AA$13,$D291))</f>
        <v/>
      </c>
      <c r="T291" s="26">
        <f>INDEX(Calib!$X$1:$X$13,$D291)+INDEX(Calib!$G$1:$G$13,$D291)+P291+S291-R291</f>
        <v/>
      </c>
      <c r="U291" s="26">
        <f>p_rk*W290+Y290*(V290-W290)</f>
        <v/>
      </c>
      <c r="V291" s="26">
        <f>V290+U291+T291</f>
        <v/>
      </c>
      <c r="W291" s="26">
        <f>INDEX(Calib!$U$1:$U$13,$D291)+(W290-INDEX(Calib!$U$1:$U$13,$D291))*(1-p_amort)+p_sh_conc*P291</f>
        <v/>
      </c>
      <c r="X291" s="26">
        <f>V291/O291</f>
        <v/>
      </c>
      <c r="Y291" s="26">
        <f>INDEX(Calib!$K$1:$K$13,$D291)+p_eta*MAX(0,X291-INDEX(Calib!$AA$1:$AA$13,$D291))</f>
        <v/>
      </c>
      <c r="Z291" s="26">
        <f>(1-INDEX(Calib!$H$1:$H$13,$D291))*(1-p_alpha)*M291+S291</f>
        <v/>
      </c>
      <c r="AA291" s="26">
        <f>(1-p_delta_g)*AA290*(1-p_eps_g*$E291)+INDEX(Calib!$E$1:$E$13,$D291)*(INDEX(Calib!$G$1:$G$13,$D291)+p_programme*$H291)</f>
        <v/>
      </c>
      <c r="AB291" s="26">
        <f>AB290*(1-p_eps_k*$E291)+p_lambda_k*(AD291-AB290*(1-p_eps_k*$E291))</f>
        <v/>
      </c>
      <c r="AC291" s="26">
        <f>INDEX(Calib!$R$1:$R$13,$D291)*$F291*(AA290*(1-p_eps_g*$E291))^INDEX(Calib!$Q$1:$Q$13,$D291)*(AB290*(1-p_eps_k*$E291))^p_alpha</f>
        <v/>
      </c>
      <c r="AD291" s="26">
        <f>p_alpha*(1-INDEX(Calib!$H$1:$H$13,$D291))*AC291/(INDEX(Calib!$K$1:$K$13,$D291)+p_delta)</f>
        <v/>
      </c>
      <c r="AE291" s="26">
        <f>AC291+$G291</f>
        <v/>
      </c>
      <c r="AF291" s="26">
        <f>p_programme*($H291+$I291)</f>
        <v/>
      </c>
      <c r="AG291" s="26">
        <f>INDEX(Calib!$I$1:$I$13,$D291)+p_sh_grant*AF291</f>
        <v/>
      </c>
      <c r="AH291" s="26">
        <f>INDEX(Calib!$H$1:$H$13,$D291)*AC291+p_gov_take*$G291+AG291+p_programme*p_pricing*$J291</f>
        <v/>
      </c>
      <c r="AI291" s="26">
        <f>INDEX(Calib!$Y$1:$Y$13,$D291)-INDEX(Calib!$Z$1:$Z$13,$D291)*(AL290/AE290-INDEX(Calib!$AA$1:$AA$13,$D291))</f>
        <v/>
      </c>
      <c r="AJ291" s="26">
        <f>INDEX(Calib!$X$1:$X$13,$D291)+INDEX(Calib!$G$1:$G$13,$D291)+AF291+AI291-AH291</f>
        <v/>
      </c>
      <c r="AK291" s="26">
        <f>p_rk*AM290+AO290*(AL290-AM290)</f>
        <v/>
      </c>
      <c r="AL291" s="26">
        <f>AL290+AK291+AJ291</f>
        <v/>
      </c>
      <c r="AM291" s="26">
        <f>INDEX(Calib!$U$1:$U$13,$D291)+(AM290-INDEX(Calib!$U$1:$U$13,$D291))*(1-p_amort)+p_sh_conc*AF291</f>
        <v/>
      </c>
      <c r="AN291" s="26">
        <f>AL291/AE291</f>
        <v/>
      </c>
      <c r="AO291" s="26">
        <f>INDEX(Calib!$K$1:$K$13,$D291)+p_eta*MAX(0,AN291-INDEX(Calib!$AA$1:$AA$13,$D291))</f>
        <v/>
      </c>
      <c r="AP291" s="26">
        <f>(1-INDEX(Calib!$H$1:$H$13,$D291))*(1-p_alpha)*AC291+AI291</f>
        <v/>
      </c>
      <c r="AQ291" s="26">
        <f>(AE291/O291-1)*100</f>
        <v/>
      </c>
      <c r="AR291" s="26">
        <f>(AE291/AE272-1)*100</f>
        <v/>
      </c>
      <c r="AS291" s="26">
        <f>(O291/O272-1)*100</f>
        <v/>
      </c>
      <c r="AT291" s="26">
        <f>(AN291-X291)*100</f>
        <v/>
      </c>
      <c r="AU291" s="26">
        <f>(AP291/Z291-1)*100</f>
        <v/>
      </c>
      <c r="AV291" s="26">
        <f>(AI291-S291)*100</f>
        <v/>
      </c>
    </row>
    <row r="292">
      <c r="A292" s="25" t="inlineStr">
        <is>
          <t>COG</t>
        </is>
      </c>
      <c r="B292" s="25" t="n">
        <v>2044</v>
      </c>
      <c r="C292" s="25" t="n">
        <v>20</v>
      </c>
      <c r="D292" s="25" t="n">
        <v>12</v>
      </c>
      <c r="E292" s="25">
        <f>IF(AND(p_dis_year&gt;0,B292=p_dis_year),1,0)</f>
        <v/>
      </c>
      <c r="F292" s="26">
        <f>IF(AND(p_dis_year&gt;0,B292&gt;=p_dis_year),1-p_eps_a*p_rho_a^(B292-p_dis_year),1)</f>
        <v/>
      </c>
      <c r="G292" s="26">
        <f>INDEX(Calib!$N$1:$N$13,$D292)*(1-p_rent_decline*MIN(1,C292/26))</f>
        <v/>
      </c>
      <c r="H292" s="26">
        <f>IF(C292=0,0,SUMIFS(dl_val,dl_iso,$A292,dl_ind,"pub_cap",dl_year,$B292)/100)</f>
        <v/>
      </c>
      <c r="I292" s="26">
        <f>IF(C292=0,0,SUMIFS(dl_val,dl_iso,$A292,dl_ind,"pub_spend",dl_year,$B292)/100)</f>
        <v/>
      </c>
      <c r="J292" s="26">
        <f>IF(C292=0,0,SUMIFS(dl_val,dl_iso,$A292,dl_ind,"rev",dl_year,$B292)/100)</f>
        <v/>
      </c>
      <c r="K292" s="26">
        <f>(1-p_delta_g)*K291*(1-p_eps_g*$E292)+INDEX(Calib!$E$1:$E$13,$D292)*(INDEX(Calib!$G$1:$G$13,$D292)+0*$H292)</f>
        <v/>
      </c>
      <c r="L292" s="26">
        <f>L291*(1-p_eps_k*$E292)+p_lambda_k*(N292-L291*(1-p_eps_k*$E292))</f>
        <v/>
      </c>
      <c r="M292" s="26">
        <f>INDEX(Calib!$R$1:$R$13,$D292)*$F292*(K291*(1-p_eps_g*$E292))^INDEX(Calib!$Q$1:$Q$13,$D292)*(L291*(1-p_eps_k*$E292))^p_alpha</f>
        <v/>
      </c>
      <c r="N292" s="26">
        <f>p_alpha*(1-INDEX(Calib!$H$1:$H$13,$D292))*M292/(INDEX(Calib!$K$1:$K$13,$D292)+p_delta)</f>
        <v/>
      </c>
      <c r="O292" s="26">
        <f>M292+$G292</f>
        <v/>
      </c>
      <c r="P292" s="26">
        <f>0*($H292+$I292)</f>
        <v/>
      </c>
      <c r="Q292" s="26">
        <f>INDEX(Calib!$I$1:$I$13,$D292)+p_sh_grant*P292</f>
        <v/>
      </c>
      <c r="R292" s="26">
        <f>INDEX(Calib!$H$1:$H$13,$D292)*M292+p_gov_take*$G292+Q292+0*p_pricing*$J292</f>
        <v/>
      </c>
      <c r="S292" s="26">
        <f>INDEX(Calib!$Y$1:$Y$13,$D292)-INDEX(Calib!$Z$1:$Z$13,$D292)*(V291/O291-INDEX(Calib!$AA$1:$AA$13,$D292))</f>
        <v/>
      </c>
      <c r="T292" s="26">
        <f>INDEX(Calib!$X$1:$X$13,$D292)+INDEX(Calib!$G$1:$G$13,$D292)+P292+S292-R292</f>
        <v/>
      </c>
      <c r="U292" s="26">
        <f>p_rk*W291+Y291*(V291-W291)</f>
        <v/>
      </c>
      <c r="V292" s="26">
        <f>V291+U292+T292</f>
        <v/>
      </c>
      <c r="W292" s="26">
        <f>INDEX(Calib!$U$1:$U$13,$D292)+(W291-INDEX(Calib!$U$1:$U$13,$D292))*(1-p_amort)+p_sh_conc*P292</f>
        <v/>
      </c>
      <c r="X292" s="26">
        <f>V292/O292</f>
        <v/>
      </c>
      <c r="Y292" s="26">
        <f>INDEX(Calib!$K$1:$K$13,$D292)+p_eta*MAX(0,X292-INDEX(Calib!$AA$1:$AA$13,$D292))</f>
        <v/>
      </c>
      <c r="Z292" s="26">
        <f>(1-INDEX(Calib!$H$1:$H$13,$D292))*(1-p_alpha)*M292+S292</f>
        <v/>
      </c>
      <c r="AA292" s="26">
        <f>(1-p_delta_g)*AA291*(1-p_eps_g*$E292)+INDEX(Calib!$E$1:$E$13,$D292)*(INDEX(Calib!$G$1:$G$13,$D292)+p_programme*$H292)</f>
        <v/>
      </c>
      <c r="AB292" s="26">
        <f>AB291*(1-p_eps_k*$E292)+p_lambda_k*(AD292-AB291*(1-p_eps_k*$E292))</f>
        <v/>
      </c>
      <c r="AC292" s="26">
        <f>INDEX(Calib!$R$1:$R$13,$D292)*$F292*(AA291*(1-p_eps_g*$E292))^INDEX(Calib!$Q$1:$Q$13,$D292)*(AB291*(1-p_eps_k*$E292))^p_alpha</f>
        <v/>
      </c>
      <c r="AD292" s="26">
        <f>p_alpha*(1-INDEX(Calib!$H$1:$H$13,$D292))*AC292/(INDEX(Calib!$K$1:$K$13,$D292)+p_delta)</f>
        <v/>
      </c>
      <c r="AE292" s="26">
        <f>AC292+$G292</f>
        <v/>
      </c>
      <c r="AF292" s="26">
        <f>p_programme*($H292+$I292)</f>
        <v/>
      </c>
      <c r="AG292" s="26">
        <f>INDEX(Calib!$I$1:$I$13,$D292)+p_sh_grant*AF292</f>
        <v/>
      </c>
      <c r="AH292" s="26">
        <f>INDEX(Calib!$H$1:$H$13,$D292)*AC292+p_gov_take*$G292+AG292+p_programme*p_pricing*$J292</f>
        <v/>
      </c>
      <c r="AI292" s="26">
        <f>INDEX(Calib!$Y$1:$Y$13,$D292)-INDEX(Calib!$Z$1:$Z$13,$D292)*(AL291/AE291-INDEX(Calib!$AA$1:$AA$13,$D292))</f>
        <v/>
      </c>
      <c r="AJ292" s="26">
        <f>INDEX(Calib!$X$1:$X$13,$D292)+INDEX(Calib!$G$1:$G$13,$D292)+AF292+AI292-AH292</f>
        <v/>
      </c>
      <c r="AK292" s="26">
        <f>p_rk*AM291+AO291*(AL291-AM291)</f>
        <v/>
      </c>
      <c r="AL292" s="26">
        <f>AL291+AK292+AJ292</f>
        <v/>
      </c>
      <c r="AM292" s="26">
        <f>INDEX(Calib!$U$1:$U$13,$D292)+(AM291-INDEX(Calib!$U$1:$U$13,$D292))*(1-p_amort)+p_sh_conc*AF292</f>
        <v/>
      </c>
      <c r="AN292" s="26">
        <f>AL292/AE292</f>
        <v/>
      </c>
      <c r="AO292" s="26">
        <f>INDEX(Calib!$K$1:$K$13,$D292)+p_eta*MAX(0,AN292-INDEX(Calib!$AA$1:$AA$13,$D292))</f>
        <v/>
      </c>
      <c r="AP292" s="26">
        <f>(1-INDEX(Calib!$H$1:$H$13,$D292))*(1-p_alpha)*AC292+AI292</f>
        <v/>
      </c>
      <c r="AQ292" s="26">
        <f>(AE292/O292-1)*100</f>
        <v/>
      </c>
      <c r="AR292" s="26">
        <f>(AE292/AE272-1)*100</f>
        <v/>
      </c>
      <c r="AS292" s="26">
        <f>(O292/O272-1)*100</f>
        <v/>
      </c>
      <c r="AT292" s="26">
        <f>(AN292-X292)*100</f>
        <v/>
      </c>
      <c r="AU292" s="26">
        <f>(AP292/Z292-1)*100</f>
        <v/>
      </c>
      <c r="AV292" s="26">
        <f>(AI292-S292)*100</f>
        <v/>
      </c>
    </row>
    <row r="293">
      <c r="A293" s="25" t="inlineStr">
        <is>
          <t>COG</t>
        </is>
      </c>
      <c r="B293" s="25" t="n">
        <v>2045</v>
      </c>
      <c r="C293" s="25" t="n">
        <v>21</v>
      </c>
      <c r="D293" s="25" t="n">
        <v>12</v>
      </c>
      <c r="E293" s="25">
        <f>IF(AND(p_dis_year&gt;0,B293=p_dis_year),1,0)</f>
        <v/>
      </c>
      <c r="F293" s="26">
        <f>IF(AND(p_dis_year&gt;0,B293&gt;=p_dis_year),1-p_eps_a*p_rho_a^(B293-p_dis_year),1)</f>
        <v/>
      </c>
      <c r="G293" s="26">
        <f>INDEX(Calib!$N$1:$N$13,$D293)*(1-p_rent_decline*MIN(1,C293/26))</f>
        <v/>
      </c>
      <c r="H293" s="26">
        <f>IF(C293=0,0,SUMIFS(dl_val,dl_iso,$A293,dl_ind,"pub_cap",dl_year,$B293)/100)</f>
        <v/>
      </c>
      <c r="I293" s="26">
        <f>IF(C293=0,0,SUMIFS(dl_val,dl_iso,$A293,dl_ind,"pub_spend",dl_year,$B293)/100)</f>
        <v/>
      </c>
      <c r="J293" s="26">
        <f>IF(C293=0,0,SUMIFS(dl_val,dl_iso,$A293,dl_ind,"rev",dl_year,$B293)/100)</f>
        <v/>
      </c>
      <c r="K293" s="26">
        <f>(1-p_delta_g)*K292*(1-p_eps_g*$E293)+INDEX(Calib!$E$1:$E$13,$D293)*(INDEX(Calib!$G$1:$G$13,$D293)+0*$H293)</f>
        <v/>
      </c>
      <c r="L293" s="26">
        <f>L292*(1-p_eps_k*$E293)+p_lambda_k*(N293-L292*(1-p_eps_k*$E293))</f>
        <v/>
      </c>
      <c r="M293" s="26">
        <f>INDEX(Calib!$R$1:$R$13,$D293)*$F293*(K292*(1-p_eps_g*$E293))^INDEX(Calib!$Q$1:$Q$13,$D293)*(L292*(1-p_eps_k*$E293))^p_alpha</f>
        <v/>
      </c>
      <c r="N293" s="26">
        <f>p_alpha*(1-INDEX(Calib!$H$1:$H$13,$D293))*M293/(INDEX(Calib!$K$1:$K$13,$D293)+p_delta)</f>
        <v/>
      </c>
      <c r="O293" s="26">
        <f>M293+$G293</f>
        <v/>
      </c>
      <c r="P293" s="26">
        <f>0*($H293+$I293)</f>
        <v/>
      </c>
      <c r="Q293" s="26">
        <f>INDEX(Calib!$I$1:$I$13,$D293)+p_sh_grant*P293</f>
        <v/>
      </c>
      <c r="R293" s="26">
        <f>INDEX(Calib!$H$1:$H$13,$D293)*M293+p_gov_take*$G293+Q293+0*p_pricing*$J293</f>
        <v/>
      </c>
      <c r="S293" s="26">
        <f>INDEX(Calib!$Y$1:$Y$13,$D293)-INDEX(Calib!$Z$1:$Z$13,$D293)*(V292/O292-INDEX(Calib!$AA$1:$AA$13,$D293))</f>
        <v/>
      </c>
      <c r="T293" s="26">
        <f>INDEX(Calib!$X$1:$X$13,$D293)+INDEX(Calib!$G$1:$G$13,$D293)+P293+S293-R293</f>
        <v/>
      </c>
      <c r="U293" s="26">
        <f>p_rk*W292+Y292*(V292-W292)</f>
        <v/>
      </c>
      <c r="V293" s="26">
        <f>V292+U293+T293</f>
        <v/>
      </c>
      <c r="W293" s="26">
        <f>INDEX(Calib!$U$1:$U$13,$D293)+(W292-INDEX(Calib!$U$1:$U$13,$D293))*(1-p_amort)+p_sh_conc*P293</f>
        <v/>
      </c>
      <c r="X293" s="26">
        <f>V293/O293</f>
        <v/>
      </c>
      <c r="Y293" s="26">
        <f>INDEX(Calib!$K$1:$K$13,$D293)+p_eta*MAX(0,X293-INDEX(Calib!$AA$1:$AA$13,$D293))</f>
        <v/>
      </c>
      <c r="Z293" s="26">
        <f>(1-INDEX(Calib!$H$1:$H$13,$D293))*(1-p_alpha)*M293+S293</f>
        <v/>
      </c>
      <c r="AA293" s="26">
        <f>(1-p_delta_g)*AA292*(1-p_eps_g*$E293)+INDEX(Calib!$E$1:$E$13,$D293)*(INDEX(Calib!$G$1:$G$13,$D293)+p_programme*$H293)</f>
        <v/>
      </c>
      <c r="AB293" s="26">
        <f>AB292*(1-p_eps_k*$E293)+p_lambda_k*(AD293-AB292*(1-p_eps_k*$E293))</f>
        <v/>
      </c>
      <c r="AC293" s="26">
        <f>INDEX(Calib!$R$1:$R$13,$D293)*$F293*(AA292*(1-p_eps_g*$E293))^INDEX(Calib!$Q$1:$Q$13,$D293)*(AB292*(1-p_eps_k*$E293))^p_alpha</f>
        <v/>
      </c>
      <c r="AD293" s="26">
        <f>p_alpha*(1-INDEX(Calib!$H$1:$H$13,$D293))*AC293/(INDEX(Calib!$K$1:$K$13,$D293)+p_delta)</f>
        <v/>
      </c>
      <c r="AE293" s="26">
        <f>AC293+$G293</f>
        <v/>
      </c>
      <c r="AF293" s="26">
        <f>p_programme*($H293+$I293)</f>
        <v/>
      </c>
      <c r="AG293" s="26">
        <f>INDEX(Calib!$I$1:$I$13,$D293)+p_sh_grant*AF293</f>
        <v/>
      </c>
      <c r="AH293" s="26">
        <f>INDEX(Calib!$H$1:$H$13,$D293)*AC293+p_gov_take*$G293+AG293+p_programme*p_pricing*$J293</f>
        <v/>
      </c>
      <c r="AI293" s="26">
        <f>INDEX(Calib!$Y$1:$Y$13,$D293)-INDEX(Calib!$Z$1:$Z$13,$D293)*(AL292/AE292-INDEX(Calib!$AA$1:$AA$13,$D293))</f>
        <v/>
      </c>
      <c r="AJ293" s="26">
        <f>INDEX(Calib!$X$1:$X$13,$D293)+INDEX(Calib!$G$1:$G$13,$D293)+AF293+AI293-AH293</f>
        <v/>
      </c>
      <c r="AK293" s="26">
        <f>p_rk*AM292+AO292*(AL292-AM292)</f>
        <v/>
      </c>
      <c r="AL293" s="26">
        <f>AL292+AK293+AJ293</f>
        <v/>
      </c>
      <c r="AM293" s="26">
        <f>INDEX(Calib!$U$1:$U$13,$D293)+(AM292-INDEX(Calib!$U$1:$U$13,$D293))*(1-p_amort)+p_sh_conc*AF293</f>
        <v/>
      </c>
      <c r="AN293" s="26">
        <f>AL293/AE293</f>
        <v/>
      </c>
      <c r="AO293" s="26">
        <f>INDEX(Calib!$K$1:$K$13,$D293)+p_eta*MAX(0,AN293-INDEX(Calib!$AA$1:$AA$13,$D293))</f>
        <v/>
      </c>
      <c r="AP293" s="26">
        <f>(1-INDEX(Calib!$H$1:$H$13,$D293))*(1-p_alpha)*AC293+AI293</f>
        <v/>
      </c>
      <c r="AQ293" s="26">
        <f>(AE293/O293-1)*100</f>
        <v/>
      </c>
      <c r="AR293" s="26">
        <f>(AE293/AE272-1)*100</f>
        <v/>
      </c>
      <c r="AS293" s="26">
        <f>(O293/O272-1)*100</f>
        <v/>
      </c>
      <c r="AT293" s="26">
        <f>(AN293-X293)*100</f>
        <v/>
      </c>
      <c r="AU293" s="26">
        <f>(AP293/Z293-1)*100</f>
        <v/>
      </c>
      <c r="AV293" s="26">
        <f>(AI293-S293)*100</f>
        <v/>
      </c>
    </row>
    <row r="294">
      <c r="A294" s="25" t="inlineStr">
        <is>
          <t>COG</t>
        </is>
      </c>
      <c r="B294" s="25" t="n">
        <v>2046</v>
      </c>
      <c r="C294" s="25" t="n">
        <v>22</v>
      </c>
      <c r="D294" s="25" t="n">
        <v>12</v>
      </c>
      <c r="E294" s="25">
        <f>IF(AND(p_dis_year&gt;0,B294=p_dis_year),1,0)</f>
        <v/>
      </c>
      <c r="F294" s="26">
        <f>IF(AND(p_dis_year&gt;0,B294&gt;=p_dis_year),1-p_eps_a*p_rho_a^(B294-p_dis_year),1)</f>
        <v/>
      </c>
      <c r="G294" s="26">
        <f>INDEX(Calib!$N$1:$N$13,$D294)*(1-p_rent_decline*MIN(1,C294/26))</f>
        <v/>
      </c>
      <c r="H294" s="26">
        <f>IF(C294=0,0,SUMIFS(dl_val,dl_iso,$A294,dl_ind,"pub_cap",dl_year,$B294)/100)</f>
        <v/>
      </c>
      <c r="I294" s="26">
        <f>IF(C294=0,0,SUMIFS(dl_val,dl_iso,$A294,dl_ind,"pub_spend",dl_year,$B294)/100)</f>
        <v/>
      </c>
      <c r="J294" s="26">
        <f>IF(C294=0,0,SUMIFS(dl_val,dl_iso,$A294,dl_ind,"rev",dl_year,$B294)/100)</f>
        <v/>
      </c>
      <c r="K294" s="26">
        <f>(1-p_delta_g)*K293*(1-p_eps_g*$E294)+INDEX(Calib!$E$1:$E$13,$D294)*(INDEX(Calib!$G$1:$G$13,$D294)+0*$H294)</f>
        <v/>
      </c>
      <c r="L294" s="26">
        <f>L293*(1-p_eps_k*$E294)+p_lambda_k*(N294-L293*(1-p_eps_k*$E294))</f>
        <v/>
      </c>
      <c r="M294" s="26">
        <f>INDEX(Calib!$R$1:$R$13,$D294)*$F294*(K293*(1-p_eps_g*$E294))^INDEX(Calib!$Q$1:$Q$13,$D294)*(L293*(1-p_eps_k*$E294))^p_alpha</f>
        <v/>
      </c>
      <c r="N294" s="26">
        <f>p_alpha*(1-INDEX(Calib!$H$1:$H$13,$D294))*M294/(INDEX(Calib!$K$1:$K$13,$D294)+p_delta)</f>
        <v/>
      </c>
      <c r="O294" s="26">
        <f>M294+$G294</f>
        <v/>
      </c>
      <c r="P294" s="26">
        <f>0*($H294+$I294)</f>
        <v/>
      </c>
      <c r="Q294" s="26">
        <f>INDEX(Calib!$I$1:$I$13,$D294)+p_sh_grant*P294</f>
        <v/>
      </c>
      <c r="R294" s="26">
        <f>INDEX(Calib!$H$1:$H$13,$D294)*M294+p_gov_take*$G294+Q294+0*p_pricing*$J294</f>
        <v/>
      </c>
      <c r="S294" s="26">
        <f>INDEX(Calib!$Y$1:$Y$13,$D294)-INDEX(Calib!$Z$1:$Z$13,$D294)*(V293/O293-INDEX(Calib!$AA$1:$AA$13,$D294))</f>
        <v/>
      </c>
      <c r="T294" s="26">
        <f>INDEX(Calib!$X$1:$X$13,$D294)+INDEX(Calib!$G$1:$G$13,$D294)+P294+S294-R294</f>
        <v/>
      </c>
      <c r="U294" s="26">
        <f>p_rk*W293+Y293*(V293-W293)</f>
        <v/>
      </c>
      <c r="V294" s="26">
        <f>V293+U294+T294</f>
        <v/>
      </c>
      <c r="W294" s="26">
        <f>INDEX(Calib!$U$1:$U$13,$D294)+(W293-INDEX(Calib!$U$1:$U$13,$D294))*(1-p_amort)+p_sh_conc*P294</f>
        <v/>
      </c>
      <c r="X294" s="26">
        <f>V294/O294</f>
        <v/>
      </c>
      <c r="Y294" s="26">
        <f>INDEX(Calib!$K$1:$K$13,$D294)+p_eta*MAX(0,X294-INDEX(Calib!$AA$1:$AA$13,$D294))</f>
        <v/>
      </c>
      <c r="Z294" s="26">
        <f>(1-INDEX(Calib!$H$1:$H$13,$D294))*(1-p_alpha)*M294+S294</f>
        <v/>
      </c>
      <c r="AA294" s="26">
        <f>(1-p_delta_g)*AA293*(1-p_eps_g*$E294)+INDEX(Calib!$E$1:$E$13,$D294)*(INDEX(Calib!$G$1:$G$13,$D294)+p_programme*$H294)</f>
        <v/>
      </c>
      <c r="AB294" s="26">
        <f>AB293*(1-p_eps_k*$E294)+p_lambda_k*(AD294-AB293*(1-p_eps_k*$E294))</f>
        <v/>
      </c>
      <c r="AC294" s="26">
        <f>INDEX(Calib!$R$1:$R$13,$D294)*$F294*(AA293*(1-p_eps_g*$E294))^INDEX(Calib!$Q$1:$Q$13,$D294)*(AB293*(1-p_eps_k*$E294))^p_alpha</f>
        <v/>
      </c>
      <c r="AD294" s="26">
        <f>p_alpha*(1-INDEX(Calib!$H$1:$H$13,$D294))*AC294/(INDEX(Calib!$K$1:$K$13,$D294)+p_delta)</f>
        <v/>
      </c>
      <c r="AE294" s="26">
        <f>AC294+$G294</f>
        <v/>
      </c>
      <c r="AF294" s="26">
        <f>p_programme*($H294+$I294)</f>
        <v/>
      </c>
      <c r="AG294" s="26">
        <f>INDEX(Calib!$I$1:$I$13,$D294)+p_sh_grant*AF294</f>
        <v/>
      </c>
      <c r="AH294" s="26">
        <f>INDEX(Calib!$H$1:$H$13,$D294)*AC294+p_gov_take*$G294+AG294+p_programme*p_pricing*$J294</f>
        <v/>
      </c>
      <c r="AI294" s="26">
        <f>INDEX(Calib!$Y$1:$Y$13,$D294)-INDEX(Calib!$Z$1:$Z$13,$D294)*(AL293/AE293-INDEX(Calib!$AA$1:$AA$13,$D294))</f>
        <v/>
      </c>
      <c r="AJ294" s="26">
        <f>INDEX(Calib!$X$1:$X$13,$D294)+INDEX(Calib!$G$1:$G$13,$D294)+AF294+AI294-AH294</f>
        <v/>
      </c>
      <c r="AK294" s="26">
        <f>p_rk*AM293+AO293*(AL293-AM293)</f>
        <v/>
      </c>
      <c r="AL294" s="26">
        <f>AL293+AK294+AJ294</f>
        <v/>
      </c>
      <c r="AM294" s="26">
        <f>INDEX(Calib!$U$1:$U$13,$D294)+(AM293-INDEX(Calib!$U$1:$U$13,$D294))*(1-p_amort)+p_sh_conc*AF294</f>
        <v/>
      </c>
      <c r="AN294" s="26">
        <f>AL294/AE294</f>
        <v/>
      </c>
      <c r="AO294" s="26">
        <f>INDEX(Calib!$K$1:$K$13,$D294)+p_eta*MAX(0,AN294-INDEX(Calib!$AA$1:$AA$13,$D294))</f>
        <v/>
      </c>
      <c r="AP294" s="26">
        <f>(1-INDEX(Calib!$H$1:$H$13,$D294))*(1-p_alpha)*AC294+AI294</f>
        <v/>
      </c>
      <c r="AQ294" s="26">
        <f>(AE294/O294-1)*100</f>
        <v/>
      </c>
      <c r="AR294" s="26">
        <f>(AE294/AE272-1)*100</f>
        <v/>
      </c>
      <c r="AS294" s="26">
        <f>(O294/O272-1)*100</f>
        <v/>
      </c>
      <c r="AT294" s="26">
        <f>(AN294-X294)*100</f>
        <v/>
      </c>
      <c r="AU294" s="26">
        <f>(AP294/Z294-1)*100</f>
        <v/>
      </c>
      <c r="AV294" s="26">
        <f>(AI294-S294)*100</f>
        <v/>
      </c>
    </row>
    <row r="295">
      <c r="A295" s="25" t="inlineStr">
        <is>
          <t>COG</t>
        </is>
      </c>
      <c r="B295" s="25" t="n">
        <v>2047</v>
      </c>
      <c r="C295" s="25" t="n">
        <v>23</v>
      </c>
      <c r="D295" s="25" t="n">
        <v>12</v>
      </c>
      <c r="E295" s="25">
        <f>IF(AND(p_dis_year&gt;0,B295=p_dis_year),1,0)</f>
        <v/>
      </c>
      <c r="F295" s="26">
        <f>IF(AND(p_dis_year&gt;0,B295&gt;=p_dis_year),1-p_eps_a*p_rho_a^(B295-p_dis_year),1)</f>
        <v/>
      </c>
      <c r="G295" s="26">
        <f>INDEX(Calib!$N$1:$N$13,$D295)*(1-p_rent_decline*MIN(1,C295/26))</f>
        <v/>
      </c>
      <c r="H295" s="26">
        <f>IF(C295=0,0,SUMIFS(dl_val,dl_iso,$A295,dl_ind,"pub_cap",dl_year,$B295)/100)</f>
        <v/>
      </c>
      <c r="I295" s="26">
        <f>IF(C295=0,0,SUMIFS(dl_val,dl_iso,$A295,dl_ind,"pub_spend",dl_year,$B295)/100)</f>
        <v/>
      </c>
      <c r="J295" s="26">
        <f>IF(C295=0,0,SUMIFS(dl_val,dl_iso,$A295,dl_ind,"rev",dl_year,$B295)/100)</f>
        <v/>
      </c>
      <c r="K295" s="26">
        <f>(1-p_delta_g)*K294*(1-p_eps_g*$E295)+INDEX(Calib!$E$1:$E$13,$D295)*(INDEX(Calib!$G$1:$G$13,$D295)+0*$H295)</f>
        <v/>
      </c>
      <c r="L295" s="26">
        <f>L294*(1-p_eps_k*$E295)+p_lambda_k*(N295-L294*(1-p_eps_k*$E295))</f>
        <v/>
      </c>
      <c r="M295" s="26">
        <f>INDEX(Calib!$R$1:$R$13,$D295)*$F295*(K294*(1-p_eps_g*$E295))^INDEX(Calib!$Q$1:$Q$13,$D295)*(L294*(1-p_eps_k*$E295))^p_alpha</f>
        <v/>
      </c>
      <c r="N295" s="26">
        <f>p_alpha*(1-INDEX(Calib!$H$1:$H$13,$D295))*M295/(INDEX(Calib!$K$1:$K$13,$D295)+p_delta)</f>
        <v/>
      </c>
      <c r="O295" s="26">
        <f>M295+$G295</f>
        <v/>
      </c>
      <c r="P295" s="26">
        <f>0*($H295+$I295)</f>
        <v/>
      </c>
      <c r="Q295" s="26">
        <f>INDEX(Calib!$I$1:$I$13,$D295)+p_sh_grant*P295</f>
        <v/>
      </c>
      <c r="R295" s="26">
        <f>INDEX(Calib!$H$1:$H$13,$D295)*M295+p_gov_take*$G295+Q295+0*p_pricing*$J295</f>
        <v/>
      </c>
      <c r="S295" s="26">
        <f>INDEX(Calib!$Y$1:$Y$13,$D295)-INDEX(Calib!$Z$1:$Z$13,$D295)*(V294/O294-INDEX(Calib!$AA$1:$AA$13,$D295))</f>
        <v/>
      </c>
      <c r="T295" s="26">
        <f>INDEX(Calib!$X$1:$X$13,$D295)+INDEX(Calib!$G$1:$G$13,$D295)+P295+S295-R295</f>
        <v/>
      </c>
      <c r="U295" s="26">
        <f>p_rk*W294+Y294*(V294-W294)</f>
        <v/>
      </c>
      <c r="V295" s="26">
        <f>V294+U295+T295</f>
        <v/>
      </c>
      <c r="W295" s="26">
        <f>INDEX(Calib!$U$1:$U$13,$D295)+(W294-INDEX(Calib!$U$1:$U$13,$D295))*(1-p_amort)+p_sh_conc*P295</f>
        <v/>
      </c>
      <c r="X295" s="26">
        <f>V295/O295</f>
        <v/>
      </c>
      <c r="Y295" s="26">
        <f>INDEX(Calib!$K$1:$K$13,$D295)+p_eta*MAX(0,X295-INDEX(Calib!$AA$1:$AA$13,$D295))</f>
        <v/>
      </c>
      <c r="Z295" s="26">
        <f>(1-INDEX(Calib!$H$1:$H$13,$D295))*(1-p_alpha)*M295+S295</f>
        <v/>
      </c>
      <c r="AA295" s="26">
        <f>(1-p_delta_g)*AA294*(1-p_eps_g*$E295)+INDEX(Calib!$E$1:$E$13,$D295)*(INDEX(Calib!$G$1:$G$13,$D295)+p_programme*$H295)</f>
        <v/>
      </c>
      <c r="AB295" s="26">
        <f>AB294*(1-p_eps_k*$E295)+p_lambda_k*(AD295-AB294*(1-p_eps_k*$E295))</f>
        <v/>
      </c>
      <c r="AC295" s="26">
        <f>INDEX(Calib!$R$1:$R$13,$D295)*$F295*(AA294*(1-p_eps_g*$E295))^INDEX(Calib!$Q$1:$Q$13,$D295)*(AB294*(1-p_eps_k*$E295))^p_alpha</f>
        <v/>
      </c>
      <c r="AD295" s="26">
        <f>p_alpha*(1-INDEX(Calib!$H$1:$H$13,$D295))*AC295/(INDEX(Calib!$K$1:$K$13,$D295)+p_delta)</f>
        <v/>
      </c>
      <c r="AE295" s="26">
        <f>AC295+$G295</f>
        <v/>
      </c>
      <c r="AF295" s="26">
        <f>p_programme*($H295+$I295)</f>
        <v/>
      </c>
      <c r="AG295" s="26">
        <f>INDEX(Calib!$I$1:$I$13,$D295)+p_sh_grant*AF295</f>
        <v/>
      </c>
      <c r="AH295" s="26">
        <f>INDEX(Calib!$H$1:$H$13,$D295)*AC295+p_gov_take*$G295+AG295+p_programme*p_pricing*$J295</f>
        <v/>
      </c>
      <c r="AI295" s="26">
        <f>INDEX(Calib!$Y$1:$Y$13,$D295)-INDEX(Calib!$Z$1:$Z$13,$D295)*(AL294/AE294-INDEX(Calib!$AA$1:$AA$13,$D295))</f>
        <v/>
      </c>
      <c r="AJ295" s="26">
        <f>INDEX(Calib!$X$1:$X$13,$D295)+INDEX(Calib!$G$1:$G$13,$D295)+AF295+AI295-AH295</f>
        <v/>
      </c>
      <c r="AK295" s="26">
        <f>p_rk*AM294+AO294*(AL294-AM294)</f>
        <v/>
      </c>
      <c r="AL295" s="26">
        <f>AL294+AK295+AJ295</f>
        <v/>
      </c>
      <c r="AM295" s="26">
        <f>INDEX(Calib!$U$1:$U$13,$D295)+(AM294-INDEX(Calib!$U$1:$U$13,$D295))*(1-p_amort)+p_sh_conc*AF295</f>
        <v/>
      </c>
      <c r="AN295" s="26">
        <f>AL295/AE295</f>
        <v/>
      </c>
      <c r="AO295" s="26">
        <f>INDEX(Calib!$K$1:$K$13,$D295)+p_eta*MAX(0,AN295-INDEX(Calib!$AA$1:$AA$13,$D295))</f>
        <v/>
      </c>
      <c r="AP295" s="26">
        <f>(1-INDEX(Calib!$H$1:$H$13,$D295))*(1-p_alpha)*AC295+AI295</f>
        <v/>
      </c>
      <c r="AQ295" s="26">
        <f>(AE295/O295-1)*100</f>
        <v/>
      </c>
      <c r="AR295" s="26">
        <f>(AE295/AE272-1)*100</f>
        <v/>
      </c>
      <c r="AS295" s="26">
        <f>(O295/O272-1)*100</f>
        <v/>
      </c>
      <c r="AT295" s="26">
        <f>(AN295-X295)*100</f>
        <v/>
      </c>
      <c r="AU295" s="26">
        <f>(AP295/Z295-1)*100</f>
        <v/>
      </c>
      <c r="AV295" s="26">
        <f>(AI295-S295)*100</f>
        <v/>
      </c>
    </row>
    <row r="296">
      <c r="A296" s="25" t="inlineStr">
        <is>
          <t>COG</t>
        </is>
      </c>
      <c r="B296" s="25" t="n">
        <v>2048</v>
      </c>
      <c r="C296" s="25" t="n">
        <v>24</v>
      </c>
      <c r="D296" s="25" t="n">
        <v>12</v>
      </c>
      <c r="E296" s="25">
        <f>IF(AND(p_dis_year&gt;0,B296=p_dis_year),1,0)</f>
        <v/>
      </c>
      <c r="F296" s="26">
        <f>IF(AND(p_dis_year&gt;0,B296&gt;=p_dis_year),1-p_eps_a*p_rho_a^(B296-p_dis_year),1)</f>
        <v/>
      </c>
      <c r="G296" s="26">
        <f>INDEX(Calib!$N$1:$N$13,$D296)*(1-p_rent_decline*MIN(1,C296/26))</f>
        <v/>
      </c>
      <c r="H296" s="26">
        <f>IF(C296=0,0,SUMIFS(dl_val,dl_iso,$A296,dl_ind,"pub_cap",dl_year,$B296)/100)</f>
        <v/>
      </c>
      <c r="I296" s="26">
        <f>IF(C296=0,0,SUMIFS(dl_val,dl_iso,$A296,dl_ind,"pub_spend",dl_year,$B296)/100)</f>
        <v/>
      </c>
      <c r="J296" s="26">
        <f>IF(C296=0,0,SUMIFS(dl_val,dl_iso,$A296,dl_ind,"rev",dl_year,$B296)/100)</f>
        <v/>
      </c>
      <c r="K296" s="26">
        <f>(1-p_delta_g)*K295*(1-p_eps_g*$E296)+INDEX(Calib!$E$1:$E$13,$D296)*(INDEX(Calib!$G$1:$G$13,$D296)+0*$H296)</f>
        <v/>
      </c>
      <c r="L296" s="26">
        <f>L295*(1-p_eps_k*$E296)+p_lambda_k*(N296-L295*(1-p_eps_k*$E296))</f>
        <v/>
      </c>
      <c r="M296" s="26">
        <f>INDEX(Calib!$R$1:$R$13,$D296)*$F296*(K295*(1-p_eps_g*$E296))^INDEX(Calib!$Q$1:$Q$13,$D296)*(L295*(1-p_eps_k*$E296))^p_alpha</f>
        <v/>
      </c>
      <c r="N296" s="26">
        <f>p_alpha*(1-INDEX(Calib!$H$1:$H$13,$D296))*M296/(INDEX(Calib!$K$1:$K$13,$D296)+p_delta)</f>
        <v/>
      </c>
      <c r="O296" s="26">
        <f>M296+$G296</f>
        <v/>
      </c>
      <c r="P296" s="26">
        <f>0*($H296+$I296)</f>
        <v/>
      </c>
      <c r="Q296" s="26">
        <f>INDEX(Calib!$I$1:$I$13,$D296)+p_sh_grant*P296</f>
        <v/>
      </c>
      <c r="R296" s="26">
        <f>INDEX(Calib!$H$1:$H$13,$D296)*M296+p_gov_take*$G296+Q296+0*p_pricing*$J296</f>
        <v/>
      </c>
      <c r="S296" s="26">
        <f>INDEX(Calib!$Y$1:$Y$13,$D296)-INDEX(Calib!$Z$1:$Z$13,$D296)*(V295/O295-INDEX(Calib!$AA$1:$AA$13,$D296))</f>
        <v/>
      </c>
      <c r="T296" s="26">
        <f>INDEX(Calib!$X$1:$X$13,$D296)+INDEX(Calib!$G$1:$G$13,$D296)+P296+S296-R296</f>
        <v/>
      </c>
      <c r="U296" s="26">
        <f>p_rk*W295+Y295*(V295-W295)</f>
        <v/>
      </c>
      <c r="V296" s="26">
        <f>V295+U296+T296</f>
        <v/>
      </c>
      <c r="W296" s="26">
        <f>INDEX(Calib!$U$1:$U$13,$D296)+(W295-INDEX(Calib!$U$1:$U$13,$D296))*(1-p_amort)+p_sh_conc*P296</f>
        <v/>
      </c>
      <c r="X296" s="26">
        <f>V296/O296</f>
        <v/>
      </c>
      <c r="Y296" s="26">
        <f>INDEX(Calib!$K$1:$K$13,$D296)+p_eta*MAX(0,X296-INDEX(Calib!$AA$1:$AA$13,$D296))</f>
        <v/>
      </c>
      <c r="Z296" s="26">
        <f>(1-INDEX(Calib!$H$1:$H$13,$D296))*(1-p_alpha)*M296+S296</f>
        <v/>
      </c>
      <c r="AA296" s="26">
        <f>(1-p_delta_g)*AA295*(1-p_eps_g*$E296)+INDEX(Calib!$E$1:$E$13,$D296)*(INDEX(Calib!$G$1:$G$13,$D296)+p_programme*$H296)</f>
        <v/>
      </c>
      <c r="AB296" s="26">
        <f>AB295*(1-p_eps_k*$E296)+p_lambda_k*(AD296-AB295*(1-p_eps_k*$E296))</f>
        <v/>
      </c>
      <c r="AC296" s="26">
        <f>INDEX(Calib!$R$1:$R$13,$D296)*$F296*(AA295*(1-p_eps_g*$E296))^INDEX(Calib!$Q$1:$Q$13,$D296)*(AB295*(1-p_eps_k*$E296))^p_alpha</f>
        <v/>
      </c>
      <c r="AD296" s="26">
        <f>p_alpha*(1-INDEX(Calib!$H$1:$H$13,$D296))*AC296/(INDEX(Calib!$K$1:$K$13,$D296)+p_delta)</f>
        <v/>
      </c>
      <c r="AE296" s="26">
        <f>AC296+$G296</f>
        <v/>
      </c>
      <c r="AF296" s="26">
        <f>p_programme*($H296+$I296)</f>
        <v/>
      </c>
      <c r="AG296" s="26">
        <f>INDEX(Calib!$I$1:$I$13,$D296)+p_sh_grant*AF296</f>
        <v/>
      </c>
      <c r="AH296" s="26">
        <f>INDEX(Calib!$H$1:$H$13,$D296)*AC296+p_gov_take*$G296+AG296+p_programme*p_pricing*$J296</f>
        <v/>
      </c>
      <c r="AI296" s="26">
        <f>INDEX(Calib!$Y$1:$Y$13,$D296)-INDEX(Calib!$Z$1:$Z$13,$D296)*(AL295/AE295-INDEX(Calib!$AA$1:$AA$13,$D296))</f>
        <v/>
      </c>
      <c r="AJ296" s="26">
        <f>INDEX(Calib!$X$1:$X$13,$D296)+INDEX(Calib!$G$1:$G$13,$D296)+AF296+AI296-AH296</f>
        <v/>
      </c>
      <c r="AK296" s="26">
        <f>p_rk*AM295+AO295*(AL295-AM295)</f>
        <v/>
      </c>
      <c r="AL296" s="26">
        <f>AL295+AK296+AJ296</f>
        <v/>
      </c>
      <c r="AM296" s="26">
        <f>INDEX(Calib!$U$1:$U$13,$D296)+(AM295-INDEX(Calib!$U$1:$U$13,$D296))*(1-p_amort)+p_sh_conc*AF296</f>
        <v/>
      </c>
      <c r="AN296" s="26">
        <f>AL296/AE296</f>
        <v/>
      </c>
      <c r="AO296" s="26">
        <f>INDEX(Calib!$K$1:$K$13,$D296)+p_eta*MAX(0,AN296-INDEX(Calib!$AA$1:$AA$13,$D296))</f>
        <v/>
      </c>
      <c r="AP296" s="26">
        <f>(1-INDEX(Calib!$H$1:$H$13,$D296))*(1-p_alpha)*AC296+AI296</f>
        <v/>
      </c>
      <c r="AQ296" s="26">
        <f>(AE296/O296-1)*100</f>
        <v/>
      </c>
      <c r="AR296" s="26">
        <f>(AE296/AE272-1)*100</f>
        <v/>
      </c>
      <c r="AS296" s="26">
        <f>(O296/O272-1)*100</f>
        <v/>
      </c>
      <c r="AT296" s="26">
        <f>(AN296-X296)*100</f>
        <v/>
      </c>
      <c r="AU296" s="26">
        <f>(AP296/Z296-1)*100</f>
        <v/>
      </c>
      <c r="AV296" s="26">
        <f>(AI296-S296)*100</f>
        <v/>
      </c>
    </row>
    <row r="297">
      <c r="A297" s="25" t="inlineStr">
        <is>
          <t>COG</t>
        </is>
      </c>
      <c r="B297" s="25" t="n">
        <v>2049</v>
      </c>
      <c r="C297" s="25" t="n">
        <v>25</v>
      </c>
      <c r="D297" s="25" t="n">
        <v>12</v>
      </c>
      <c r="E297" s="25">
        <f>IF(AND(p_dis_year&gt;0,B297=p_dis_year),1,0)</f>
        <v/>
      </c>
      <c r="F297" s="26">
        <f>IF(AND(p_dis_year&gt;0,B297&gt;=p_dis_year),1-p_eps_a*p_rho_a^(B297-p_dis_year),1)</f>
        <v/>
      </c>
      <c r="G297" s="26">
        <f>INDEX(Calib!$N$1:$N$13,$D297)*(1-p_rent_decline*MIN(1,C297/26))</f>
        <v/>
      </c>
      <c r="H297" s="26">
        <f>IF(C297=0,0,SUMIFS(dl_val,dl_iso,$A297,dl_ind,"pub_cap",dl_year,$B297)/100)</f>
        <v/>
      </c>
      <c r="I297" s="26">
        <f>IF(C297=0,0,SUMIFS(dl_val,dl_iso,$A297,dl_ind,"pub_spend",dl_year,$B297)/100)</f>
        <v/>
      </c>
      <c r="J297" s="26">
        <f>IF(C297=0,0,SUMIFS(dl_val,dl_iso,$A297,dl_ind,"rev",dl_year,$B297)/100)</f>
        <v/>
      </c>
      <c r="K297" s="26">
        <f>(1-p_delta_g)*K296*(1-p_eps_g*$E297)+INDEX(Calib!$E$1:$E$13,$D297)*(INDEX(Calib!$G$1:$G$13,$D297)+0*$H297)</f>
        <v/>
      </c>
      <c r="L297" s="26">
        <f>L296*(1-p_eps_k*$E297)+p_lambda_k*(N297-L296*(1-p_eps_k*$E297))</f>
        <v/>
      </c>
      <c r="M297" s="26">
        <f>INDEX(Calib!$R$1:$R$13,$D297)*$F297*(K296*(1-p_eps_g*$E297))^INDEX(Calib!$Q$1:$Q$13,$D297)*(L296*(1-p_eps_k*$E297))^p_alpha</f>
        <v/>
      </c>
      <c r="N297" s="26">
        <f>p_alpha*(1-INDEX(Calib!$H$1:$H$13,$D297))*M297/(INDEX(Calib!$K$1:$K$13,$D297)+p_delta)</f>
        <v/>
      </c>
      <c r="O297" s="26">
        <f>M297+$G297</f>
        <v/>
      </c>
      <c r="P297" s="26">
        <f>0*($H297+$I297)</f>
        <v/>
      </c>
      <c r="Q297" s="26">
        <f>INDEX(Calib!$I$1:$I$13,$D297)+p_sh_grant*P297</f>
        <v/>
      </c>
      <c r="R297" s="26">
        <f>INDEX(Calib!$H$1:$H$13,$D297)*M297+p_gov_take*$G297+Q297+0*p_pricing*$J297</f>
        <v/>
      </c>
      <c r="S297" s="26">
        <f>INDEX(Calib!$Y$1:$Y$13,$D297)-INDEX(Calib!$Z$1:$Z$13,$D297)*(V296/O296-INDEX(Calib!$AA$1:$AA$13,$D297))</f>
        <v/>
      </c>
      <c r="T297" s="26">
        <f>INDEX(Calib!$X$1:$X$13,$D297)+INDEX(Calib!$G$1:$G$13,$D297)+P297+S297-R297</f>
        <v/>
      </c>
      <c r="U297" s="26">
        <f>p_rk*W296+Y296*(V296-W296)</f>
        <v/>
      </c>
      <c r="V297" s="26">
        <f>V296+U297+T297</f>
        <v/>
      </c>
      <c r="W297" s="26">
        <f>INDEX(Calib!$U$1:$U$13,$D297)+(W296-INDEX(Calib!$U$1:$U$13,$D297))*(1-p_amort)+p_sh_conc*P297</f>
        <v/>
      </c>
      <c r="X297" s="26">
        <f>V297/O297</f>
        <v/>
      </c>
      <c r="Y297" s="26">
        <f>INDEX(Calib!$K$1:$K$13,$D297)+p_eta*MAX(0,X297-INDEX(Calib!$AA$1:$AA$13,$D297))</f>
        <v/>
      </c>
      <c r="Z297" s="26">
        <f>(1-INDEX(Calib!$H$1:$H$13,$D297))*(1-p_alpha)*M297+S297</f>
        <v/>
      </c>
      <c r="AA297" s="26">
        <f>(1-p_delta_g)*AA296*(1-p_eps_g*$E297)+INDEX(Calib!$E$1:$E$13,$D297)*(INDEX(Calib!$G$1:$G$13,$D297)+p_programme*$H297)</f>
        <v/>
      </c>
      <c r="AB297" s="26">
        <f>AB296*(1-p_eps_k*$E297)+p_lambda_k*(AD297-AB296*(1-p_eps_k*$E297))</f>
        <v/>
      </c>
      <c r="AC297" s="26">
        <f>INDEX(Calib!$R$1:$R$13,$D297)*$F297*(AA296*(1-p_eps_g*$E297))^INDEX(Calib!$Q$1:$Q$13,$D297)*(AB296*(1-p_eps_k*$E297))^p_alpha</f>
        <v/>
      </c>
      <c r="AD297" s="26">
        <f>p_alpha*(1-INDEX(Calib!$H$1:$H$13,$D297))*AC297/(INDEX(Calib!$K$1:$K$13,$D297)+p_delta)</f>
        <v/>
      </c>
      <c r="AE297" s="26">
        <f>AC297+$G297</f>
        <v/>
      </c>
      <c r="AF297" s="26">
        <f>p_programme*($H297+$I297)</f>
        <v/>
      </c>
      <c r="AG297" s="26">
        <f>INDEX(Calib!$I$1:$I$13,$D297)+p_sh_grant*AF297</f>
        <v/>
      </c>
      <c r="AH297" s="26">
        <f>INDEX(Calib!$H$1:$H$13,$D297)*AC297+p_gov_take*$G297+AG297+p_programme*p_pricing*$J297</f>
        <v/>
      </c>
      <c r="AI297" s="26">
        <f>INDEX(Calib!$Y$1:$Y$13,$D297)-INDEX(Calib!$Z$1:$Z$13,$D297)*(AL296/AE296-INDEX(Calib!$AA$1:$AA$13,$D297))</f>
        <v/>
      </c>
      <c r="AJ297" s="26">
        <f>INDEX(Calib!$X$1:$X$13,$D297)+INDEX(Calib!$G$1:$G$13,$D297)+AF297+AI297-AH297</f>
        <v/>
      </c>
      <c r="AK297" s="26">
        <f>p_rk*AM296+AO296*(AL296-AM296)</f>
        <v/>
      </c>
      <c r="AL297" s="26">
        <f>AL296+AK297+AJ297</f>
        <v/>
      </c>
      <c r="AM297" s="26">
        <f>INDEX(Calib!$U$1:$U$13,$D297)+(AM296-INDEX(Calib!$U$1:$U$13,$D297))*(1-p_amort)+p_sh_conc*AF297</f>
        <v/>
      </c>
      <c r="AN297" s="26">
        <f>AL297/AE297</f>
        <v/>
      </c>
      <c r="AO297" s="26">
        <f>INDEX(Calib!$K$1:$K$13,$D297)+p_eta*MAX(0,AN297-INDEX(Calib!$AA$1:$AA$13,$D297))</f>
        <v/>
      </c>
      <c r="AP297" s="26">
        <f>(1-INDEX(Calib!$H$1:$H$13,$D297))*(1-p_alpha)*AC297+AI297</f>
        <v/>
      </c>
      <c r="AQ297" s="26">
        <f>(AE297/O297-1)*100</f>
        <v/>
      </c>
      <c r="AR297" s="26">
        <f>(AE297/AE272-1)*100</f>
        <v/>
      </c>
      <c r="AS297" s="26">
        <f>(O297/O272-1)*100</f>
        <v/>
      </c>
      <c r="AT297" s="26">
        <f>(AN297-X297)*100</f>
        <v/>
      </c>
      <c r="AU297" s="26">
        <f>(AP297/Z297-1)*100</f>
        <v/>
      </c>
      <c r="AV297" s="26">
        <f>(AI297-S297)*100</f>
        <v/>
      </c>
    </row>
    <row r="298">
      <c r="A298" s="25" t="inlineStr">
        <is>
          <t>COG</t>
        </is>
      </c>
      <c r="B298" s="25" t="n">
        <v>2050</v>
      </c>
      <c r="C298" s="25" t="n">
        <v>26</v>
      </c>
      <c r="D298" s="25" t="n">
        <v>12</v>
      </c>
      <c r="E298" s="25">
        <f>IF(AND(p_dis_year&gt;0,B298=p_dis_year),1,0)</f>
        <v/>
      </c>
      <c r="F298" s="26">
        <f>IF(AND(p_dis_year&gt;0,B298&gt;=p_dis_year),1-p_eps_a*p_rho_a^(B298-p_dis_year),1)</f>
        <v/>
      </c>
      <c r="G298" s="26">
        <f>INDEX(Calib!$N$1:$N$13,$D298)*(1-p_rent_decline*MIN(1,C298/26))</f>
        <v/>
      </c>
      <c r="H298" s="26">
        <f>IF(C298=0,0,SUMIFS(dl_val,dl_iso,$A298,dl_ind,"pub_cap",dl_year,$B298)/100)</f>
        <v/>
      </c>
      <c r="I298" s="26">
        <f>IF(C298=0,0,SUMIFS(dl_val,dl_iso,$A298,dl_ind,"pub_spend",dl_year,$B298)/100)</f>
        <v/>
      </c>
      <c r="J298" s="26">
        <f>IF(C298=0,0,SUMIFS(dl_val,dl_iso,$A298,dl_ind,"rev",dl_year,$B298)/100)</f>
        <v/>
      </c>
      <c r="K298" s="26">
        <f>(1-p_delta_g)*K297*(1-p_eps_g*$E298)+INDEX(Calib!$E$1:$E$13,$D298)*(INDEX(Calib!$G$1:$G$13,$D298)+0*$H298)</f>
        <v/>
      </c>
      <c r="L298" s="26">
        <f>L297*(1-p_eps_k*$E298)+p_lambda_k*(N298-L297*(1-p_eps_k*$E298))</f>
        <v/>
      </c>
      <c r="M298" s="26">
        <f>INDEX(Calib!$R$1:$R$13,$D298)*$F298*(K297*(1-p_eps_g*$E298))^INDEX(Calib!$Q$1:$Q$13,$D298)*(L297*(1-p_eps_k*$E298))^p_alpha</f>
        <v/>
      </c>
      <c r="N298" s="26">
        <f>p_alpha*(1-INDEX(Calib!$H$1:$H$13,$D298))*M298/(INDEX(Calib!$K$1:$K$13,$D298)+p_delta)</f>
        <v/>
      </c>
      <c r="O298" s="26">
        <f>M298+$G298</f>
        <v/>
      </c>
      <c r="P298" s="26">
        <f>0*($H298+$I298)</f>
        <v/>
      </c>
      <c r="Q298" s="26">
        <f>INDEX(Calib!$I$1:$I$13,$D298)+p_sh_grant*P298</f>
        <v/>
      </c>
      <c r="R298" s="26">
        <f>INDEX(Calib!$H$1:$H$13,$D298)*M298+p_gov_take*$G298+Q298+0*p_pricing*$J298</f>
        <v/>
      </c>
      <c r="S298" s="26">
        <f>INDEX(Calib!$Y$1:$Y$13,$D298)-INDEX(Calib!$Z$1:$Z$13,$D298)*(V297/O297-INDEX(Calib!$AA$1:$AA$13,$D298))</f>
        <v/>
      </c>
      <c r="T298" s="26">
        <f>INDEX(Calib!$X$1:$X$13,$D298)+INDEX(Calib!$G$1:$G$13,$D298)+P298+S298-R298</f>
        <v/>
      </c>
      <c r="U298" s="26">
        <f>p_rk*W297+Y297*(V297-W297)</f>
        <v/>
      </c>
      <c r="V298" s="26">
        <f>V297+U298+T298</f>
        <v/>
      </c>
      <c r="W298" s="26">
        <f>INDEX(Calib!$U$1:$U$13,$D298)+(W297-INDEX(Calib!$U$1:$U$13,$D298))*(1-p_amort)+p_sh_conc*P298</f>
        <v/>
      </c>
      <c r="X298" s="26">
        <f>V298/O298</f>
        <v/>
      </c>
      <c r="Y298" s="26">
        <f>INDEX(Calib!$K$1:$K$13,$D298)+p_eta*MAX(0,X298-INDEX(Calib!$AA$1:$AA$13,$D298))</f>
        <v/>
      </c>
      <c r="Z298" s="26">
        <f>(1-INDEX(Calib!$H$1:$H$13,$D298))*(1-p_alpha)*M298+S298</f>
        <v/>
      </c>
      <c r="AA298" s="26">
        <f>(1-p_delta_g)*AA297*(1-p_eps_g*$E298)+INDEX(Calib!$E$1:$E$13,$D298)*(INDEX(Calib!$G$1:$G$13,$D298)+p_programme*$H298)</f>
        <v/>
      </c>
      <c r="AB298" s="26">
        <f>AB297*(1-p_eps_k*$E298)+p_lambda_k*(AD298-AB297*(1-p_eps_k*$E298))</f>
        <v/>
      </c>
      <c r="AC298" s="26">
        <f>INDEX(Calib!$R$1:$R$13,$D298)*$F298*(AA297*(1-p_eps_g*$E298))^INDEX(Calib!$Q$1:$Q$13,$D298)*(AB297*(1-p_eps_k*$E298))^p_alpha</f>
        <v/>
      </c>
      <c r="AD298" s="26">
        <f>p_alpha*(1-INDEX(Calib!$H$1:$H$13,$D298))*AC298/(INDEX(Calib!$K$1:$K$13,$D298)+p_delta)</f>
        <v/>
      </c>
      <c r="AE298" s="26">
        <f>AC298+$G298</f>
        <v/>
      </c>
      <c r="AF298" s="26">
        <f>p_programme*($H298+$I298)</f>
        <v/>
      </c>
      <c r="AG298" s="26">
        <f>INDEX(Calib!$I$1:$I$13,$D298)+p_sh_grant*AF298</f>
        <v/>
      </c>
      <c r="AH298" s="26">
        <f>INDEX(Calib!$H$1:$H$13,$D298)*AC298+p_gov_take*$G298+AG298+p_programme*p_pricing*$J298</f>
        <v/>
      </c>
      <c r="AI298" s="26">
        <f>INDEX(Calib!$Y$1:$Y$13,$D298)-INDEX(Calib!$Z$1:$Z$13,$D298)*(AL297/AE297-INDEX(Calib!$AA$1:$AA$13,$D298))</f>
        <v/>
      </c>
      <c r="AJ298" s="26">
        <f>INDEX(Calib!$X$1:$X$13,$D298)+INDEX(Calib!$G$1:$G$13,$D298)+AF298+AI298-AH298</f>
        <v/>
      </c>
      <c r="AK298" s="26">
        <f>p_rk*AM297+AO297*(AL297-AM297)</f>
        <v/>
      </c>
      <c r="AL298" s="26">
        <f>AL297+AK298+AJ298</f>
        <v/>
      </c>
      <c r="AM298" s="26">
        <f>INDEX(Calib!$U$1:$U$13,$D298)+(AM297-INDEX(Calib!$U$1:$U$13,$D298))*(1-p_amort)+p_sh_conc*AF298</f>
        <v/>
      </c>
      <c r="AN298" s="26">
        <f>AL298/AE298</f>
        <v/>
      </c>
      <c r="AO298" s="26">
        <f>INDEX(Calib!$K$1:$K$13,$D298)+p_eta*MAX(0,AN298-INDEX(Calib!$AA$1:$AA$13,$D298))</f>
        <v/>
      </c>
      <c r="AP298" s="26">
        <f>(1-INDEX(Calib!$H$1:$H$13,$D298))*(1-p_alpha)*AC298+AI298</f>
        <v/>
      </c>
      <c r="AQ298" s="26">
        <f>(AE298/O298-1)*100</f>
        <v/>
      </c>
      <c r="AR298" s="26">
        <f>(AE298/AE272-1)*100</f>
        <v/>
      </c>
      <c r="AS298" s="26">
        <f>(O298/O272-1)*100</f>
        <v/>
      </c>
      <c r="AT298" s="26">
        <f>(AN298-X298)*100</f>
        <v/>
      </c>
      <c r="AU298" s="26">
        <f>(AP298/Z298-1)*100</f>
        <v/>
      </c>
      <c r="AV298" s="26">
        <f>(AI298-S298)*100</f>
        <v/>
      </c>
    </row>
    <row r="299">
      <c r="A299" s="25" t="inlineStr">
        <is>
          <t>TCD</t>
        </is>
      </c>
      <c r="B299" s="25" t="n">
        <v>2024</v>
      </c>
      <c r="C299" s="25" t="n">
        <v>0</v>
      </c>
      <c r="D299" s="25" t="n">
        <v>13</v>
      </c>
      <c r="E299" s="25">
        <f>IF(AND(p_dis_year&gt;0,B299=p_dis_year),1,0)</f>
        <v/>
      </c>
      <c r="F299" s="26">
        <f>IF(AND(p_dis_year&gt;0,B299&gt;=p_dis_year),1-p_eps_a*p_rho_a^(B299-p_dis_year),1)</f>
        <v/>
      </c>
      <c r="G299" s="26">
        <f>INDEX(Calib!$N$1:$N$13,$D299)*(1-p_rent_decline*MIN(1,C299/26))</f>
        <v/>
      </c>
      <c r="H299" s="26">
        <f>IF(C299=0,0,SUMIFS(dl_val,dl_iso,$A299,dl_ind,"pub_cap",dl_year,$B299)/100)</f>
        <v/>
      </c>
      <c r="I299" s="26">
        <f>IF(C299=0,0,SUMIFS(dl_val,dl_iso,$A299,dl_ind,"pub_spend",dl_year,$B299)/100)</f>
        <v/>
      </c>
      <c r="J299" s="26">
        <f>IF(C299=0,0,SUMIFS(dl_val,dl_iso,$A299,dl_ind,"rev",dl_year,$B299)/100)</f>
        <v/>
      </c>
      <c r="K299" s="26">
        <f>INDEX(Calib!$P$1:$P$13,$D299)</f>
        <v/>
      </c>
      <c r="L299" s="26">
        <f>INDEX(Calib!$O$1:$O$13,$D299)</f>
        <v/>
      </c>
      <c r="M299" s="26">
        <f>1</f>
        <v/>
      </c>
      <c r="N299" s="26">
        <f>INDEX(Calib!$O$1:$O$13,$D299)</f>
        <v/>
      </c>
      <c r="O299" s="26">
        <f>INDEX(Calib!$S$1:$S$13,$D299)</f>
        <v/>
      </c>
      <c r="P299" s="26">
        <f>0</f>
        <v/>
      </c>
      <c r="Q299" s="26">
        <f>INDEX(Calib!$I$1:$I$13,$D299)</f>
        <v/>
      </c>
      <c r="R299" s="26">
        <f>INDEX(Calib!$W$1:$W$13,$D299)</f>
        <v/>
      </c>
      <c r="S299" s="26">
        <f>INDEX(Calib!$Y$1:$Y$13,$D299)</f>
        <v/>
      </c>
      <c r="T299" s="26">
        <f>-INDEX(Calib!$V$1:$V$13,$D299)</f>
        <v/>
      </c>
      <c r="U299" s="26">
        <f>INDEX(Calib!$V$1:$V$13,$D299)</f>
        <v/>
      </c>
      <c r="V299" s="26">
        <f>INDEX(Calib!$T$1:$T$13,$D299)</f>
        <v/>
      </c>
      <c r="W299" s="26">
        <f>INDEX(Calib!$U$1:$U$13,$D299)</f>
        <v/>
      </c>
      <c r="X299" s="26">
        <f>V299/O299</f>
        <v/>
      </c>
      <c r="Y299" s="26">
        <f>INDEX(Calib!$K$1:$K$13,$D299)</f>
        <v/>
      </c>
      <c r="Z299" s="26">
        <f>(1-INDEX(Calib!$H$1:$H$13,$D299))*(1-p_alpha)*M299+S299</f>
        <v/>
      </c>
      <c r="AA299" s="26">
        <f>INDEX(Calib!$P$1:$P$13,$D299)</f>
        <v/>
      </c>
      <c r="AB299" s="26">
        <f>INDEX(Calib!$O$1:$O$13,$D299)</f>
        <v/>
      </c>
      <c r="AC299" s="26">
        <f>1</f>
        <v/>
      </c>
      <c r="AD299" s="26">
        <f>INDEX(Calib!$O$1:$O$13,$D299)</f>
        <v/>
      </c>
      <c r="AE299" s="26">
        <f>INDEX(Calib!$S$1:$S$13,$D299)</f>
        <v/>
      </c>
      <c r="AF299" s="26">
        <f>0</f>
        <v/>
      </c>
      <c r="AG299" s="26">
        <f>INDEX(Calib!$I$1:$I$13,$D299)</f>
        <v/>
      </c>
      <c r="AH299" s="26">
        <f>INDEX(Calib!$W$1:$W$13,$D299)</f>
        <v/>
      </c>
      <c r="AI299" s="26">
        <f>INDEX(Calib!$Y$1:$Y$13,$D299)</f>
        <v/>
      </c>
      <c r="AJ299" s="26">
        <f>-INDEX(Calib!$V$1:$V$13,$D299)</f>
        <v/>
      </c>
      <c r="AK299" s="26">
        <f>INDEX(Calib!$V$1:$V$13,$D299)</f>
        <v/>
      </c>
      <c r="AL299" s="26">
        <f>INDEX(Calib!$T$1:$T$13,$D299)</f>
        <v/>
      </c>
      <c r="AM299" s="26">
        <f>INDEX(Calib!$U$1:$U$13,$D299)</f>
        <v/>
      </c>
      <c r="AN299" s="26">
        <f>AL299/AE299</f>
        <v/>
      </c>
      <c r="AO299" s="26">
        <f>INDEX(Calib!$K$1:$K$13,$D299)</f>
        <v/>
      </c>
      <c r="AP299" s="26">
        <f>(1-INDEX(Calib!$H$1:$H$13,$D299))*(1-p_alpha)*AC299+AI299</f>
        <v/>
      </c>
      <c r="AQ299" s="26">
        <f>(AE299/O299-1)*100</f>
        <v/>
      </c>
      <c r="AR299" s="26">
        <f>(AE299/AE299-1)*100</f>
        <v/>
      </c>
      <c r="AS299" s="26">
        <f>(O299/O299-1)*100</f>
        <v/>
      </c>
      <c r="AT299" s="26">
        <f>(AN299-X299)*100</f>
        <v/>
      </c>
      <c r="AU299" s="26">
        <f>(AP299/Z299-1)*100</f>
        <v/>
      </c>
      <c r="AV299" s="26">
        <f>(AI299-S299)*100</f>
        <v/>
      </c>
    </row>
    <row r="300">
      <c r="A300" s="25" t="inlineStr">
        <is>
          <t>TCD</t>
        </is>
      </c>
      <c r="B300" s="25" t="n">
        <v>2025</v>
      </c>
      <c r="C300" s="25" t="n">
        <v>1</v>
      </c>
      <c r="D300" s="25" t="n">
        <v>13</v>
      </c>
      <c r="E300" s="25">
        <f>IF(AND(p_dis_year&gt;0,B300=p_dis_year),1,0)</f>
        <v/>
      </c>
      <c r="F300" s="26">
        <f>IF(AND(p_dis_year&gt;0,B300&gt;=p_dis_year),1-p_eps_a*p_rho_a^(B300-p_dis_year),1)</f>
        <v/>
      </c>
      <c r="G300" s="26">
        <f>INDEX(Calib!$N$1:$N$13,$D300)*(1-p_rent_decline*MIN(1,C300/26))</f>
        <v/>
      </c>
      <c r="H300" s="26">
        <f>IF(C300=0,0,SUMIFS(dl_val,dl_iso,$A300,dl_ind,"pub_cap",dl_year,$B300)/100)</f>
        <v/>
      </c>
      <c r="I300" s="26">
        <f>IF(C300=0,0,SUMIFS(dl_val,dl_iso,$A300,dl_ind,"pub_spend",dl_year,$B300)/100)</f>
        <v/>
      </c>
      <c r="J300" s="26">
        <f>IF(C300=0,0,SUMIFS(dl_val,dl_iso,$A300,dl_ind,"rev",dl_year,$B300)/100)</f>
        <v/>
      </c>
      <c r="K300" s="26">
        <f>(1-p_delta_g)*K299*(1-p_eps_g*$E300)+INDEX(Calib!$E$1:$E$13,$D300)*(INDEX(Calib!$G$1:$G$13,$D300)+0*$H300)</f>
        <v/>
      </c>
      <c r="L300" s="26">
        <f>L299*(1-p_eps_k*$E300)+p_lambda_k*(N300-L299*(1-p_eps_k*$E300))</f>
        <v/>
      </c>
      <c r="M300" s="26">
        <f>INDEX(Calib!$R$1:$R$13,$D300)*$F300*(K299*(1-p_eps_g*$E300))^INDEX(Calib!$Q$1:$Q$13,$D300)*(L299*(1-p_eps_k*$E300))^p_alpha</f>
        <v/>
      </c>
      <c r="N300" s="26">
        <f>p_alpha*(1-INDEX(Calib!$H$1:$H$13,$D300))*M300/(INDEX(Calib!$K$1:$K$13,$D300)+p_delta)</f>
        <v/>
      </c>
      <c r="O300" s="26">
        <f>M300+$G300</f>
        <v/>
      </c>
      <c r="P300" s="26">
        <f>0*($H300+$I300)</f>
        <v/>
      </c>
      <c r="Q300" s="26">
        <f>INDEX(Calib!$I$1:$I$13,$D300)+p_sh_grant*P300</f>
        <v/>
      </c>
      <c r="R300" s="26">
        <f>INDEX(Calib!$H$1:$H$13,$D300)*M300+p_gov_take*$G300+Q300+0*p_pricing*$J300</f>
        <v/>
      </c>
      <c r="S300" s="26">
        <f>INDEX(Calib!$Y$1:$Y$13,$D300)-INDEX(Calib!$Z$1:$Z$13,$D300)*(V299/O299-INDEX(Calib!$AA$1:$AA$13,$D300))</f>
        <v/>
      </c>
      <c r="T300" s="26">
        <f>INDEX(Calib!$X$1:$X$13,$D300)+INDEX(Calib!$G$1:$G$13,$D300)+P300+S300-R300</f>
        <v/>
      </c>
      <c r="U300" s="26">
        <f>p_rk*W299+Y299*(V299-W299)</f>
        <v/>
      </c>
      <c r="V300" s="26">
        <f>V299+U300+T300</f>
        <v/>
      </c>
      <c r="W300" s="26">
        <f>INDEX(Calib!$U$1:$U$13,$D300)+(W299-INDEX(Calib!$U$1:$U$13,$D300))*(1-p_amort)+p_sh_conc*P300</f>
        <v/>
      </c>
      <c r="X300" s="26">
        <f>V300/O300</f>
        <v/>
      </c>
      <c r="Y300" s="26">
        <f>INDEX(Calib!$K$1:$K$13,$D300)+p_eta*MAX(0,X300-INDEX(Calib!$AA$1:$AA$13,$D300))</f>
        <v/>
      </c>
      <c r="Z300" s="26">
        <f>(1-INDEX(Calib!$H$1:$H$13,$D300))*(1-p_alpha)*M300+S300</f>
        <v/>
      </c>
      <c r="AA300" s="26">
        <f>(1-p_delta_g)*AA299*(1-p_eps_g*$E300)+INDEX(Calib!$E$1:$E$13,$D300)*(INDEX(Calib!$G$1:$G$13,$D300)+p_programme*$H300)</f>
        <v/>
      </c>
      <c r="AB300" s="26">
        <f>AB299*(1-p_eps_k*$E300)+p_lambda_k*(AD300-AB299*(1-p_eps_k*$E300))</f>
        <v/>
      </c>
      <c r="AC300" s="26">
        <f>INDEX(Calib!$R$1:$R$13,$D300)*$F300*(AA299*(1-p_eps_g*$E300))^INDEX(Calib!$Q$1:$Q$13,$D300)*(AB299*(1-p_eps_k*$E300))^p_alpha</f>
        <v/>
      </c>
      <c r="AD300" s="26">
        <f>p_alpha*(1-INDEX(Calib!$H$1:$H$13,$D300))*AC300/(INDEX(Calib!$K$1:$K$13,$D300)+p_delta)</f>
        <v/>
      </c>
      <c r="AE300" s="26">
        <f>AC300+$G300</f>
        <v/>
      </c>
      <c r="AF300" s="26">
        <f>p_programme*($H300+$I300)</f>
        <v/>
      </c>
      <c r="AG300" s="26">
        <f>INDEX(Calib!$I$1:$I$13,$D300)+p_sh_grant*AF300</f>
        <v/>
      </c>
      <c r="AH300" s="26">
        <f>INDEX(Calib!$H$1:$H$13,$D300)*AC300+p_gov_take*$G300+AG300+p_programme*p_pricing*$J300</f>
        <v/>
      </c>
      <c r="AI300" s="26">
        <f>INDEX(Calib!$Y$1:$Y$13,$D300)-INDEX(Calib!$Z$1:$Z$13,$D300)*(AL299/AE299-INDEX(Calib!$AA$1:$AA$13,$D300))</f>
        <v/>
      </c>
      <c r="AJ300" s="26">
        <f>INDEX(Calib!$X$1:$X$13,$D300)+INDEX(Calib!$G$1:$G$13,$D300)+AF300+AI300-AH300</f>
        <v/>
      </c>
      <c r="AK300" s="26">
        <f>p_rk*AM299+AO299*(AL299-AM299)</f>
        <v/>
      </c>
      <c r="AL300" s="26">
        <f>AL299+AK300+AJ300</f>
        <v/>
      </c>
      <c r="AM300" s="26">
        <f>INDEX(Calib!$U$1:$U$13,$D300)+(AM299-INDEX(Calib!$U$1:$U$13,$D300))*(1-p_amort)+p_sh_conc*AF300</f>
        <v/>
      </c>
      <c r="AN300" s="26">
        <f>AL300/AE300</f>
        <v/>
      </c>
      <c r="AO300" s="26">
        <f>INDEX(Calib!$K$1:$K$13,$D300)+p_eta*MAX(0,AN300-INDEX(Calib!$AA$1:$AA$13,$D300))</f>
        <v/>
      </c>
      <c r="AP300" s="26">
        <f>(1-INDEX(Calib!$H$1:$H$13,$D300))*(1-p_alpha)*AC300+AI300</f>
        <v/>
      </c>
      <c r="AQ300" s="26">
        <f>(AE300/O300-1)*100</f>
        <v/>
      </c>
      <c r="AR300" s="26">
        <f>(AE300/AE299-1)*100</f>
        <v/>
      </c>
      <c r="AS300" s="26">
        <f>(O300/O299-1)*100</f>
        <v/>
      </c>
      <c r="AT300" s="26">
        <f>(AN300-X300)*100</f>
        <v/>
      </c>
      <c r="AU300" s="26">
        <f>(AP300/Z300-1)*100</f>
        <v/>
      </c>
      <c r="AV300" s="26">
        <f>(AI300-S300)*100</f>
        <v/>
      </c>
    </row>
    <row r="301">
      <c r="A301" s="25" t="inlineStr">
        <is>
          <t>TCD</t>
        </is>
      </c>
      <c r="B301" s="25" t="n">
        <v>2026</v>
      </c>
      <c r="C301" s="25" t="n">
        <v>2</v>
      </c>
      <c r="D301" s="25" t="n">
        <v>13</v>
      </c>
      <c r="E301" s="25">
        <f>IF(AND(p_dis_year&gt;0,B301=p_dis_year),1,0)</f>
        <v/>
      </c>
      <c r="F301" s="26">
        <f>IF(AND(p_dis_year&gt;0,B301&gt;=p_dis_year),1-p_eps_a*p_rho_a^(B301-p_dis_year),1)</f>
        <v/>
      </c>
      <c r="G301" s="26">
        <f>INDEX(Calib!$N$1:$N$13,$D301)*(1-p_rent_decline*MIN(1,C301/26))</f>
        <v/>
      </c>
      <c r="H301" s="26">
        <f>IF(C301=0,0,SUMIFS(dl_val,dl_iso,$A301,dl_ind,"pub_cap",dl_year,$B301)/100)</f>
        <v/>
      </c>
      <c r="I301" s="26">
        <f>IF(C301=0,0,SUMIFS(dl_val,dl_iso,$A301,dl_ind,"pub_spend",dl_year,$B301)/100)</f>
        <v/>
      </c>
      <c r="J301" s="26">
        <f>IF(C301=0,0,SUMIFS(dl_val,dl_iso,$A301,dl_ind,"rev",dl_year,$B301)/100)</f>
        <v/>
      </c>
      <c r="K301" s="26">
        <f>(1-p_delta_g)*K300*(1-p_eps_g*$E301)+INDEX(Calib!$E$1:$E$13,$D301)*(INDEX(Calib!$G$1:$G$13,$D301)+0*$H301)</f>
        <v/>
      </c>
      <c r="L301" s="26">
        <f>L300*(1-p_eps_k*$E301)+p_lambda_k*(N301-L300*(1-p_eps_k*$E301))</f>
        <v/>
      </c>
      <c r="M301" s="26">
        <f>INDEX(Calib!$R$1:$R$13,$D301)*$F301*(K300*(1-p_eps_g*$E301))^INDEX(Calib!$Q$1:$Q$13,$D301)*(L300*(1-p_eps_k*$E301))^p_alpha</f>
        <v/>
      </c>
      <c r="N301" s="26">
        <f>p_alpha*(1-INDEX(Calib!$H$1:$H$13,$D301))*M301/(INDEX(Calib!$K$1:$K$13,$D301)+p_delta)</f>
        <v/>
      </c>
      <c r="O301" s="26">
        <f>M301+$G301</f>
        <v/>
      </c>
      <c r="P301" s="26">
        <f>0*($H301+$I301)</f>
        <v/>
      </c>
      <c r="Q301" s="26">
        <f>INDEX(Calib!$I$1:$I$13,$D301)+p_sh_grant*P301</f>
        <v/>
      </c>
      <c r="R301" s="26">
        <f>INDEX(Calib!$H$1:$H$13,$D301)*M301+p_gov_take*$G301+Q301+0*p_pricing*$J301</f>
        <v/>
      </c>
      <c r="S301" s="26">
        <f>INDEX(Calib!$Y$1:$Y$13,$D301)-INDEX(Calib!$Z$1:$Z$13,$D301)*(V300/O300-INDEX(Calib!$AA$1:$AA$13,$D301))</f>
        <v/>
      </c>
      <c r="T301" s="26">
        <f>INDEX(Calib!$X$1:$X$13,$D301)+INDEX(Calib!$G$1:$G$13,$D301)+P301+S301-R301</f>
        <v/>
      </c>
      <c r="U301" s="26">
        <f>p_rk*W300+Y300*(V300-W300)</f>
        <v/>
      </c>
      <c r="V301" s="26">
        <f>V300+U301+T301</f>
        <v/>
      </c>
      <c r="W301" s="26">
        <f>INDEX(Calib!$U$1:$U$13,$D301)+(W300-INDEX(Calib!$U$1:$U$13,$D301))*(1-p_amort)+p_sh_conc*P301</f>
        <v/>
      </c>
      <c r="X301" s="26">
        <f>V301/O301</f>
        <v/>
      </c>
      <c r="Y301" s="26">
        <f>INDEX(Calib!$K$1:$K$13,$D301)+p_eta*MAX(0,X301-INDEX(Calib!$AA$1:$AA$13,$D301))</f>
        <v/>
      </c>
      <c r="Z301" s="26">
        <f>(1-INDEX(Calib!$H$1:$H$13,$D301))*(1-p_alpha)*M301+S301</f>
        <v/>
      </c>
      <c r="AA301" s="26">
        <f>(1-p_delta_g)*AA300*(1-p_eps_g*$E301)+INDEX(Calib!$E$1:$E$13,$D301)*(INDEX(Calib!$G$1:$G$13,$D301)+p_programme*$H301)</f>
        <v/>
      </c>
      <c r="AB301" s="26">
        <f>AB300*(1-p_eps_k*$E301)+p_lambda_k*(AD301-AB300*(1-p_eps_k*$E301))</f>
        <v/>
      </c>
      <c r="AC301" s="26">
        <f>INDEX(Calib!$R$1:$R$13,$D301)*$F301*(AA300*(1-p_eps_g*$E301))^INDEX(Calib!$Q$1:$Q$13,$D301)*(AB300*(1-p_eps_k*$E301))^p_alpha</f>
        <v/>
      </c>
      <c r="AD301" s="26">
        <f>p_alpha*(1-INDEX(Calib!$H$1:$H$13,$D301))*AC301/(INDEX(Calib!$K$1:$K$13,$D301)+p_delta)</f>
        <v/>
      </c>
      <c r="AE301" s="26">
        <f>AC301+$G301</f>
        <v/>
      </c>
      <c r="AF301" s="26">
        <f>p_programme*($H301+$I301)</f>
        <v/>
      </c>
      <c r="AG301" s="26">
        <f>INDEX(Calib!$I$1:$I$13,$D301)+p_sh_grant*AF301</f>
        <v/>
      </c>
      <c r="AH301" s="26">
        <f>INDEX(Calib!$H$1:$H$13,$D301)*AC301+p_gov_take*$G301+AG301+p_programme*p_pricing*$J301</f>
        <v/>
      </c>
      <c r="AI301" s="26">
        <f>INDEX(Calib!$Y$1:$Y$13,$D301)-INDEX(Calib!$Z$1:$Z$13,$D301)*(AL300/AE300-INDEX(Calib!$AA$1:$AA$13,$D301))</f>
        <v/>
      </c>
      <c r="AJ301" s="26">
        <f>INDEX(Calib!$X$1:$X$13,$D301)+INDEX(Calib!$G$1:$G$13,$D301)+AF301+AI301-AH301</f>
        <v/>
      </c>
      <c r="AK301" s="26">
        <f>p_rk*AM300+AO300*(AL300-AM300)</f>
        <v/>
      </c>
      <c r="AL301" s="26">
        <f>AL300+AK301+AJ301</f>
        <v/>
      </c>
      <c r="AM301" s="26">
        <f>INDEX(Calib!$U$1:$U$13,$D301)+(AM300-INDEX(Calib!$U$1:$U$13,$D301))*(1-p_amort)+p_sh_conc*AF301</f>
        <v/>
      </c>
      <c r="AN301" s="26">
        <f>AL301/AE301</f>
        <v/>
      </c>
      <c r="AO301" s="26">
        <f>INDEX(Calib!$K$1:$K$13,$D301)+p_eta*MAX(0,AN301-INDEX(Calib!$AA$1:$AA$13,$D301))</f>
        <v/>
      </c>
      <c r="AP301" s="26">
        <f>(1-INDEX(Calib!$H$1:$H$13,$D301))*(1-p_alpha)*AC301+AI301</f>
        <v/>
      </c>
      <c r="AQ301" s="26">
        <f>(AE301/O301-1)*100</f>
        <v/>
      </c>
      <c r="AR301" s="26">
        <f>(AE301/AE299-1)*100</f>
        <v/>
      </c>
      <c r="AS301" s="26">
        <f>(O301/O299-1)*100</f>
        <v/>
      </c>
      <c r="AT301" s="26">
        <f>(AN301-X301)*100</f>
        <v/>
      </c>
      <c r="AU301" s="26">
        <f>(AP301/Z301-1)*100</f>
        <v/>
      </c>
      <c r="AV301" s="26">
        <f>(AI301-S301)*100</f>
        <v/>
      </c>
    </row>
    <row r="302">
      <c r="A302" s="25" t="inlineStr">
        <is>
          <t>TCD</t>
        </is>
      </c>
      <c r="B302" s="25" t="n">
        <v>2027</v>
      </c>
      <c r="C302" s="25" t="n">
        <v>3</v>
      </c>
      <c r="D302" s="25" t="n">
        <v>13</v>
      </c>
      <c r="E302" s="25">
        <f>IF(AND(p_dis_year&gt;0,B302=p_dis_year),1,0)</f>
        <v/>
      </c>
      <c r="F302" s="26">
        <f>IF(AND(p_dis_year&gt;0,B302&gt;=p_dis_year),1-p_eps_a*p_rho_a^(B302-p_dis_year),1)</f>
        <v/>
      </c>
      <c r="G302" s="26">
        <f>INDEX(Calib!$N$1:$N$13,$D302)*(1-p_rent_decline*MIN(1,C302/26))</f>
        <v/>
      </c>
      <c r="H302" s="26">
        <f>IF(C302=0,0,SUMIFS(dl_val,dl_iso,$A302,dl_ind,"pub_cap",dl_year,$B302)/100)</f>
        <v/>
      </c>
      <c r="I302" s="26">
        <f>IF(C302=0,0,SUMIFS(dl_val,dl_iso,$A302,dl_ind,"pub_spend",dl_year,$B302)/100)</f>
        <v/>
      </c>
      <c r="J302" s="26">
        <f>IF(C302=0,0,SUMIFS(dl_val,dl_iso,$A302,dl_ind,"rev",dl_year,$B302)/100)</f>
        <v/>
      </c>
      <c r="K302" s="26">
        <f>(1-p_delta_g)*K301*(1-p_eps_g*$E302)+INDEX(Calib!$E$1:$E$13,$D302)*(INDEX(Calib!$G$1:$G$13,$D302)+0*$H302)</f>
        <v/>
      </c>
      <c r="L302" s="26">
        <f>L301*(1-p_eps_k*$E302)+p_lambda_k*(N302-L301*(1-p_eps_k*$E302))</f>
        <v/>
      </c>
      <c r="M302" s="26">
        <f>INDEX(Calib!$R$1:$R$13,$D302)*$F302*(K301*(1-p_eps_g*$E302))^INDEX(Calib!$Q$1:$Q$13,$D302)*(L301*(1-p_eps_k*$E302))^p_alpha</f>
        <v/>
      </c>
      <c r="N302" s="26">
        <f>p_alpha*(1-INDEX(Calib!$H$1:$H$13,$D302))*M302/(INDEX(Calib!$K$1:$K$13,$D302)+p_delta)</f>
        <v/>
      </c>
      <c r="O302" s="26">
        <f>M302+$G302</f>
        <v/>
      </c>
      <c r="P302" s="26">
        <f>0*($H302+$I302)</f>
        <v/>
      </c>
      <c r="Q302" s="26">
        <f>INDEX(Calib!$I$1:$I$13,$D302)+p_sh_grant*P302</f>
        <v/>
      </c>
      <c r="R302" s="26">
        <f>INDEX(Calib!$H$1:$H$13,$D302)*M302+p_gov_take*$G302+Q302+0*p_pricing*$J302</f>
        <v/>
      </c>
      <c r="S302" s="26">
        <f>INDEX(Calib!$Y$1:$Y$13,$D302)-INDEX(Calib!$Z$1:$Z$13,$D302)*(V301/O301-INDEX(Calib!$AA$1:$AA$13,$D302))</f>
        <v/>
      </c>
      <c r="T302" s="26">
        <f>INDEX(Calib!$X$1:$X$13,$D302)+INDEX(Calib!$G$1:$G$13,$D302)+P302+S302-R302</f>
        <v/>
      </c>
      <c r="U302" s="26">
        <f>p_rk*W301+Y301*(V301-W301)</f>
        <v/>
      </c>
      <c r="V302" s="26">
        <f>V301+U302+T302</f>
        <v/>
      </c>
      <c r="W302" s="26">
        <f>INDEX(Calib!$U$1:$U$13,$D302)+(W301-INDEX(Calib!$U$1:$U$13,$D302))*(1-p_amort)+p_sh_conc*P302</f>
        <v/>
      </c>
      <c r="X302" s="26">
        <f>V302/O302</f>
        <v/>
      </c>
      <c r="Y302" s="26">
        <f>INDEX(Calib!$K$1:$K$13,$D302)+p_eta*MAX(0,X302-INDEX(Calib!$AA$1:$AA$13,$D302))</f>
        <v/>
      </c>
      <c r="Z302" s="26">
        <f>(1-INDEX(Calib!$H$1:$H$13,$D302))*(1-p_alpha)*M302+S302</f>
        <v/>
      </c>
      <c r="AA302" s="26">
        <f>(1-p_delta_g)*AA301*(1-p_eps_g*$E302)+INDEX(Calib!$E$1:$E$13,$D302)*(INDEX(Calib!$G$1:$G$13,$D302)+p_programme*$H302)</f>
        <v/>
      </c>
      <c r="AB302" s="26">
        <f>AB301*(1-p_eps_k*$E302)+p_lambda_k*(AD302-AB301*(1-p_eps_k*$E302))</f>
        <v/>
      </c>
      <c r="AC302" s="26">
        <f>INDEX(Calib!$R$1:$R$13,$D302)*$F302*(AA301*(1-p_eps_g*$E302))^INDEX(Calib!$Q$1:$Q$13,$D302)*(AB301*(1-p_eps_k*$E302))^p_alpha</f>
        <v/>
      </c>
      <c r="AD302" s="26">
        <f>p_alpha*(1-INDEX(Calib!$H$1:$H$13,$D302))*AC302/(INDEX(Calib!$K$1:$K$13,$D302)+p_delta)</f>
        <v/>
      </c>
      <c r="AE302" s="26">
        <f>AC302+$G302</f>
        <v/>
      </c>
      <c r="AF302" s="26">
        <f>p_programme*($H302+$I302)</f>
        <v/>
      </c>
      <c r="AG302" s="26">
        <f>INDEX(Calib!$I$1:$I$13,$D302)+p_sh_grant*AF302</f>
        <v/>
      </c>
      <c r="AH302" s="26">
        <f>INDEX(Calib!$H$1:$H$13,$D302)*AC302+p_gov_take*$G302+AG302+p_programme*p_pricing*$J302</f>
        <v/>
      </c>
      <c r="AI302" s="26">
        <f>INDEX(Calib!$Y$1:$Y$13,$D302)-INDEX(Calib!$Z$1:$Z$13,$D302)*(AL301/AE301-INDEX(Calib!$AA$1:$AA$13,$D302))</f>
        <v/>
      </c>
      <c r="AJ302" s="26">
        <f>INDEX(Calib!$X$1:$X$13,$D302)+INDEX(Calib!$G$1:$G$13,$D302)+AF302+AI302-AH302</f>
        <v/>
      </c>
      <c r="AK302" s="26">
        <f>p_rk*AM301+AO301*(AL301-AM301)</f>
        <v/>
      </c>
      <c r="AL302" s="26">
        <f>AL301+AK302+AJ302</f>
        <v/>
      </c>
      <c r="AM302" s="26">
        <f>INDEX(Calib!$U$1:$U$13,$D302)+(AM301-INDEX(Calib!$U$1:$U$13,$D302))*(1-p_amort)+p_sh_conc*AF302</f>
        <v/>
      </c>
      <c r="AN302" s="26">
        <f>AL302/AE302</f>
        <v/>
      </c>
      <c r="AO302" s="26">
        <f>INDEX(Calib!$K$1:$K$13,$D302)+p_eta*MAX(0,AN302-INDEX(Calib!$AA$1:$AA$13,$D302))</f>
        <v/>
      </c>
      <c r="AP302" s="26">
        <f>(1-INDEX(Calib!$H$1:$H$13,$D302))*(1-p_alpha)*AC302+AI302</f>
        <v/>
      </c>
      <c r="AQ302" s="26">
        <f>(AE302/O302-1)*100</f>
        <v/>
      </c>
      <c r="AR302" s="26">
        <f>(AE302/AE299-1)*100</f>
        <v/>
      </c>
      <c r="AS302" s="26">
        <f>(O302/O299-1)*100</f>
        <v/>
      </c>
      <c r="AT302" s="26">
        <f>(AN302-X302)*100</f>
        <v/>
      </c>
      <c r="AU302" s="26">
        <f>(AP302/Z302-1)*100</f>
        <v/>
      </c>
      <c r="AV302" s="26">
        <f>(AI302-S302)*100</f>
        <v/>
      </c>
    </row>
    <row r="303">
      <c r="A303" s="25" t="inlineStr">
        <is>
          <t>TCD</t>
        </is>
      </c>
      <c r="B303" s="25" t="n">
        <v>2028</v>
      </c>
      <c r="C303" s="25" t="n">
        <v>4</v>
      </c>
      <c r="D303" s="25" t="n">
        <v>13</v>
      </c>
      <c r="E303" s="25">
        <f>IF(AND(p_dis_year&gt;0,B303=p_dis_year),1,0)</f>
        <v/>
      </c>
      <c r="F303" s="26">
        <f>IF(AND(p_dis_year&gt;0,B303&gt;=p_dis_year),1-p_eps_a*p_rho_a^(B303-p_dis_year),1)</f>
        <v/>
      </c>
      <c r="G303" s="26">
        <f>INDEX(Calib!$N$1:$N$13,$D303)*(1-p_rent_decline*MIN(1,C303/26))</f>
        <v/>
      </c>
      <c r="H303" s="26">
        <f>IF(C303=0,0,SUMIFS(dl_val,dl_iso,$A303,dl_ind,"pub_cap",dl_year,$B303)/100)</f>
        <v/>
      </c>
      <c r="I303" s="26">
        <f>IF(C303=0,0,SUMIFS(dl_val,dl_iso,$A303,dl_ind,"pub_spend",dl_year,$B303)/100)</f>
        <v/>
      </c>
      <c r="J303" s="26">
        <f>IF(C303=0,0,SUMIFS(dl_val,dl_iso,$A303,dl_ind,"rev",dl_year,$B303)/100)</f>
        <v/>
      </c>
      <c r="K303" s="26">
        <f>(1-p_delta_g)*K302*(1-p_eps_g*$E303)+INDEX(Calib!$E$1:$E$13,$D303)*(INDEX(Calib!$G$1:$G$13,$D303)+0*$H303)</f>
        <v/>
      </c>
      <c r="L303" s="26">
        <f>L302*(1-p_eps_k*$E303)+p_lambda_k*(N303-L302*(1-p_eps_k*$E303))</f>
        <v/>
      </c>
      <c r="M303" s="26">
        <f>INDEX(Calib!$R$1:$R$13,$D303)*$F303*(K302*(1-p_eps_g*$E303))^INDEX(Calib!$Q$1:$Q$13,$D303)*(L302*(1-p_eps_k*$E303))^p_alpha</f>
        <v/>
      </c>
      <c r="N303" s="26">
        <f>p_alpha*(1-INDEX(Calib!$H$1:$H$13,$D303))*M303/(INDEX(Calib!$K$1:$K$13,$D303)+p_delta)</f>
        <v/>
      </c>
      <c r="O303" s="26">
        <f>M303+$G303</f>
        <v/>
      </c>
      <c r="P303" s="26">
        <f>0*($H303+$I303)</f>
        <v/>
      </c>
      <c r="Q303" s="26">
        <f>INDEX(Calib!$I$1:$I$13,$D303)+p_sh_grant*P303</f>
        <v/>
      </c>
      <c r="R303" s="26">
        <f>INDEX(Calib!$H$1:$H$13,$D303)*M303+p_gov_take*$G303+Q303+0*p_pricing*$J303</f>
        <v/>
      </c>
      <c r="S303" s="26">
        <f>INDEX(Calib!$Y$1:$Y$13,$D303)-INDEX(Calib!$Z$1:$Z$13,$D303)*(V302/O302-INDEX(Calib!$AA$1:$AA$13,$D303))</f>
        <v/>
      </c>
      <c r="T303" s="26">
        <f>INDEX(Calib!$X$1:$X$13,$D303)+INDEX(Calib!$G$1:$G$13,$D303)+P303+S303-R303</f>
        <v/>
      </c>
      <c r="U303" s="26">
        <f>p_rk*W302+Y302*(V302-W302)</f>
        <v/>
      </c>
      <c r="V303" s="26">
        <f>V302+U303+T303</f>
        <v/>
      </c>
      <c r="W303" s="26">
        <f>INDEX(Calib!$U$1:$U$13,$D303)+(W302-INDEX(Calib!$U$1:$U$13,$D303))*(1-p_amort)+p_sh_conc*P303</f>
        <v/>
      </c>
      <c r="X303" s="26">
        <f>V303/O303</f>
        <v/>
      </c>
      <c r="Y303" s="26">
        <f>INDEX(Calib!$K$1:$K$13,$D303)+p_eta*MAX(0,X303-INDEX(Calib!$AA$1:$AA$13,$D303))</f>
        <v/>
      </c>
      <c r="Z303" s="26">
        <f>(1-INDEX(Calib!$H$1:$H$13,$D303))*(1-p_alpha)*M303+S303</f>
        <v/>
      </c>
      <c r="AA303" s="26">
        <f>(1-p_delta_g)*AA302*(1-p_eps_g*$E303)+INDEX(Calib!$E$1:$E$13,$D303)*(INDEX(Calib!$G$1:$G$13,$D303)+p_programme*$H303)</f>
        <v/>
      </c>
      <c r="AB303" s="26">
        <f>AB302*(1-p_eps_k*$E303)+p_lambda_k*(AD303-AB302*(1-p_eps_k*$E303))</f>
        <v/>
      </c>
      <c r="AC303" s="26">
        <f>INDEX(Calib!$R$1:$R$13,$D303)*$F303*(AA302*(1-p_eps_g*$E303))^INDEX(Calib!$Q$1:$Q$13,$D303)*(AB302*(1-p_eps_k*$E303))^p_alpha</f>
        <v/>
      </c>
      <c r="AD303" s="26">
        <f>p_alpha*(1-INDEX(Calib!$H$1:$H$13,$D303))*AC303/(INDEX(Calib!$K$1:$K$13,$D303)+p_delta)</f>
        <v/>
      </c>
      <c r="AE303" s="26">
        <f>AC303+$G303</f>
        <v/>
      </c>
      <c r="AF303" s="26">
        <f>p_programme*($H303+$I303)</f>
        <v/>
      </c>
      <c r="AG303" s="26">
        <f>INDEX(Calib!$I$1:$I$13,$D303)+p_sh_grant*AF303</f>
        <v/>
      </c>
      <c r="AH303" s="26">
        <f>INDEX(Calib!$H$1:$H$13,$D303)*AC303+p_gov_take*$G303+AG303+p_programme*p_pricing*$J303</f>
        <v/>
      </c>
      <c r="AI303" s="26">
        <f>INDEX(Calib!$Y$1:$Y$13,$D303)-INDEX(Calib!$Z$1:$Z$13,$D303)*(AL302/AE302-INDEX(Calib!$AA$1:$AA$13,$D303))</f>
        <v/>
      </c>
      <c r="AJ303" s="26">
        <f>INDEX(Calib!$X$1:$X$13,$D303)+INDEX(Calib!$G$1:$G$13,$D303)+AF303+AI303-AH303</f>
        <v/>
      </c>
      <c r="AK303" s="26">
        <f>p_rk*AM302+AO302*(AL302-AM302)</f>
        <v/>
      </c>
      <c r="AL303" s="26">
        <f>AL302+AK303+AJ303</f>
        <v/>
      </c>
      <c r="AM303" s="26">
        <f>INDEX(Calib!$U$1:$U$13,$D303)+(AM302-INDEX(Calib!$U$1:$U$13,$D303))*(1-p_amort)+p_sh_conc*AF303</f>
        <v/>
      </c>
      <c r="AN303" s="26">
        <f>AL303/AE303</f>
        <v/>
      </c>
      <c r="AO303" s="26">
        <f>INDEX(Calib!$K$1:$K$13,$D303)+p_eta*MAX(0,AN303-INDEX(Calib!$AA$1:$AA$13,$D303))</f>
        <v/>
      </c>
      <c r="AP303" s="26">
        <f>(1-INDEX(Calib!$H$1:$H$13,$D303))*(1-p_alpha)*AC303+AI303</f>
        <v/>
      </c>
      <c r="AQ303" s="26">
        <f>(AE303/O303-1)*100</f>
        <v/>
      </c>
      <c r="AR303" s="26">
        <f>(AE303/AE299-1)*100</f>
        <v/>
      </c>
      <c r="AS303" s="26">
        <f>(O303/O299-1)*100</f>
        <v/>
      </c>
      <c r="AT303" s="26">
        <f>(AN303-X303)*100</f>
        <v/>
      </c>
      <c r="AU303" s="26">
        <f>(AP303/Z303-1)*100</f>
        <v/>
      </c>
      <c r="AV303" s="26">
        <f>(AI303-S303)*100</f>
        <v/>
      </c>
    </row>
    <row r="304">
      <c r="A304" s="25" t="inlineStr">
        <is>
          <t>TCD</t>
        </is>
      </c>
      <c r="B304" s="25" t="n">
        <v>2029</v>
      </c>
      <c r="C304" s="25" t="n">
        <v>5</v>
      </c>
      <c r="D304" s="25" t="n">
        <v>13</v>
      </c>
      <c r="E304" s="25">
        <f>IF(AND(p_dis_year&gt;0,B304=p_dis_year),1,0)</f>
        <v/>
      </c>
      <c r="F304" s="26">
        <f>IF(AND(p_dis_year&gt;0,B304&gt;=p_dis_year),1-p_eps_a*p_rho_a^(B304-p_dis_year),1)</f>
        <v/>
      </c>
      <c r="G304" s="26">
        <f>INDEX(Calib!$N$1:$N$13,$D304)*(1-p_rent_decline*MIN(1,C304/26))</f>
        <v/>
      </c>
      <c r="H304" s="26">
        <f>IF(C304=0,0,SUMIFS(dl_val,dl_iso,$A304,dl_ind,"pub_cap",dl_year,$B304)/100)</f>
        <v/>
      </c>
      <c r="I304" s="26">
        <f>IF(C304=0,0,SUMIFS(dl_val,dl_iso,$A304,dl_ind,"pub_spend",dl_year,$B304)/100)</f>
        <v/>
      </c>
      <c r="J304" s="26">
        <f>IF(C304=0,0,SUMIFS(dl_val,dl_iso,$A304,dl_ind,"rev",dl_year,$B304)/100)</f>
        <v/>
      </c>
      <c r="K304" s="26">
        <f>(1-p_delta_g)*K303*(1-p_eps_g*$E304)+INDEX(Calib!$E$1:$E$13,$D304)*(INDEX(Calib!$G$1:$G$13,$D304)+0*$H304)</f>
        <v/>
      </c>
      <c r="L304" s="26">
        <f>L303*(1-p_eps_k*$E304)+p_lambda_k*(N304-L303*(1-p_eps_k*$E304))</f>
        <v/>
      </c>
      <c r="M304" s="26">
        <f>INDEX(Calib!$R$1:$R$13,$D304)*$F304*(K303*(1-p_eps_g*$E304))^INDEX(Calib!$Q$1:$Q$13,$D304)*(L303*(1-p_eps_k*$E304))^p_alpha</f>
        <v/>
      </c>
      <c r="N304" s="26">
        <f>p_alpha*(1-INDEX(Calib!$H$1:$H$13,$D304))*M304/(INDEX(Calib!$K$1:$K$13,$D304)+p_delta)</f>
        <v/>
      </c>
      <c r="O304" s="26">
        <f>M304+$G304</f>
        <v/>
      </c>
      <c r="P304" s="26">
        <f>0*($H304+$I304)</f>
        <v/>
      </c>
      <c r="Q304" s="26">
        <f>INDEX(Calib!$I$1:$I$13,$D304)+p_sh_grant*P304</f>
        <v/>
      </c>
      <c r="R304" s="26">
        <f>INDEX(Calib!$H$1:$H$13,$D304)*M304+p_gov_take*$G304+Q304+0*p_pricing*$J304</f>
        <v/>
      </c>
      <c r="S304" s="26">
        <f>INDEX(Calib!$Y$1:$Y$13,$D304)-INDEX(Calib!$Z$1:$Z$13,$D304)*(V303/O303-INDEX(Calib!$AA$1:$AA$13,$D304))</f>
        <v/>
      </c>
      <c r="T304" s="26">
        <f>INDEX(Calib!$X$1:$X$13,$D304)+INDEX(Calib!$G$1:$G$13,$D304)+P304+S304-R304</f>
        <v/>
      </c>
      <c r="U304" s="26">
        <f>p_rk*W303+Y303*(V303-W303)</f>
        <v/>
      </c>
      <c r="V304" s="26">
        <f>V303+U304+T304</f>
        <v/>
      </c>
      <c r="W304" s="26">
        <f>INDEX(Calib!$U$1:$U$13,$D304)+(W303-INDEX(Calib!$U$1:$U$13,$D304))*(1-p_amort)+p_sh_conc*P304</f>
        <v/>
      </c>
      <c r="X304" s="26">
        <f>V304/O304</f>
        <v/>
      </c>
      <c r="Y304" s="26">
        <f>INDEX(Calib!$K$1:$K$13,$D304)+p_eta*MAX(0,X304-INDEX(Calib!$AA$1:$AA$13,$D304))</f>
        <v/>
      </c>
      <c r="Z304" s="26">
        <f>(1-INDEX(Calib!$H$1:$H$13,$D304))*(1-p_alpha)*M304+S304</f>
        <v/>
      </c>
      <c r="AA304" s="26">
        <f>(1-p_delta_g)*AA303*(1-p_eps_g*$E304)+INDEX(Calib!$E$1:$E$13,$D304)*(INDEX(Calib!$G$1:$G$13,$D304)+p_programme*$H304)</f>
        <v/>
      </c>
      <c r="AB304" s="26">
        <f>AB303*(1-p_eps_k*$E304)+p_lambda_k*(AD304-AB303*(1-p_eps_k*$E304))</f>
        <v/>
      </c>
      <c r="AC304" s="26">
        <f>INDEX(Calib!$R$1:$R$13,$D304)*$F304*(AA303*(1-p_eps_g*$E304))^INDEX(Calib!$Q$1:$Q$13,$D304)*(AB303*(1-p_eps_k*$E304))^p_alpha</f>
        <v/>
      </c>
      <c r="AD304" s="26">
        <f>p_alpha*(1-INDEX(Calib!$H$1:$H$13,$D304))*AC304/(INDEX(Calib!$K$1:$K$13,$D304)+p_delta)</f>
        <v/>
      </c>
      <c r="AE304" s="26">
        <f>AC304+$G304</f>
        <v/>
      </c>
      <c r="AF304" s="26">
        <f>p_programme*($H304+$I304)</f>
        <v/>
      </c>
      <c r="AG304" s="26">
        <f>INDEX(Calib!$I$1:$I$13,$D304)+p_sh_grant*AF304</f>
        <v/>
      </c>
      <c r="AH304" s="26">
        <f>INDEX(Calib!$H$1:$H$13,$D304)*AC304+p_gov_take*$G304+AG304+p_programme*p_pricing*$J304</f>
        <v/>
      </c>
      <c r="AI304" s="26">
        <f>INDEX(Calib!$Y$1:$Y$13,$D304)-INDEX(Calib!$Z$1:$Z$13,$D304)*(AL303/AE303-INDEX(Calib!$AA$1:$AA$13,$D304))</f>
        <v/>
      </c>
      <c r="AJ304" s="26">
        <f>INDEX(Calib!$X$1:$X$13,$D304)+INDEX(Calib!$G$1:$G$13,$D304)+AF304+AI304-AH304</f>
        <v/>
      </c>
      <c r="AK304" s="26">
        <f>p_rk*AM303+AO303*(AL303-AM303)</f>
        <v/>
      </c>
      <c r="AL304" s="26">
        <f>AL303+AK304+AJ304</f>
        <v/>
      </c>
      <c r="AM304" s="26">
        <f>INDEX(Calib!$U$1:$U$13,$D304)+(AM303-INDEX(Calib!$U$1:$U$13,$D304))*(1-p_amort)+p_sh_conc*AF304</f>
        <v/>
      </c>
      <c r="AN304" s="26">
        <f>AL304/AE304</f>
        <v/>
      </c>
      <c r="AO304" s="26">
        <f>INDEX(Calib!$K$1:$K$13,$D304)+p_eta*MAX(0,AN304-INDEX(Calib!$AA$1:$AA$13,$D304))</f>
        <v/>
      </c>
      <c r="AP304" s="26">
        <f>(1-INDEX(Calib!$H$1:$H$13,$D304))*(1-p_alpha)*AC304+AI304</f>
        <v/>
      </c>
      <c r="AQ304" s="26">
        <f>(AE304/O304-1)*100</f>
        <v/>
      </c>
      <c r="AR304" s="26">
        <f>(AE304/AE299-1)*100</f>
        <v/>
      </c>
      <c r="AS304" s="26">
        <f>(O304/O299-1)*100</f>
        <v/>
      </c>
      <c r="AT304" s="26">
        <f>(AN304-X304)*100</f>
        <v/>
      </c>
      <c r="AU304" s="26">
        <f>(AP304/Z304-1)*100</f>
        <v/>
      </c>
      <c r="AV304" s="26">
        <f>(AI304-S304)*100</f>
        <v/>
      </c>
    </row>
    <row r="305">
      <c r="A305" s="25" t="inlineStr">
        <is>
          <t>TCD</t>
        </is>
      </c>
      <c r="B305" s="25" t="n">
        <v>2030</v>
      </c>
      <c r="C305" s="25" t="n">
        <v>6</v>
      </c>
      <c r="D305" s="25" t="n">
        <v>13</v>
      </c>
      <c r="E305" s="25">
        <f>IF(AND(p_dis_year&gt;0,B305=p_dis_year),1,0)</f>
        <v/>
      </c>
      <c r="F305" s="26">
        <f>IF(AND(p_dis_year&gt;0,B305&gt;=p_dis_year),1-p_eps_a*p_rho_a^(B305-p_dis_year),1)</f>
        <v/>
      </c>
      <c r="G305" s="26">
        <f>INDEX(Calib!$N$1:$N$13,$D305)*(1-p_rent_decline*MIN(1,C305/26))</f>
        <v/>
      </c>
      <c r="H305" s="26">
        <f>IF(C305=0,0,SUMIFS(dl_val,dl_iso,$A305,dl_ind,"pub_cap",dl_year,$B305)/100)</f>
        <v/>
      </c>
      <c r="I305" s="26">
        <f>IF(C305=0,0,SUMIFS(dl_val,dl_iso,$A305,dl_ind,"pub_spend",dl_year,$B305)/100)</f>
        <v/>
      </c>
      <c r="J305" s="26">
        <f>IF(C305=0,0,SUMIFS(dl_val,dl_iso,$A305,dl_ind,"rev",dl_year,$B305)/100)</f>
        <v/>
      </c>
      <c r="K305" s="26">
        <f>(1-p_delta_g)*K304*(1-p_eps_g*$E305)+INDEX(Calib!$E$1:$E$13,$D305)*(INDEX(Calib!$G$1:$G$13,$D305)+0*$H305)</f>
        <v/>
      </c>
      <c r="L305" s="26">
        <f>L304*(1-p_eps_k*$E305)+p_lambda_k*(N305-L304*(1-p_eps_k*$E305))</f>
        <v/>
      </c>
      <c r="M305" s="26">
        <f>INDEX(Calib!$R$1:$R$13,$D305)*$F305*(K304*(1-p_eps_g*$E305))^INDEX(Calib!$Q$1:$Q$13,$D305)*(L304*(1-p_eps_k*$E305))^p_alpha</f>
        <v/>
      </c>
      <c r="N305" s="26">
        <f>p_alpha*(1-INDEX(Calib!$H$1:$H$13,$D305))*M305/(INDEX(Calib!$K$1:$K$13,$D305)+p_delta)</f>
        <v/>
      </c>
      <c r="O305" s="26">
        <f>M305+$G305</f>
        <v/>
      </c>
      <c r="P305" s="26">
        <f>0*($H305+$I305)</f>
        <v/>
      </c>
      <c r="Q305" s="26">
        <f>INDEX(Calib!$I$1:$I$13,$D305)+p_sh_grant*P305</f>
        <v/>
      </c>
      <c r="R305" s="26">
        <f>INDEX(Calib!$H$1:$H$13,$D305)*M305+p_gov_take*$G305+Q305+0*p_pricing*$J305</f>
        <v/>
      </c>
      <c r="S305" s="26">
        <f>INDEX(Calib!$Y$1:$Y$13,$D305)-INDEX(Calib!$Z$1:$Z$13,$D305)*(V304/O304-INDEX(Calib!$AA$1:$AA$13,$D305))</f>
        <v/>
      </c>
      <c r="T305" s="26">
        <f>INDEX(Calib!$X$1:$X$13,$D305)+INDEX(Calib!$G$1:$G$13,$D305)+P305+S305-R305</f>
        <v/>
      </c>
      <c r="U305" s="26">
        <f>p_rk*W304+Y304*(V304-W304)</f>
        <v/>
      </c>
      <c r="V305" s="26">
        <f>V304+U305+T305</f>
        <v/>
      </c>
      <c r="W305" s="26">
        <f>INDEX(Calib!$U$1:$U$13,$D305)+(W304-INDEX(Calib!$U$1:$U$13,$D305))*(1-p_amort)+p_sh_conc*P305</f>
        <v/>
      </c>
      <c r="X305" s="26">
        <f>V305/O305</f>
        <v/>
      </c>
      <c r="Y305" s="26">
        <f>INDEX(Calib!$K$1:$K$13,$D305)+p_eta*MAX(0,X305-INDEX(Calib!$AA$1:$AA$13,$D305))</f>
        <v/>
      </c>
      <c r="Z305" s="26">
        <f>(1-INDEX(Calib!$H$1:$H$13,$D305))*(1-p_alpha)*M305+S305</f>
        <v/>
      </c>
      <c r="AA305" s="26">
        <f>(1-p_delta_g)*AA304*(1-p_eps_g*$E305)+INDEX(Calib!$E$1:$E$13,$D305)*(INDEX(Calib!$G$1:$G$13,$D305)+p_programme*$H305)</f>
        <v/>
      </c>
      <c r="AB305" s="26">
        <f>AB304*(1-p_eps_k*$E305)+p_lambda_k*(AD305-AB304*(1-p_eps_k*$E305))</f>
        <v/>
      </c>
      <c r="AC305" s="26">
        <f>INDEX(Calib!$R$1:$R$13,$D305)*$F305*(AA304*(1-p_eps_g*$E305))^INDEX(Calib!$Q$1:$Q$13,$D305)*(AB304*(1-p_eps_k*$E305))^p_alpha</f>
        <v/>
      </c>
      <c r="AD305" s="26">
        <f>p_alpha*(1-INDEX(Calib!$H$1:$H$13,$D305))*AC305/(INDEX(Calib!$K$1:$K$13,$D305)+p_delta)</f>
        <v/>
      </c>
      <c r="AE305" s="26">
        <f>AC305+$G305</f>
        <v/>
      </c>
      <c r="AF305" s="26">
        <f>p_programme*($H305+$I305)</f>
        <v/>
      </c>
      <c r="AG305" s="26">
        <f>INDEX(Calib!$I$1:$I$13,$D305)+p_sh_grant*AF305</f>
        <v/>
      </c>
      <c r="AH305" s="26">
        <f>INDEX(Calib!$H$1:$H$13,$D305)*AC305+p_gov_take*$G305+AG305+p_programme*p_pricing*$J305</f>
        <v/>
      </c>
      <c r="AI305" s="26">
        <f>INDEX(Calib!$Y$1:$Y$13,$D305)-INDEX(Calib!$Z$1:$Z$13,$D305)*(AL304/AE304-INDEX(Calib!$AA$1:$AA$13,$D305))</f>
        <v/>
      </c>
      <c r="AJ305" s="26">
        <f>INDEX(Calib!$X$1:$X$13,$D305)+INDEX(Calib!$G$1:$G$13,$D305)+AF305+AI305-AH305</f>
        <v/>
      </c>
      <c r="AK305" s="26">
        <f>p_rk*AM304+AO304*(AL304-AM304)</f>
        <v/>
      </c>
      <c r="AL305" s="26">
        <f>AL304+AK305+AJ305</f>
        <v/>
      </c>
      <c r="AM305" s="26">
        <f>INDEX(Calib!$U$1:$U$13,$D305)+(AM304-INDEX(Calib!$U$1:$U$13,$D305))*(1-p_amort)+p_sh_conc*AF305</f>
        <v/>
      </c>
      <c r="AN305" s="26">
        <f>AL305/AE305</f>
        <v/>
      </c>
      <c r="AO305" s="26">
        <f>INDEX(Calib!$K$1:$K$13,$D305)+p_eta*MAX(0,AN305-INDEX(Calib!$AA$1:$AA$13,$D305))</f>
        <v/>
      </c>
      <c r="AP305" s="26">
        <f>(1-INDEX(Calib!$H$1:$H$13,$D305))*(1-p_alpha)*AC305+AI305</f>
        <v/>
      </c>
      <c r="AQ305" s="26">
        <f>(AE305/O305-1)*100</f>
        <v/>
      </c>
      <c r="AR305" s="26">
        <f>(AE305/AE299-1)*100</f>
        <v/>
      </c>
      <c r="AS305" s="26">
        <f>(O305/O299-1)*100</f>
        <v/>
      </c>
      <c r="AT305" s="26">
        <f>(AN305-X305)*100</f>
        <v/>
      </c>
      <c r="AU305" s="26">
        <f>(AP305/Z305-1)*100</f>
        <v/>
      </c>
      <c r="AV305" s="26">
        <f>(AI305-S305)*100</f>
        <v/>
      </c>
    </row>
    <row r="306">
      <c r="A306" s="25" t="inlineStr">
        <is>
          <t>TCD</t>
        </is>
      </c>
      <c r="B306" s="25" t="n">
        <v>2031</v>
      </c>
      <c r="C306" s="25" t="n">
        <v>7</v>
      </c>
      <c r="D306" s="25" t="n">
        <v>13</v>
      </c>
      <c r="E306" s="25">
        <f>IF(AND(p_dis_year&gt;0,B306=p_dis_year),1,0)</f>
        <v/>
      </c>
      <c r="F306" s="26">
        <f>IF(AND(p_dis_year&gt;0,B306&gt;=p_dis_year),1-p_eps_a*p_rho_a^(B306-p_dis_year),1)</f>
        <v/>
      </c>
      <c r="G306" s="26">
        <f>INDEX(Calib!$N$1:$N$13,$D306)*(1-p_rent_decline*MIN(1,C306/26))</f>
        <v/>
      </c>
      <c r="H306" s="26">
        <f>IF(C306=0,0,SUMIFS(dl_val,dl_iso,$A306,dl_ind,"pub_cap",dl_year,$B306)/100)</f>
        <v/>
      </c>
      <c r="I306" s="26">
        <f>IF(C306=0,0,SUMIFS(dl_val,dl_iso,$A306,dl_ind,"pub_spend",dl_year,$B306)/100)</f>
        <v/>
      </c>
      <c r="J306" s="26">
        <f>IF(C306=0,0,SUMIFS(dl_val,dl_iso,$A306,dl_ind,"rev",dl_year,$B306)/100)</f>
        <v/>
      </c>
      <c r="K306" s="26">
        <f>(1-p_delta_g)*K305*(1-p_eps_g*$E306)+INDEX(Calib!$E$1:$E$13,$D306)*(INDEX(Calib!$G$1:$G$13,$D306)+0*$H306)</f>
        <v/>
      </c>
      <c r="L306" s="26">
        <f>L305*(1-p_eps_k*$E306)+p_lambda_k*(N306-L305*(1-p_eps_k*$E306))</f>
        <v/>
      </c>
      <c r="M306" s="26">
        <f>INDEX(Calib!$R$1:$R$13,$D306)*$F306*(K305*(1-p_eps_g*$E306))^INDEX(Calib!$Q$1:$Q$13,$D306)*(L305*(1-p_eps_k*$E306))^p_alpha</f>
        <v/>
      </c>
      <c r="N306" s="26">
        <f>p_alpha*(1-INDEX(Calib!$H$1:$H$13,$D306))*M306/(INDEX(Calib!$K$1:$K$13,$D306)+p_delta)</f>
        <v/>
      </c>
      <c r="O306" s="26">
        <f>M306+$G306</f>
        <v/>
      </c>
      <c r="P306" s="26">
        <f>0*($H306+$I306)</f>
        <v/>
      </c>
      <c r="Q306" s="26">
        <f>INDEX(Calib!$I$1:$I$13,$D306)+p_sh_grant*P306</f>
        <v/>
      </c>
      <c r="R306" s="26">
        <f>INDEX(Calib!$H$1:$H$13,$D306)*M306+p_gov_take*$G306+Q306+0*p_pricing*$J306</f>
        <v/>
      </c>
      <c r="S306" s="26">
        <f>INDEX(Calib!$Y$1:$Y$13,$D306)-INDEX(Calib!$Z$1:$Z$13,$D306)*(V305/O305-INDEX(Calib!$AA$1:$AA$13,$D306))</f>
        <v/>
      </c>
      <c r="T306" s="26">
        <f>INDEX(Calib!$X$1:$X$13,$D306)+INDEX(Calib!$G$1:$G$13,$D306)+P306+S306-R306</f>
        <v/>
      </c>
      <c r="U306" s="26">
        <f>p_rk*W305+Y305*(V305-W305)</f>
        <v/>
      </c>
      <c r="V306" s="26">
        <f>V305+U306+T306</f>
        <v/>
      </c>
      <c r="W306" s="26">
        <f>INDEX(Calib!$U$1:$U$13,$D306)+(W305-INDEX(Calib!$U$1:$U$13,$D306))*(1-p_amort)+p_sh_conc*P306</f>
        <v/>
      </c>
      <c r="X306" s="26">
        <f>V306/O306</f>
        <v/>
      </c>
      <c r="Y306" s="26">
        <f>INDEX(Calib!$K$1:$K$13,$D306)+p_eta*MAX(0,X306-INDEX(Calib!$AA$1:$AA$13,$D306))</f>
        <v/>
      </c>
      <c r="Z306" s="26">
        <f>(1-INDEX(Calib!$H$1:$H$13,$D306))*(1-p_alpha)*M306+S306</f>
        <v/>
      </c>
      <c r="AA306" s="26">
        <f>(1-p_delta_g)*AA305*(1-p_eps_g*$E306)+INDEX(Calib!$E$1:$E$13,$D306)*(INDEX(Calib!$G$1:$G$13,$D306)+p_programme*$H306)</f>
        <v/>
      </c>
      <c r="AB306" s="26">
        <f>AB305*(1-p_eps_k*$E306)+p_lambda_k*(AD306-AB305*(1-p_eps_k*$E306))</f>
        <v/>
      </c>
      <c r="AC306" s="26">
        <f>INDEX(Calib!$R$1:$R$13,$D306)*$F306*(AA305*(1-p_eps_g*$E306))^INDEX(Calib!$Q$1:$Q$13,$D306)*(AB305*(1-p_eps_k*$E306))^p_alpha</f>
        <v/>
      </c>
      <c r="AD306" s="26">
        <f>p_alpha*(1-INDEX(Calib!$H$1:$H$13,$D306))*AC306/(INDEX(Calib!$K$1:$K$13,$D306)+p_delta)</f>
        <v/>
      </c>
      <c r="AE306" s="26">
        <f>AC306+$G306</f>
        <v/>
      </c>
      <c r="AF306" s="26">
        <f>p_programme*($H306+$I306)</f>
        <v/>
      </c>
      <c r="AG306" s="26">
        <f>INDEX(Calib!$I$1:$I$13,$D306)+p_sh_grant*AF306</f>
        <v/>
      </c>
      <c r="AH306" s="26">
        <f>INDEX(Calib!$H$1:$H$13,$D306)*AC306+p_gov_take*$G306+AG306+p_programme*p_pricing*$J306</f>
        <v/>
      </c>
      <c r="AI306" s="26">
        <f>INDEX(Calib!$Y$1:$Y$13,$D306)-INDEX(Calib!$Z$1:$Z$13,$D306)*(AL305/AE305-INDEX(Calib!$AA$1:$AA$13,$D306))</f>
        <v/>
      </c>
      <c r="AJ306" s="26">
        <f>INDEX(Calib!$X$1:$X$13,$D306)+INDEX(Calib!$G$1:$G$13,$D306)+AF306+AI306-AH306</f>
        <v/>
      </c>
      <c r="AK306" s="26">
        <f>p_rk*AM305+AO305*(AL305-AM305)</f>
        <v/>
      </c>
      <c r="AL306" s="26">
        <f>AL305+AK306+AJ306</f>
        <v/>
      </c>
      <c r="AM306" s="26">
        <f>INDEX(Calib!$U$1:$U$13,$D306)+(AM305-INDEX(Calib!$U$1:$U$13,$D306))*(1-p_amort)+p_sh_conc*AF306</f>
        <v/>
      </c>
      <c r="AN306" s="26">
        <f>AL306/AE306</f>
        <v/>
      </c>
      <c r="AO306" s="26">
        <f>INDEX(Calib!$K$1:$K$13,$D306)+p_eta*MAX(0,AN306-INDEX(Calib!$AA$1:$AA$13,$D306))</f>
        <v/>
      </c>
      <c r="AP306" s="26">
        <f>(1-INDEX(Calib!$H$1:$H$13,$D306))*(1-p_alpha)*AC306+AI306</f>
        <v/>
      </c>
      <c r="AQ306" s="26">
        <f>(AE306/O306-1)*100</f>
        <v/>
      </c>
      <c r="AR306" s="26">
        <f>(AE306/AE299-1)*100</f>
        <v/>
      </c>
      <c r="AS306" s="26">
        <f>(O306/O299-1)*100</f>
        <v/>
      </c>
      <c r="AT306" s="26">
        <f>(AN306-X306)*100</f>
        <v/>
      </c>
      <c r="AU306" s="26">
        <f>(AP306/Z306-1)*100</f>
        <v/>
      </c>
      <c r="AV306" s="26">
        <f>(AI306-S306)*100</f>
        <v/>
      </c>
    </row>
    <row r="307">
      <c r="A307" s="25" t="inlineStr">
        <is>
          <t>TCD</t>
        </is>
      </c>
      <c r="B307" s="25" t="n">
        <v>2032</v>
      </c>
      <c r="C307" s="25" t="n">
        <v>8</v>
      </c>
      <c r="D307" s="25" t="n">
        <v>13</v>
      </c>
      <c r="E307" s="25">
        <f>IF(AND(p_dis_year&gt;0,B307=p_dis_year),1,0)</f>
        <v/>
      </c>
      <c r="F307" s="26">
        <f>IF(AND(p_dis_year&gt;0,B307&gt;=p_dis_year),1-p_eps_a*p_rho_a^(B307-p_dis_year),1)</f>
        <v/>
      </c>
      <c r="G307" s="26">
        <f>INDEX(Calib!$N$1:$N$13,$D307)*(1-p_rent_decline*MIN(1,C307/26))</f>
        <v/>
      </c>
      <c r="H307" s="26">
        <f>IF(C307=0,0,SUMIFS(dl_val,dl_iso,$A307,dl_ind,"pub_cap",dl_year,$B307)/100)</f>
        <v/>
      </c>
      <c r="I307" s="26">
        <f>IF(C307=0,0,SUMIFS(dl_val,dl_iso,$A307,dl_ind,"pub_spend",dl_year,$B307)/100)</f>
        <v/>
      </c>
      <c r="J307" s="26">
        <f>IF(C307=0,0,SUMIFS(dl_val,dl_iso,$A307,dl_ind,"rev",dl_year,$B307)/100)</f>
        <v/>
      </c>
      <c r="K307" s="26">
        <f>(1-p_delta_g)*K306*(1-p_eps_g*$E307)+INDEX(Calib!$E$1:$E$13,$D307)*(INDEX(Calib!$G$1:$G$13,$D307)+0*$H307)</f>
        <v/>
      </c>
      <c r="L307" s="26">
        <f>L306*(1-p_eps_k*$E307)+p_lambda_k*(N307-L306*(1-p_eps_k*$E307))</f>
        <v/>
      </c>
      <c r="M307" s="26">
        <f>INDEX(Calib!$R$1:$R$13,$D307)*$F307*(K306*(1-p_eps_g*$E307))^INDEX(Calib!$Q$1:$Q$13,$D307)*(L306*(1-p_eps_k*$E307))^p_alpha</f>
        <v/>
      </c>
      <c r="N307" s="26">
        <f>p_alpha*(1-INDEX(Calib!$H$1:$H$13,$D307))*M307/(INDEX(Calib!$K$1:$K$13,$D307)+p_delta)</f>
        <v/>
      </c>
      <c r="O307" s="26">
        <f>M307+$G307</f>
        <v/>
      </c>
      <c r="P307" s="26">
        <f>0*($H307+$I307)</f>
        <v/>
      </c>
      <c r="Q307" s="26">
        <f>INDEX(Calib!$I$1:$I$13,$D307)+p_sh_grant*P307</f>
        <v/>
      </c>
      <c r="R307" s="26">
        <f>INDEX(Calib!$H$1:$H$13,$D307)*M307+p_gov_take*$G307+Q307+0*p_pricing*$J307</f>
        <v/>
      </c>
      <c r="S307" s="26">
        <f>INDEX(Calib!$Y$1:$Y$13,$D307)-INDEX(Calib!$Z$1:$Z$13,$D307)*(V306/O306-INDEX(Calib!$AA$1:$AA$13,$D307))</f>
        <v/>
      </c>
      <c r="T307" s="26">
        <f>INDEX(Calib!$X$1:$X$13,$D307)+INDEX(Calib!$G$1:$G$13,$D307)+P307+S307-R307</f>
        <v/>
      </c>
      <c r="U307" s="26">
        <f>p_rk*W306+Y306*(V306-W306)</f>
        <v/>
      </c>
      <c r="V307" s="26">
        <f>V306+U307+T307</f>
        <v/>
      </c>
      <c r="W307" s="26">
        <f>INDEX(Calib!$U$1:$U$13,$D307)+(W306-INDEX(Calib!$U$1:$U$13,$D307))*(1-p_amort)+p_sh_conc*P307</f>
        <v/>
      </c>
      <c r="X307" s="26">
        <f>V307/O307</f>
        <v/>
      </c>
      <c r="Y307" s="26">
        <f>INDEX(Calib!$K$1:$K$13,$D307)+p_eta*MAX(0,X307-INDEX(Calib!$AA$1:$AA$13,$D307))</f>
        <v/>
      </c>
      <c r="Z307" s="26">
        <f>(1-INDEX(Calib!$H$1:$H$13,$D307))*(1-p_alpha)*M307+S307</f>
        <v/>
      </c>
      <c r="AA307" s="26">
        <f>(1-p_delta_g)*AA306*(1-p_eps_g*$E307)+INDEX(Calib!$E$1:$E$13,$D307)*(INDEX(Calib!$G$1:$G$13,$D307)+p_programme*$H307)</f>
        <v/>
      </c>
      <c r="AB307" s="26">
        <f>AB306*(1-p_eps_k*$E307)+p_lambda_k*(AD307-AB306*(1-p_eps_k*$E307))</f>
        <v/>
      </c>
      <c r="AC307" s="26">
        <f>INDEX(Calib!$R$1:$R$13,$D307)*$F307*(AA306*(1-p_eps_g*$E307))^INDEX(Calib!$Q$1:$Q$13,$D307)*(AB306*(1-p_eps_k*$E307))^p_alpha</f>
        <v/>
      </c>
      <c r="AD307" s="26">
        <f>p_alpha*(1-INDEX(Calib!$H$1:$H$13,$D307))*AC307/(INDEX(Calib!$K$1:$K$13,$D307)+p_delta)</f>
        <v/>
      </c>
      <c r="AE307" s="26">
        <f>AC307+$G307</f>
        <v/>
      </c>
      <c r="AF307" s="26">
        <f>p_programme*($H307+$I307)</f>
        <v/>
      </c>
      <c r="AG307" s="26">
        <f>INDEX(Calib!$I$1:$I$13,$D307)+p_sh_grant*AF307</f>
        <v/>
      </c>
      <c r="AH307" s="26">
        <f>INDEX(Calib!$H$1:$H$13,$D307)*AC307+p_gov_take*$G307+AG307+p_programme*p_pricing*$J307</f>
        <v/>
      </c>
      <c r="AI307" s="26">
        <f>INDEX(Calib!$Y$1:$Y$13,$D307)-INDEX(Calib!$Z$1:$Z$13,$D307)*(AL306/AE306-INDEX(Calib!$AA$1:$AA$13,$D307))</f>
        <v/>
      </c>
      <c r="AJ307" s="26">
        <f>INDEX(Calib!$X$1:$X$13,$D307)+INDEX(Calib!$G$1:$G$13,$D307)+AF307+AI307-AH307</f>
        <v/>
      </c>
      <c r="AK307" s="26">
        <f>p_rk*AM306+AO306*(AL306-AM306)</f>
        <v/>
      </c>
      <c r="AL307" s="26">
        <f>AL306+AK307+AJ307</f>
        <v/>
      </c>
      <c r="AM307" s="26">
        <f>INDEX(Calib!$U$1:$U$13,$D307)+(AM306-INDEX(Calib!$U$1:$U$13,$D307))*(1-p_amort)+p_sh_conc*AF307</f>
        <v/>
      </c>
      <c r="AN307" s="26">
        <f>AL307/AE307</f>
        <v/>
      </c>
      <c r="AO307" s="26">
        <f>INDEX(Calib!$K$1:$K$13,$D307)+p_eta*MAX(0,AN307-INDEX(Calib!$AA$1:$AA$13,$D307))</f>
        <v/>
      </c>
      <c r="AP307" s="26">
        <f>(1-INDEX(Calib!$H$1:$H$13,$D307))*(1-p_alpha)*AC307+AI307</f>
        <v/>
      </c>
      <c r="AQ307" s="26">
        <f>(AE307/O307-1)*100</f>
        <v/>
      </c>
      <c r="AR307" s="26">
        <f>(AE307/AE299-1)*100</f>
        <v/>
      </c>
      <c r="AS307" s="26">
        <f>(O307/O299-1)*100</f>
        <v/>
      </c>
      <c r="AT307" s="26">
        <f>(AN307-X307)*100</f>
        <v/>
      </c>
      <c r="AU307" s="26">
        <f>(AP307/Z307-1)*100</f>
        <v/>
      </c>
      <c r="AV307" s="26">
        <f>(AI307-S307)*100</f>
        <v/>
      </c>
    </row>
    <row r="308">
      <c r="A308" s="25" t="inlineStr">
        <is>
          <t>TCD</t>
        </is>
      </c>
      <c r="B308" s="25" t="n">
        <v>2033</v>
      </c>
      <c r="C308" s="25" t="n">
        <v>9</v>
      </c>
      <c r="D308" s="25" t="n">
        <v>13</v>
      </c>
      <c r="E308" s="25">
        <f>IF(AND(p_dis_year&gt;0,B308=p_dis_year),1,0)</f>
        <v/>
      </c>
      <c r="F308" s="26">
        <f>IF(AND(p_dis_year&gt;0,B308&gt;=p_dis_year),1-p_eps_a*p_rho_a^(B308-p_dis_year),1)</f>
        <v/>
      </c>
      <c r="G308" s="26">
        <f>INDEX(Calib!$N$1:$N$13,$D308)*(1-p_rent_decline*MIN(1,C308/26))</f>
        <v/>
      </c>
      <c r="H308" s="26">
        <f>IF(C308=0,0,SUMIFS(dl_val,dl_iso,$A308,dl_ind,"pub_cap",dl_year,$B308)/100)</f>
        <v/>
      </c>
      <c r="I308" s="26">
        <f>IF(C308=0,0,SUMIFS(dl_val,dl_iso,$A308,dl_ind,"pub_spend",dl_year,$B308)/100)</f>
        <v/>
      </c>
      <c r="J308" s="26">
        <f>IF(C308=0,0,SUMIFS(dl_val,dl_iso,$A308,dl_ind,"rev",dl_year,$B308)/100)</f>
        <v/>
      </c>
      <c r="K308" s="26">
        <f>(1-p_delta_g)*K307*(1-p_eps_g*$E308)+INDEX(Calib!$E$1:$E$13,$D308)*(INDEX(Calib!$G$1:$G$13,$D308)+0*$H308)</f>
        <v/>
      </c>
      <c r="L308" s="26">
        <f>L307*(1-p_eps_k*$E308)+p_lambda_k*(N308-L307*(1-p_eps_k*$E308))</f>
        <v/>
      </c>
      <c r="M308" s="26">
        <f>INDEX(Calib!$R$1:$R$13,$D308)*$F308*(K307*(1-p_eps_g*$E308))^INDEX(Calib!$Q$1:$Q$13,$D308)*(L307*(1-p_eps_k*$E308))^p_alpha</f>
        <v/>
      </c>
      <c r="N308" s="26">
        <f>p_alpha*(1-INDEX(Calib!$H$1:$H$13,$D308))*M308/(INDEX(Calib!$K$1:$K$13,$D308)+p_delta)</f>
        <v/>
      </c>
      <c r="O308" s="26">
        <f>M308+$G308</f>
        <v/>
      </c>
      <c r="P308" s="26">
        <f>0*($H308+$I308)</f>
        <v/>
      </c>
      <c r="Q308" s="26">
        <f>INDEX(Calib!$I$1:$I$13,$D308)+p_sh_grant*P308</f>
        <v/>
      </c>
      <c r="R308" s="26">
        <f>INDEX(Calib!$H$1:$H$13,$D308)*M308+p_gov_take*$G308+Q308+0*p_pricing*$J308</f>
        <v/>
      </c>
      <c r="S308" s="26">
        <f>INDEX(Calib!$Y$1:$Y$13,$D308)-INDEX(Calib!$Z$1:$Z$13,$D308)*(V307/O307-INDEX(Calib!$AA$1:$AA$13,$D308))</f>
        <v/>
      </c>
      <c r="T308" s="26">
        <f>INDEX(Calib!$X$1:$X$13,$D308)+INDEX(Calib!$G$1:$G$13,$D308)+P308+S308-R308</f>
        <v/>
      </c>
      <c r="U308" s="26">
        <f>p_rk*W307+Y307*(V307-W307)</f>
        <v/>
      </c>
      <c r="V308" s="26">
        <f>V307+U308+T308</f>
        <v/>
      </c>
      <c r="W308" s="26">
        <f>INDEX(Calib!$U$1:$U$13,$D308)+(W307-INDEX(Calib!$U$1:$U$13,$D308))*(1-p_amort)+p_sh_conc*P308</f>
        <v/>
      </c>
      <c r="X308" s="26">
        <f>V308/O308</f>
        <v/>
      </c>
      <c r="Y308" s="26">
        <f>INDEX(Calib!$K$1:$K$13,$D308)+p_eta*MAX(0,X308-INDEX(Calib!$AA$1:$AA$13,$D308))</f>
        <v/>
      </c>
      <c r="Z308" s="26">
        <f>(1-INDEX(Calib!$H$1:$H$13,$D308))*(1-p_alpha)*M308+S308</f>
        <v/>
      </c>
      <c r="AA308" s="26">
        <f>(1-p_delta_g)*AA307*(1-p_eps_g*$E308)+INDEX(Calib!$E$1:$E$13,$D308)*(INDEX(Calib!$G$1:$G$13,$D308)+p_programme*$H308)</f>
        <v/>
      </c>
      <c r="AB308" s="26">
        <f>AB307*(1-p_eps_k*$E308)+p_lambda_k*(AD308-AB307*(1-p_eps_k*$E308))</f>
        <v/>
      </c>
      <c r="AC308" s="26">
        <f>INDEX(Calib!$R$1:$R$13,$D308)*$F308*(AA307*(1-p_eps_g*$E308))^INDEX(Calib!$Q$1:$Q$13,$D308)*(AB307*(1-p_eps_k*$E308))^p_alpha</f>
        <v/>
      </c>
      <c r="AD308" s="26">
        <f>p_alpha*(1-INDEX(Calib!$H$1:$H$13,$D308))*AC308/(INDEX(Calib!$K$1:$K$13,$D308)+p_delta)</f>
        <v/>
      </c>
      <c r="AE308" s="26">
        <f>AC308+$G308</f>
        <v/>
      </c>
      <c r="AF308" s="26">
        <f>p_programme*($H308+$I308)</f>
        <v/>
      </c>
      <c r="AG308" s="26">
        <f>INDEX(Calib!$I$1:$I$13,$D308)+p_sh_grant*AF308</f>
        <v/>
      </c>
      <c r="AH308" s="26">
        <f>INDEX(Calib!$H$1:$H$13,$D308)*AC308+p_gov_take*$G308+AG308+p_programme*p_pricing*$J308</f>
        <v/>
      </c>
      <c r="AI308" s="26">
        <f>INDEX(Calib!$Y$1:$Y$13,$D308)-INDEX(Calib!$Z$1:$Z$13,$D308)*(AL307/AE307-INDEX(Calib!$AA$1:$AA$13,$D308))</f>
        <v/>
      </c>
      <c r="AJ308" s="26">
        <f>INDEX(Calib!$X$1:$X$13,$D308)+INDEX(Calib!$G$1:$G$13,$D308)+AF308+AI308-AH308</f>
        <v/>
      </c>
      <c r="AK308" s="26">
        <f>p_rk*AM307+AO307*(AL307-AM307)</f>
        <v/>
      </c>
      <c r="AL308" s="26">
        <f>AL307+AK308+AJ308</f>
        <v/>
      </c>
      <c r="AM308" s="26">
        <f>INDEX(Calib!$U$1:$U$13,$D308)+(AM307-INDEX(Calib!$U$1:$U$13,$D308))*(1-p_amort)+p_sh_conc*AF308</f>
        <v/>
      </c>
      <c r="AN308" s="26">
        <f>AL308/AE308</f>
        <v/>
      </c>
      <c r="AO308" s="26">
        <f>INDEX(Calib!$K$1:$K$13,$D308)+p_eta*MAX(0,AN308-INDEX(Calib!$AA$1:$AA$13,$D308))</f>
        <v/>
      </c>
      <c r="AP308" s="26">
        <f>(1-INDEX(Calib!$H$1:$H$13,$D308))*(1-p_alpha)*AC308+AI308</f>
        <v/>
      </c>
      <c r="AQ308" s="26">
        <f>(AE308/O308-1)*100</f>
        <v/>
      </c>
      <c r="AR308" s="26">
        <f>(AE308/AE299-1)*100</f>
        <v/>
      </c>
      <c r="AS308" s="26">
        <f>(O308/O299-1)*100</f>
        <v/>
      </c>
      <c r="AT308" s="26">
        <f>(AN308-X308)*100</f>
        <v/>
      </c>
      <c r="AU308" s="26">
        <f>(AP308/Z308-1)*100</f>
        <v/>
      </c>
      <c r="AV308" s="26">
        <f>(AI308-S308)*100</f>
        <v/>
      </c>
    </row>
    <row r="309">
      <c r="A309" s="25" t="inlineStr">
        <is>
          <t>TCD</t>
        </is>
      </c>
      <c r="B309" s="25" t="n">
        <v>2034</v>
      </c>
      <c r="C309" s="25" t="n">
        <v>10</v>
      </c>
      <c r="D309" s="25" t="n">
        <v>13</v>
      </c>
      <c r="E309" s="25">
        <f>IF(AND(p_dis_year&gt;0,B309=p_dis_year),1,0)</f>
        <v/>
      </c>
      <c r="F309" s="26">
        <f>IF(AND(p_dis_year&gt;0,B309&gt;=p_dis_year),1-p_eps_a*p_rho_a^(B309-p_dis_year),1)</f>
        <v/>
      </c>
      <c r="G309" s="26">
        <f>INDEX(Calib!$N$1:$N$13,$D309)*(1-p_rent_decline*MIN(1,C309/26))</f>
        <v/>
      </c>
      <c r="H309" s="26">
        <f>IF(C309=0,0,SUMIFS(dl_val,dl_iso,$A309,dl_ind,"pub_cap",dl_year,$B309)/100)</f>
        <v/>
      </c>
      <c r="I309" s="26">
        <f>IF(C309=0,0,SUMIFS(dl_val,dl_iso,$A309,dl_ind,"pub_spend",dl_year,$B309)/100)</f>
        <v/>
      </c>
      <c r="J309" s="26">
        <f>IF(C309=0,0,SUMIFS(dl_val,dl_iso,$A309,dl_ind,"rev",dl_year,$B309)/100)</f>
        <v/>
      </c>
      <c r="K309" s="26">
        <f>(1-p_delta_g)*K308*(1-p_eps_g*$E309)+INDEX(Calib!$E$1:$E$13,$D309)*(INDEX(Calib!$G$1:$G$13,$D309)+0*$H309)</f>
        <v/>
      </c>
      <c r="L309" s="26">
        <f>L308*(1-p_eps_k*$E309)+p_lambda_k*(N309-L308*(1-p_eps_k*$E309))</f>
        <v/>
      </c>
      <c r="M309" s="26">
        <f>INDEX(Calib!$R$1:$R$13,$D309)*$F309*(K308*(1-p_eps_g*$E309))^INDEX(Calib!$Q$1:$Q$13,$D309)*(L308*(1-p_eps_k*$E309))^p_alpha</f>
        <v/>
      </c>
      <c r="N309" s="26">
        <f>p_alpha*(1-INDEX(Calib!$H$1:$H$13,$D309))*M309/(INDEX(Calib!$K$1:$K$13,$D309)+p_delta)</f>
        <v/>
      </c>
      <c r="O309" s="26">
        <f>M309+$G309</f>
        <v/>
      </c>
      <c r="P309" s="26">
        <f>0*($H309+$I309)</f>
        <v/>
      </c>
      <c r="Q309" s="26">
        <f>INDEX(Calib!$I$1:$I$13,$D309)+p_sh_grant*P309</f>
        <v/>
      </c>
      <c r="R309" s="26">
        <f>INDEX(Calib!$H$1:$H$13,$D309)*M309+p_gov_take*$G309+Q309+0*p_pricing*$J309</f>
        <v/>
      </c>
      <c r="S309" s="26">
        <f>INDEX(Calib!$Y$1:$Y$13,$D309)-INDEX(Calib!$Z$1:$Z$13,$D309)*(V308/O308-INDEX(Calib!$AA$1:$AA$13,$D309))</f>
        <v/>
      </c>
      <c r="T309" s="26">
        <f>INDEX(Calib!$X$1:$X$13,$D309)+INDEX(Calib!$G$1:$G$13,$D309)+P309+S309-R309</f>
        <v/>
      </c>
      <c r="U309" s="26">
        <f>p_rk*W308+Y308*(V308-W308)</f>
        <v/>
      </c>
      <c r="V309" s="26">
        <f>V308+U309+T309</f>
        <v/>
      </c>
      <c r="W309" s="26">
        <f>INDEX(Calib!$U$1:$U$13,$D309)+(W308-INDEX(Calib!$U$1:$U$13,$D309))*(1-p_amort)+p_sh_conc*P309</f>
        <v/>
      </c>
      <c r="X309" s="26">
        <f>V309/O309</f>
        <v/>
      </c>
      <c r="Y309" s="26">
        <f>INDEX(Calib!$K$1:$K$13,$D309)+p_eta*MAX(0,X309-INDEX(Calib!$AA$1:$AA$13,$D309))</f>
        <v/>
      </c>
      <c r="Z309" s="26">
        <f>(1-INDEX(Calib!$H$1:$H$13,$D309))*(1-p_alpha)*M309+S309</f>
        <v/>
      </c>
      <c r="AA309" s="26">
        <f>(1-p_delta_g)*AA308*(1-p_eps_g*$E309)+INDEX(Calib!$E$1:$E$13,$D309)*(INDEX(Calib!$G$1:$G$13,$D309)+p_programme*$H309)</f>
        <v/>
      </c>
      <c r="AB309" s="26">
        <f>AB308*(1-p_eps_k*$E309)+p_lambda_k*(AD309-AB308*(1-p_eps_k*$E309))</f>
        <v/>
      </c>
      <c r="AC309" s="26">
        <f>INDEX(Calib!$R$1:$R$13,$D309)*$F309*(AA308*(1-p_eps_g*$E309))^INDEX(Calib!$Q$1:$Q$13,$D309)*(AB308*(1-p_eps_k*$E309))^p_alpha</f>
        <v/>
      </c>
      <c r="AD309" s="26">
        <f>p_alpha*(1-INDEX(Calib!$H$1:$H$13,$D309))*AC309/(INDEX(Calib!$K$1:$K$13,$D309)+p_delta)</f>
        <v/>
      </c>
      <c r="AE309" s="26">
        <f>AC309+$G309</f>
        <v/>
      </c>
      <c r="AF309" s="26">
        <f>p_programme*($H309+$I309)</f>
        <v/>
      </c>
      <c r="AG309" s="26">
        <f>INDEX(Calib!$I$1:$I$13,$D309)+p_sh_grant*AF309</f>
        <v/>
      </c>
      <c r="AH309" s="26">
        <f>INDEX(Calib!$H$1:$H$13,$D309)*AC309+p_gov_take*$G309+AG309+p_programme*p_pricing*$J309</f>
        <v/>
      </c>
      <c r="AI309" s="26">
        <f>INDEX(Calib!$Y$1:$Y$13,$D309)-INDEX(Calib!$Z$1:$Z$13,$D309)*(AL308/AE308-INDEX(Calib!$AA$1:$AA$13,$D309))</f>
        <v/>
      </c>
      <c r="AJ309" s="26">
        <f>INDEX(Calib!$X$1:$X$13,$D309)+INDEX(Calib!$G$1:$G$13,$D309)+AF309+AI309-AH309</f>
        <v/>
      </c>
      <c r="AK309" s="26">
        <f>p_rk*AM308+AO308*(AL308-AM308)</f>
        <v/>
      </c>
      <c r="AL309" s="26">
        <f>AL308+AK309+AJ309</f>
        <v/>
      </c>
      <c r="AM309" s="26">
        <f>INDEX(Calib!$U$1:$U$13,$D309)+(AM308-INDEX(Calib!$U$1:$U$13,$D309))*(1-p_amort)+p_sh_conc*AF309</f>
        <v/>
      </c>
      <c r="AN309" s="26">
        <f>AL309/AE309</f>
        <v/>
      </c>
      <c r="AO309" s="26">
        <f>INDEX(Calib!$K$1:$K$13,$D309)+p_eta*MAX(0,AN309-INDEX(Calib!$AA$1:$AA$13,$D309))</f>
        <v/>
      </c>
      <c r="AP309" s="26">
        <f>(1-INDEX(Calib!$H$1:$H$13,$D309))*(1-p_alpha)*AC309+AI309</f>
        <v/>
      </c>
      <c r="AQ309" s="26">
        <f>(AE309/O309-1)*100</f>
        <v/>
      </c>
      <c r="AR309" s="26">
        <f>(AE309/AE299-1)*100</f>
        <v/>
      </c>
      <c r="AS309" s="26">
        <f>(O309/O299-1)*100</f>
        <v/>
      </c>
      <c r="AT309" s="26">
        <f>(AN309-X309)*100</f>
        <v/>
      </c>
      <c r="AU309" s="26">
        <f>(AP309/Z309-1)*100</f>
        <v/>
      </c>
      <c r="AV309" s="26">
        <f>(AI309-S309)*100</f>
        <v/>
      </c>
    </row>
    <row r="310">
      <c r="A310" s="25" t="inlineStr">
        <is>
          <t>TCD</t>
        </is>
      </c>
      <c r="B310" s="25" t="n">
        <v>2035</v>
      </c>
      <c r="C310" s="25" t="n">
        <v>11</v>
      </c>
      <c r="D310" s="25" t="n">
        <v>13</v>
      </c>
      <c r="E310" s="25">
        <f>IF(AND(p_dis_year&gt;0,B310=p_dis_year),1,0)</f>
        <v/>
      </c>
      <c r="F310" s="26">
        <f>IF(AND(p_dis_year&gt;0,B310&gt;=p_dis_year),1-p_eps_a*p_rho_a^(B310-p_dis_year),1)</f>
        <v/>
      </c>
      <c r="G310" s="26">
        <f>INDEX(Calib!$N$1:$N$13,$D310)*(1-p_rent_decline*MIN(1,C310/26))</f>
        <v/>
      </c>
      <c r="H310" s="26">
        <f>IF(C310=0,0,SUMIFS(dl_val,dl_iso,$A310,dl_ind,"pub_cap",dl_year,$B310)/100)</f>
        <v/>
      </c>
      <c r="I310" s="26">
        <f>IF(C310=0,0,SUMIFS(dl_val,dl_iso,$A310,dl_ind,"pub_spend",dl_year,$B310)/100)</f>
        <v/>
      </c>
      <c r="J310" s="26">
        <f>IF(C310=0,0,SUMIFS(dl_val,dl_iso,$A310,dl_ind,"rev",dl_year,$B310)/100)</f>
        <v/>
      </c>
      <c r="K310" s="26">
        <f>(1-p_delta_g)*K309*(1-p_eps_g*$E310)+INDEX(Calib!$E$1:$E$13,$D310)*(INDEX(Calib!$G$1:$G$13,$D310)+0*$H310)</f>
        <v/>
      </c>
      <c r="L310" s="26">
        <f>L309*(1-p_eps_k*$E310)+p_lambda_k*(N310-L309*(1-p_eps_k*$E310))</f>
        <v/>
      </c>
      <c r="M310" s="26">
        <f>INDEX(Calib!$R$1:$R$13,$D310)*$F310*(K309*(1-p_eps_g*$E310))^INDEX(Calib!$Q$1:$Q$13,$D310)*(L309*(1-p_eps_k*$E310))^p_alpha</f>
        <v/>
      </c>
      <c r="N310" s="26">
        <f>p_alpha*(1-INDEX(Calib!$H$1:$H$13,$D310))*M310/(INDEX(Calib!$K$1:$K$13,$D310)+p_delta)</f>
        <v/>
      </c>
      <c r="O310" s="26">
        <f>M310+$G310</f>
        <v/>
      </c>
      <c r="P310" s="26">
        <f>0*($H310+$I310)</f>
        <v/>
      </c>
      <c r="Q310" s="26">
        <f>INDEX(Calib!$I$1:$I$13,$D310)+p_sh_grant*P310</f>
        <v/>
      </c>
      <c r="R310" s="26">
        <f>INDEX(Calib!$H$1:$H$13,$D310)*M310+p_gov_take*$G310+Q310+0*p_pricing*$J310</f>
        <v/>
      </c>
      <c r="S310" s="26">
        <f>INDEX(Calib!$Y$1:$Y$13,$D310)-INDEX(Calib!$Z$1:$Z$13,$D310)*(V309/O309-INDEX(Calib!$AA$1:$AA$13,$D310))</f>
        <v/>
      </c>
      <c r="T310" s="26">
        <f>INDEX(Calib!$X$1:$X$13,$D310)+INDEX(Calib!$G$1:$G$13,$D310)+P310+S310-R310</f>
        <v/>
      </c>
      <c r="U310" s="26">
        <f>p_rk*W309+Y309*(V309-W309)</f>
        <v/>
      </c>
      <c r="V310" s="26">
        <f>V309+U310+T310</f>
        <v/>
      </c>
      <c r="W310" s="26">
        <f>INDEX(Calib!$U$1:$U$13,$D310)+(W309-INDEX(Calib!$U$1:$U$13,$D310))*(1-p_amort)+p_sh_conc*P310</f>
        <v/>
      </c>
      <c r="X310" s="26">
        <f>V310/O310</f>
        <v/>
      </c>
      <c r="Y310" s="26">
        <f>INDEX(Calib!$K$1:$K$13,$D310)+p_eta*MAX(0,X310-INDEX(Calib!$AA$1:$AA$13,$D310))</f>
        <v/>
      </c>
      <c r="Z310" s="26">
        <f>(1-INDEX(Calib!$H$1:$H$13,$D310))*(1-p_alpha)*M310+S310</f>
        <v/>
      </c>
      <c r="AA310" s="26">
        <f>(1-p_delta_g)*AA309*(1-p_eps_g*$E310)+INDEX(Calib!$E$1:$E$13,$D310)*(INDEX(Calib!$G$1:$G$13,$D310)+p_programme*$H310)</f>
        <v/>
      </c>
      <c r="AB310" s="26">
        <f>AB309*(1-p_eps_k*$E310)+p_lambda_k*(AD310-AB309*(1-p_eps_k*$E310))</f>
        <v/>
      </c>
      <c r="AC310" s="26">
        <f>INDEX(Calib!$R$1:$R$13,$D310)*$F310*(AA309*(1-p_eps_g*$E310))^INDEX(Calib!$Q$1:$Q$13,$D310)*(AB309*(1-p_eps_k*$E310))^p_alpha</f>
        <v/>
      </c>
      <c r="AD310" s="26">
        <f>p_alpha*(1-INDEX(Calib!$H$1:$H$13,$D310))*AC310/(INDEX(Calib!$K$1:$K$13,$D310)+p_delta)</f>
        <v/>
      </c>
      <c r="AE310" s="26">
        <f>AC310+$G310</f>
        <v/>
      </c>
      <c r="AF310" s="26">
        <f>p_programme*($H310+$I310)</f>
        <v/>
      </c>
      <c r="AG310" s="26">
        <f>INDEX(Calib!$I$1:$I$13,$D310)+p_sh_grant*AF310</f>
        <v/>
      </c>
      <c r="AH310" s="26">
        <f>INDEX(Calib!$H$1:$H$13,$D310)*AC310+p_gov_take*$G310+AG310+p_programme*p_pricing*$J310</f>
        <v/>
      </c>
      <c r="AI310" s="26">
        <f>INDEX(Calib!$Y$1:$Y$13,$D310)-INDEX(Calib!$Z$1:$Z$13,$D310)*(AL309/AE309-INDEX(Calib!$AA$1:$AA$13,$D310))</f>
        <v/>
      </c>
      <c r="AJ310" s="26">
        <f>INDEX(Calib!$X$1:$X$13,$D310)+INDEX(Calib!$G$1:$G$13,$D310)+AF310+AI310-AH310</f>
        <v/>
      </c>
      <c r="AK310" s="26">
        <f>p_rk*AM309+AO309*(AL309-AM309)</f>
        <v/>
      </c>
      <c r="AL310" s="26">
        <f>AL309+AK310+AJ310</f>
        <v/>
      </c>
      <c r="AM310" s="26">
        <f>INDEX(Calib!$U$1:$U$13,$D310)+(AM309-INDEX(Calib!$U$1:$U$13,$D310))*(1-p_amort)+p_sh_conc*AF310</f>
        <v/>
      </c>
      <c r="AN310" s="26">
        <f>AL310/AE310</f>
        <v/>
      </c>
      <c r="AO310" s="26">
        <f>INDEX(Calib!$K$1:$K$13,$D310)+p_eta*MAX(0,AN310-INDEX(Calib!$AA$1:$AA$13,$D310))</f>
        <v/>
      </c>
      <c r="AP310" s="26">
        <f>(1-INDEX(Calib!$H$1:$H$13,$D310))*(1-p_alpha)*AC310+AI310</f>
        <v/>
      </c>
      <c r="AQ310" s="26">
        <f>(AE310/O310-1)*100</f>
        <v/>
      </c>
      <c r="AR310" s="26">
        <f>(AE310/AE299-1)*100</f>
        <v/>
      </c>
      <c r="AS310" s="26">
        <f>(O310/O299-1)*100</f>
        <v/>
      </c>
      <c r="AT310" s="26">
        <f>(AN310-X310)*100</f>
        <v/>
      </c>
      <c r="AU310" s="26">
        <f>(AP310/Z310-1)*100</f>
        <v/>
      </c>
      <c r="AV310" s="26">
        <f>(AI310-S310)*100</f>
        <v/>
      </c>
    </row>
    <row r="311">
      <c r="A311" s="25" t="inlineStr">
        <is>
          <t>TCD</t>
        </is>
      </c>
      <c r="B311" s="25" t="n">
        <v>2036</v>
      </c>
      <c r="C311" s="25" t="n">
        <v>12</v>
      </c>
      <c r="D311" s="25" t="n">
        <v>13</v>
      </c>
      <c r="E311" s="25">
        <f>IF(AND(p_dis_year&gt;0,B311=p_dis_year),1,0)</f>
        <v/>
      </c>
      <c r="F311" s="26">
        <f>IF(AND(p_dis_year&gt;0,B311&gt;=p_dis_year),1-p_eps_a*p_rho_a^(B311-p_dis_year),1)</f>
        <v/>
      </c>
      <c r="G311" s="26">
        <f>INDEX(Calib!$N$1:$N$13,$D311)*(1-p_rent_decline*MIN(1,C311/26))</f>
        <v/>
      </c>
      <c r="H311" s="26">
        <f>IF(C311=0,0,SUMIFS(dl_val,dl_iso,$A311,dl_ind,"pub_cap",dl_year,$B311)/100)</f>
        <v/>
      </c>
      <c r="I311" s="26">
        <f>IF(C311=0,0,SUMIFS(dl_val,dl_iso,$A311,dl_ind,"pub_spend",dl_year,$B311)/100)</f>
        <v/>
      </c>
      <c r="J311" s="26">
        <f>IF(C311=0,0,SUMIFS(dl_val,dl_iso,$A311,dl_ind,"rev",dl_year,$B311)/100)</f>
        <v/>
      </c>
      <c r="K311" s="26">
        <f>(1-p_delta_g)*K310*(1-p_eps_g*$E311)+INDEX(Calib!$E$1:$E$13,$D311)*(INDEX(Calib!$G$1:$G$13,$D311)+0*$H311)</f>
        <v/>
      </c>
      <c r="L311" s="26">
        <f>L310*(1-p_eps_k*$E311)+p_lambda_k*(N311-L310*(1-p_eps_k*$E311))</f>
        <v/>
      </c>
      <c r="M311" s="26">
        <f>INDEX(Calib!$R$1:$R$13,$D311)*$F311*(K310*(1-p_eps_g*$E311))^INDEX(Calib!$Q$1:$Q$13,$D311)*(L310*(1-p_eps_k*$E311))^p_alpha</f>
        <v/>
      </c>
      <c r="N311" s="26">
        <f>p_alpha*(1-INDEX(Calib!$H$1:$H$13,$D311))*M311/(INDEX(Calib!$K$1:$K$13,$D311)+p_delta)</f>
        <v/>
      </c>
      <c r="O311" s="26">
        <f>M311+$G311</f>
        <v/>
      </c>
      <c r="P311" s="26">
        <f>0*($H311+$I311)</f>
        <v/>
      </c>
      <c r="Q311" s="26">
        <f>INDEX(Calib!$I$1:$I$13,$D311)+p_sh_grant*P311</f>
        <v/>
      </c>
      <c r="R311" s="26">
        <f>INDEX(Calib!$H$1:$H$13,$D311)*M311+p_gov_take*$G311+Q311+0*p_pricing*$J311</f>
        <v/>
      </c>
      <c r="S311" s="26">
        <f>INDEX(Calib!$Y$1:$Y$13,$D311)-INDEX(Calib!$Z$1:$Z$13,$D311)*(V310/O310-INDEX(Calib!$AA$1:$AA$13,$D311))</f>
        <v/>
      </c>
      <c r="T311" s="26">
        <f>INDEX(Calib!$X$1:$X$13,$D311)+INDEX(Calib!$G$1:$G$13,$D311)+P311+S311-R311</f>
        <v/>
      </c>
      <c r="U311" s="26">
        <f>p_rk*W310+Y310*(V310-W310)</f>
        <v/>
      </c>
      <c r="V311" s="26">
        <f>V310+U311+T311</f>
        <v/>
      </c>
      <c r="W311" s="26">
        <f>INDEX(Calib!$U$1:$U$13,$D311)+(W310-INDEX(Calib!$U$1:$U$13,$D311))*(1-p_amort)+p_sh_conc*P311</f>
        <v/>
      </c>
      <c r="X311" s="26">
        <f>V311/O311</f>
        <v/>
      </c>
      <c r="Y311" s="26">
        <f>INDEX(Calib!$K$1:$K$13,$D311)+p_eta*MAX(0,X311-INDEX(Calib!$AA$1:$AA$13,$D311))</f>
        <v/>
      </c>
      <c r="Z311" s="26">
        <f>(1-INDEX(Calib!$H$1:$H$13,$D311))*(1-p_alpha)*M311+S311</f>
        <v/>
      </c>
      <c r="AA311" s="26">
        <f>(1-p_delta_g)*AA310*(1-p_eps_g*$E311)+INDEX(Calib!$E$1:$E$13,$D311)*(INDEX(Calib!$G$1:$G$13,$D311)+p_programme*$H311)</f>
        <v/>
      </c>
      <c r="AB311" s="26">
        <f>AB310*(1-p_eps_k*$E311)+p_lambda_k*(AD311-AB310*(1-p_eps_k*$E311))</f>
        <v/>
      </c>
      <c r="AC311" s="26">
        <f>INDEX(Calib!$R$1:$R$13,$D311)*$F311*(AA310*(1-p_eps_g*$E311))^INDEX(Calib!$Q$1:$Q$13,$D311)*(AB310*(1-p_eps_k*$E311))^p_alpha</f>
        <v/>
      </c>
      <c r="AD311" s="26">
        <f>p_alpha*(1-INDEX(Calib!$H$1:$H$13,$D311))*AC311/(INDEX(Calib!$K$1:$K$13,$D311)+p_delta)</f>
        <v/>
      </c>
      <c r="AE311" s="26">
        <f>AC311+$G311</f>
        <v/>
      </c>
      <c r="AF311" s="26">
        <f>p_programme*($H311+$I311)</f>
        <v/>
      </c>
      <c r="AG311" s="26">
        <f>INDEX(Calib!$I$1:$I$13,$D311)+p_sh_grant*AF311</f>
        <v/>
      </c>
      <c r="AH311" s="26">
        <f>INDEX(Calib!$H$1:$H$13,$D311)*AC311+p_gov_take*$G311+AG311+p_programme*p_pricing*$J311</f>
        <v/>
      </c>
      <c r="AI311" s="26">
        <f>INDEX(Calib!$Y$1:$Y$13,$D311)-INDEX(Calib!$Z$1:$Z$13,$D311)*(AL310/AE310-INDEX(Calib!$AA$1:$AA$13,$D311))</f>
        <v/>
      </c>
      <c r="AJ311" s="26">
        <f>INDEX(Calib!$X$1:$X$13,$D311)+INDEX(Calib!$G$1:$G$13,$D311)+AF311+AI311-AH311</f>
        <v/>
      </c>
      <c r="AK311" s="26">
        <f>p_rk*AM310+AO310*(AL310-AM310)</f>
        <v/>
      </c>
      <c r="AL311" s="26">
        <f>AL310+AK311+AJ311</f>
        <v/>
      </c>
      <c r="AM311" s="26">
        <f>INDEX(Calib!$U$1:$U$13,$D311)+(AM310-INDEX(Calib!$U$1:$U$13,$D311))*(1-p_amort)+p_sh_conc*AF311</f>
        <v/>
      </c>
      <c r="AN311" s="26">
        <f>AL311/AE311</f>
        <v/>
      </c>
      <c r="AO311" s="26">
        <f>INDEX(Calib!$K$1:$K$13,$D311)+p_eta*MAX(0,AN311-INDEX(Calib!$AA$1:$AA$13,$D311))</f>
        <v/>
      </c>
      <c r="AP311" s="26">
        <f>(1-INDEX(Calib!$H$1:$H$13,$D311))*(1-p_alpha)*AC311+AI311</f>
        <v/>
      </c>
      <c r="AQ311" s="26">
        <f>(AE311/O311-1)*100</f>
        <v/>
      </c>
      <c r="AR311" s="26">
        <f>(AE311/AE299-1)*100</f>
        <v/>
      </c>
      <c r="AS311" s="26">
        <f>(O311/O299-1)*100</f>
        <v/>
      </c>
      <c r="AT311" s="26">
        <f>(AN311-X311)*100</f>
        <v/>
      </c>
      <c r="AU311" s="26">
        <f>(AP311/Z311-1)*100</f>
        <v/>
      </c>
      <c r="AV311" s="26">
        <f>(AI311-S311)*100</f>
        <v/>
      </c>
    </row>
    <row r="312">
      <c r="A312" s="25" t="inlineStr">
        <is>
          <t>TCD</t>
        </is>
      </c>
      <c r="B312" s="25" t="n">
        <v>2037</v>
      </c>
      <c r="C312" s="25" t="n">
        <v>13</v>
      </c>
      <c r="D312" s="25" t="n">
        <v>13</v>
      </c>
      <c r="E312" s="25">
        <f>IF(AND(p_dis_year&gt;0,B312=p_dis_year),1,0)</f>
        <v/>
      </c>
      <c r="F312" s="26">
        <f>IF(AND(p_dis_year&gt;0,B312&gt;=p_dis_year),1-p_eps_a*p_rho_a^(B312-p_dis_year),1)</f>
        <v/>
      </c>
      <c r="G312" s="26">
        <f>INDEX(Calib!$N$1:$N$13,$D312)*(1-p_rent_decline*MIN(1,C312/26))</f>
        <v/>
      </c>
      <c r="H312" s="26">
        <f>IF(C312=0,0,SUMIFS(dl_val,dl_iso,$A312,dl_ind,"pub_cap",dl_year,$B312)/100)</f>
        <v/>
      </c>
      <c r="I312" s="26">
        <f>IF(C312=0,0,SUMIFS(dl_val,dl_iso,$A312,dl_ind,"pub_spend",dl_year,$B312)/100)</f>
        <v/>
      </c>
      <c r="J312" s="26">
        <f>IF(C312=0,0,SUMIFS(dl_val,dl_iso,$A312,dl_ind,"rev",dl_year,$B312)/100)</f>
        <v/>
      </c>
      <c r="K312" s="26">
        <f>(1-p_delta_g)*K311*(1-p_eps_g*$E312)+INDEX(Calib!$E$1:$E$13,$D312)*(INDEX(Calib!$G$1:$G$13,$D312)+0*$H312)</f>
        <v/>
      </c>
      <c r="L312" s="26">
        <f>L311*(1-p_eps_k*$E312)+p_lambda_k*(N312-L311*(1-p_eps_k*$E312))</f>
        <v/>
      </c>
      <c r="M312" s="26">
        <f>INDEX(Calib!$R$1:$R$13,$D312)*$F312*(K311*(1-p_eps_g*$E312))^INDEX(Calib!$Q$1:$Q$13,$D312)*(L311*(1-p_eps_k*$E312))^p_alpha</f>
        <v/>
      </c>
      <c r="N312" s="26">
        <f>p_alpha*(1-INDEX(Calib!$H$1:$H$13,$D312))*M312/(INDEX(Calib!$K$1:$K$13,$D312)+p_delta)</f>
        <v/>
      </c>
      <c r="O312" s="26">
        <f>M312+$G312</f>
        <v/>
      </c>
      <c r="P312" s="26">
        <f>0*($H312+$I312)</f>
        <v/>
      </c>
      <c r="Q312" s="26">
        <f>INDEX(Calib!$I$1:$I$13,$D312)+p_sh_grant*P312</f>
        <v/>
      </c>
      <c r="R312" s="26">
        <f>INDEX(Calib!$H$1:$H$13,$D312)*M312+p_gov_take*$G312+Q312+0*p_pricing*$J312</f>
        <v/>
      </c>
      <c r="S312" s="26">
        <f>INDEX(Calib!$Y$1:$Y$13,$D312)-INDEX(Calib!$Z$1:$Z$13,$D312)*(V311/O311-INDEX(Calib!$AA$1:$AA$13,$D312))</f>
        <v/>
      </c>
      <c r="T312" s="26">
        <f>INDEX(Calib!$X$1:$X$13,$D312)+INDEX(Calib!$G$1:$G$13,$D312)+P312+S312-R312</f>
        <v/>
      </c>
      <c r="U312" s="26">
        <f>p_rk*W311+Y311*(V311-W311)</f>
        <v/>
      </c>
      <c r="V312" s="26">
        <f>V311+U312+T312</f>
        <v/>
      </c>
      <c r="W312" s="26">
        <f>INDEX(Calib!$U$1:$U$13,$D312)+(W311-INDEX(Calib!$U$1:$U$13,$D312))*(1-p_amort)+p_sh_conc*P312</f>
        <v/>
      </c>
      <c r="X312" s="26">
        <f>V312/O312</f>
        <v/>
      </c>
      <c r="Y312" s="26">
        <f>INDEX(Calib!$K$1:$K$13,$D312)+p_eta*MAX(0,X312-INDEX(Calib!$AA$1:$AA$13,$D312))</f>
        <v/>
      </c>
      <c r="Z312" s="26">
        <f>(1-INDEX(Calib!$H$1:$H$13,$D312))*(1-p_alpha)*M312+S312</f>
        <v/>
      </c>
      <c r="AA312" s="26">
        <f>(1-p_delta_g)*AA311*(1-p_eps_g*$E312)+INDEX(Calib!$E$1:$E$13,$D312)*(INDEX(Calib!$G$1:$G$13,$D312)+p_programme*$H312)</f>
        <v/>
      </c>
      <c r="AB312" s="26">
        <f>AB311*(1-p_eps_k*$E312)+p_lambda_k*(AD312-AB311*(1-p_eps_k*$E312))</f>
        <v/>
      </c>
      <c r="AC312" s="26">
        <f>INDEX(Calib!$R$1:$R$13,$D312)*$F312*(AA311*(1-p_eps_g*$E312))^INDEX(Calib!$Q$1:$Q$13,$D312)*(AB311*(1-p_eps_k*$E312))^p_alpha</f>
        <v/>
      </c>
      <c r="AD312" s="26">
        <f>p_alpha*(1-INDEX(Calib!$H$1:$H$13,$D312))*AC312/(INDEX(Calib!$K$1:$K$13,$D312)+p_delta)</f>
        <v/>
      </c>
      <c r="AE312" s="26">
        <f>AC312+$G312</f>
        <v/>
      </c>
      <c r="AF312" s="26">
        <f>p_programme*($H312+$I312)</f>
        <v/>
      </c>
      <c r="AG312" s="26">
        <f>INDEX(Calib!$I$1:$I$13,$D312)+p_sh_grant*AF312</f>
        <v/>
      </c>
      <c r="AH312" s="26">
        <f>INDEX(Calib!$H$1:$H$13,$D312)*AC312+p_gov_take*$G312+AG312+p_programme*p_pricing*$J312</f>
        <v/>
      </c>
      <c r="AI312" s="26">
        <f>INDEX(Calib!$Y$1:$Y$13,$D312)-INDEX(Calib!$Z$1:$Z$13,$D312)*(AL311/AE311-INDEX(Calib!$AA$1:$AA$13,$D312))</f>
        <v/>
      </c>
      <c r="AJ312" s="26">
        <f>INDEX(Calib!$X$1:$X$13,$D312)+INDEX(Calib!$G$1:$G$13,$D312)+AF312+AI312-AH312</f>
        <v/>
      </c>
      <c r="AK312" s="26">
        <f>p_rk*AM311+AO311*(AL311-AM311)</f>
        <v/>
      </c>
      <c r="AL312" s="26">
        <f>AL311+AK312+AJ312</f>
        <v/>
      </c>
      <c r="AM312" s="26">
        <f>INDEX(Calib!$U$1:$U$13,$D312)+(AM311-INDEX(Calib!$U$1:$U$13,$D312))*(1-p_amort)+p_sh_conc*AF312</f>
        <v/>
      </c>
      <c r="AN312" s="26">
        <f>AL312/AE312</f>
        <v/>
      </c>
      <c r="AO312" s="26">
        <f>INDEX(Calib!$K$1:$K$13,$D312)+p_eta*MAX(0,AN312-INDEX(Calib!$AA$1:$AA$13,$D312))</f>
        <v/>
      </c>
      <c r="AP312" s="26">
        <f>(1-INDEX(Calib!$H$1:$H$13,$D312))*(1-p_alpha)*AC312+AI312</f>
        <v/>
      </c>
      <c r="AQ312" s="26">
        <f>(AE312/O312-1)*100</f>
        <v/>
      </c>
      <c r="AR312" s="26">
        <f>(AE312/AE299-1)*100</f>
        <v/>
      </c>
      <c r="AS312" s="26">
        <f>(O312/O299-1)*100</f>
        <v/>
      </c>
      <c r="AT312" s="26">
        <f>(AN312-X312)*100</f>
        <v/>
      </c>
      <c r="AU312" s="26">
        <f>(AP312/Z312-1)*100</f>
        <v/>
      </c>
      <c r="AV312" s="26">
        <f>(AI312-S312)*100</f>
        <v/>
      </c>
    </row>
    <row r="313">
      <c r="A313" s="25" t="inlineStr">
        <is>
          <t>TCD</t>
        </is>
      </c>
      <c r="B313" s="25" t="n">
        <v>2038</v>
      </c>
      <c r="C313" s="25" t="n">
        <v>14</v>
      </c>
      <c r="D313" s="25" t="n">
        <v>13</v>
      </c>
      <c r="E313" s="25">
        <f>IF(AND(p_dis_year&gt;0,B313=p_dis_year),1,0)</f>
        <v/>
      </c>
      <c r="F313" s="26">
        <f>IF(AND(p_dis_year&gt;0,B313&gt;=p_dis_year),1-p_eps_a*p_rho_a^(B313-p_dis_year),1)</f>
        <v/>
      </c>
      <c r="G313" s="26">
        <f>INDEX(Calib!$N$1:$N$13,$D313)*(1-p_rent_decline*MIN(1,C313/26))</f>
        <v/>
      </c>
      <c r="H313" s="26">
        <f>IF(C313=0,0,SUMIFS(dl_val,dl_iso,$A313,dl_ind,"pub_cap",dl_year,$B313)/100)</f>
        <v/>
      </c>
      <c r="I313" s="26">
        <f>IF(C313=0,0,SUMIFS(dl_val,dl_iso,$A313,dl_ind,"pub_spend",dl_year,$B313)/100)</f>
        <v/>
      </c>
      <c r="J313" s="26">
        <f>IF(C313=0,0,SUMIFS(dl_val,dl_iso,$A313,dl_ind,"rev",dl_year,$B313)/100)</f>
        <v/>
      </c>
      <c r="K313" s="26">
        <f>(1-p_delta_g)*K312*(1-p_eps_g*$E313)+INDEX(Calib!$E$1:$E$13,$D313)*(INDEX(Calib!$G$1:$G$13,$D313)+0*$H313)</f>
        <v/>
      </c>
      <c r="L313" s="26">
        <f>L312*(1-p_eps_k*$E313)+p_lambda_k*(N313-L312*(1-p_eps_k*$E313))</f>
        <v/>
      </c>
      <c r="M313" s="26">
        <f>INDEX(Calib!$R$1:$R$13,$D313)*$F313*(K312*(1-p_eps_g*$E313))^INDEX(Calib!$Q$1:$Q$13,$D313)*(L312*(1-p_eps_k*$E313))^p_alpha</f>
        <v/>
      </c>
      <c r="N313" s="26">
        <f>p_alpha*(1-INDEX(Calib!$H$1:$H$13,$D313))*M313/(INDEX(Calib!$K$1:$K$13,$D313)+p_delta)</f>
        <v/>
      </c>
      <c r="O313" s="26">
        <f>M313+$G313</f>
        <v/>
      </c>
      <c r="P313" s="26">
        <f>0*($H313+$I313)</f>
        <v/>
      </c>
      <c r="Q313" s="26">
        <f>INDEX(Calib!$I$1:$I$13,$D313)+p_sh_grant*P313</f>
        <v/>
      </c>
      <c r="R313" s="26">
        <f>INDEX(Calib!$H$1:$H$13,$D313)*M313+p_gov_take*$G313+Q313+0*p_pricing*$J313</f>
        <v/>
      </c>
      <c r="S313" s="26">
        <f>INDEX(Calib!$Y$1:$Y$13,$D313)-INDEX(Calib!$Z$1:$Z$13,$D313)*(V312/O312-INDEX(Calib!$AA$1:$AA$13,$D313))</f>
        <v/>
      </c>
      <c r="T313" s="26">
        <f>INDEX(Calib!$X$1:$X$13,$D313)+INDEX(Calib!$G$1:$G$13,$D313)+P313+S313-R313</f>
        <v/>
      </c>
      <c r="U313" s="26">
        <f>p_rk*W312+Y312*(V312-W312)</f>
        <v/>
      </c>
      <c r="V313" s="26">
        <f>V312+U313+T313</f>
        <v/>
      </c>
      <c r="W313" s="26">
        <f>INDEX(Calib!$U$1:$U$13,$D313)+(W312-INDEX(Calib!$U$1:$U$13,$D313))*(1-p_amort)+p_sh_conc*P313</f>
        <v/>
      </c>
      <c r="X313" s="26">
        <f>V313/O313</f>
        <v/>
      </c>
      <c r="Y313" s="26">
        <f>INDEX(Calib!$K$1:$K$13,$D313)+p_eta*MAX(0,X313-INDEX(Calib!$AA$1:$AA$13,$D313))</f>
        <v/>
      </c>
      <c r="Z313" s="26">
        <f>(1-INDEX(Calib!$H$1:$H$13,$D313))*(1-p_alpha)*M313+S313</f>
        <v/>
      </c>
      <c r="AA313" s="26">
        <f>(1-p_delta_g)*AA312*(1-p_eps_g*$E313)+INDEX(Calib!$E$1:$E$13,$D313)*(INDEX(Calib!$G$1:$G$13,$D313)+p_programme*$H313)</f>
        <v/>
      </c>
      <c r="AB313" s="26">
        <f>AB312*(1-p_eps_k*$E313)+p_lambda_k*(AD313-AB312*(1-p_eps_k*$E313))</f>
        <v/>
      </c>
      <c r="AC313" s="26">
        <f>INDEX(Calib!$R$1:$R$13,$D313)*$F313*(AA312*(1-p_eps_g*$E313))^INDEX(Calib!$Q$1:$Q$13,$D313)*(AB312*(1-p_eps_k*$E313))^p_alpha</f>
        <v/>
      </c>
      <c r="AD313" s="26">
        <f>p_alpha*(1-INDEX(Calib!$H$1:$H$13,$D313))*AC313/(INDEX(Calib!$K$1:$K$13,$D313)+p_delta)</f>
        <v/>
      </c>
      <c r="AE313" s="26">
        <f>AC313+$G313</f>
        <v/>
      </c>
      <c r="AF313" s="26">
        <f>p_programme*($H313+$I313)</f>
        <v/>
      </c>
      <c r="AG313" s="26">
        <f>INDEX(Calib!$I$1:$I$13,$D313)+p_sh_grant*AF313</f>
        <v/>
      </c>
      <c r="AH313" s="26">
        <f>INDEX(Calib!$H$1:$H$13,$D313)*AC313+p_gov_take*$G313+AG313+p_programme*p_pricing*$J313</f>
        <v/>
      </c>
      <c r="AI313" s="26">
        <f>INDEX(Calib!$Y$1:$Y$13,$D313)-INDEX(Calib!$Z$1:$Z$13,$D313)*(AL312/AE312-INDEX(Calib!$AA$1:$AA$13,$D313))</f>
        <v/>
      </c>
      <c r="AJ313" s="26">
        <f>INDEX(Calib!$X$1:$X$13,$D313)+INDEX(Calib!$G$1:$G$13,$D313)+AF313+AI313-AH313</f>
        <v/>
      </c>
      <c r="AK313" s="26">
        <f>p_rk*AM312+AO312*(AL312-AM312)</f>
        <v/>
      </c>
      <c r="AL313" s="26">
        <f>AL312+AK313+AJ313</f>
        <v/>
      </c>
      <c r="AM313" s="26">
        <f>INDEX(Calib!$U$1:$U$13,$D313)+(AM312-INDEX(Calib!$U$1:$U$13,$D313))*(1-p_amort)+p_sh_conc*AF313</f>
        <v/>
      </c>
      <c r="AN313" s="26">
        <f>AL313/AE313</f>
        <v/>
      </c>
      <c r="AO313" s="26">
        <f>INDEX(Calib!$K$1:$K$13,$D313)+p_eta*MAX(0,AN313-INDEX(Calib!$AA$1:$AA$13,$D313))</f>
        <v/>
      </c>
      <c r="AP313" s="26">
        <f>(1-INDEX(Calib!$H$1:$H$13,$D313))*(1-p_alpha)*AC313+AI313</f>
        <v/>
      </c>
      <c r="AQ313" s="26">
        <f>(AE313/O313-1)*100</f>
        <v/>
      </c>
      <c r="AR313" s="26">
        <f>(AE313/AE299-1)*100</f>
        <v/>
      </c>
      <c r="AS313" s="26">
        <f>(O313/O299-1)*100</f>
        <v/>
      </c>
      <c r="AT313" s="26">
        <f>(AN313-X313)*100</f>
        <v/>
      </c>
      <c r="AU313" s="26">
        <f>(AP313/Z313-1)*100</f>
        <v/>
      </c>
      <c r="AV313" s="26">
        <f>(AI313-S313)*100</f>
        <v/>
      </c>
    </row>
    <row r="314">
      <c r="A314" s="25" t="inlineStr">
        <is>
          <t>TCD</t>
        </is>
      </c>
      <c r="B314" s="25" t="n">
        <v>2039</v>
      </c>
      <c r="C314" s="25" t="n">
        <v>15</v>
      </c>
      <c r="D314" s="25" t="n">
        <v>13</v>
      </c>
      <c r="E314" s="25">
        <f>IF(AND(p_dis_year&gt;0,B314=p_dis_year),1,0)</f>
        <v/>
      </c>
      <c r="F314" s="26">
        <f>IF(AND(p_dis_year&gt;0,B314&gt;=p_dis_year),1-p_eps_a*p_rho_a^(B314-p_dis_year),1)</f>
        <v/>
      </c>
      <c r="G314" s="26">
        <f>INDEX(Calib!$N$1:$N$13,$D314)*(1-p_rent_decline*MIN(1,C314/26))</f>
        <v/>
      </c>
      <c r="H314" s="26">
        <f>IF(C314=0,0,SUMIFS(dl_val,dl_iso,$A314,dl_ind,"pub_cap",dl_year,$B314)/100)</f>
        <v/>
      </c>
      <c r="I314" s="26">
        <f>IF(C314=0,0,SUMIFS(dl_val,dl_iso,$A314,dl_ind,"pub_spend",dl_year,$B314)/100)</f>
        <v/>
      </c>
      <c r="J314" s="26">
        <f>IF(C314=0,0,SUMIFS(dl_val,dl_iso,$A314,dl_ind,"rev",dl_year,$B314)/100)</f>
        <v/>
      </c>
      <c r="K314" s="26">
        <f>(1-p_delta_g)*K313*(1-p_eps_g*$E314)+INDEX(Calib!$E$1:$E$13,$D314)*(INDEX(Calib!$G$1:$G$13,$D314)+0*$H314)</f>
        <v/>
      </c>
      <c r="L314" s="26">
        <f>L313*(1-p_eps_k*$E314)+p_lambda_k*(N314-L313*(1-p_eps_k*$E314))</f>
        <v/>
      </c>
      <c r="M314" s="26">
        <f>INDEX(Calib!$R$1:$R$13,$D314)*$F314*(K313*(1-p_eps_g*$E314))^INDEX(Calib!$Q$1:$Q$13,$D314)*(L313*(1-p_eps_k*$E314))^p_alpha</f>
        <v/>
      </c>
      <c r="N314" s="26">
        <f>p_alpha*(1-INDEX(Calib!$H$1:$H$13,$D314))*M314/(INDEX(Calib!$K$1:$K$13,$D314)+p_delta)</f>
        <v/>
      </c>
      <c r="O314" s="26">
        <f>M314+$G314</f>
        <v/>
      </c>
      <c r="P314" s="26">
        <f>0*($H314+$I314)</f>
        <v/>
      </c>
      <c r="Q314" s="26">
        <f>INDEX(Calib!$I$1:$I$13,$D314)+p_sh_grant*P314</f>
        <v/>
      </c>
      <c r="R314" s="26">
        <f>INDEX(Calib!$H$1:$H$13,$D314)*M314+p_gov_take*$G314+Q314+0*p_pricing*$J314</f>
        <v/>
      </c>
      <c r="S314" s="26">
        <f>INDEX(Calib!$Y$1:$Y$13,$D314)-INDEX(Calib!$Z$1:$Z$13,$D314)*(V313/O313-INDEX(Calib!$AA$1:$AA$13,$D314))</f>
        <v/>
      </c>
      <c r="T314" s="26">
        <f>INDEX(Calib!$X$1:$X$13,$D314)+INDEX(Calib!$G$1:$G$13,$D314)+P314+S314-R314</f>
        <v/>
      </c>
      <c r="U314" s="26">
        <f>p_rk*W313+Y313*(V313-W313)</f>
        <v/>
      </c>
      <c r="V314" s="26">
        <f>V313+U314+T314</f>
        <v/>
      </c>
      <c r="W314" s="26">
        <f>INDEX(Calib!$U$1:$U$13,$D314)+(W313-INDEX(Calib!$U$1:$U$13,$D314))*(1-p_amort)+p_sh_conc*P314</f>
        <v/>
      </c>
      <c r="X314" s="26">
        <f>V314/O314</f>
        <v/>
      </c>
      <c r="Y314" s="26">
        <f>INDEX(Calib!$K$1:$K$13,$D314)+p_eta*MAX(0,X314-INDEX(Calib!$AA$1:$AA$13,$D314))</f>
        <v/>
      </c>
      <c r="Z314" s="26">
        <f>(1-INDEX(Calib!$H$1:$H$13,$D314))*(1-p_alpha)*M314+S314</f>
        <v/>
      </c>
      <c r="AA314" s="26">
        <f>(1-p_delta_g)*AA313*(1-p_eps_g*$E314)+INDEX(Calib!$E$1:$E$13,$D314)*(INDEX(Calib!$G$1:$G$13,$D314)+p_programme*$H314)</f>
        <v/>
      </c>
      <c r="AB314" s="26">
        <f>AB313*(1-p_eps_k*$E314)+p_lambda_k*(AD314-AB313*(1-p_eps_k*$E314))</f>
        <v/>
      </c>
      <c r="AC314" s="26">
        <f>INDEX(Calib!$R$1:$R$13,$D314)*$F314*(AA313*(1-p_eps_g*$E314))^INDEX(Calib!$Q$1:$Q$13,$D314)*(AB313*(1-p_eps_k*$E314))^p_alpha</f>
        <v/>
      </c>
      <c r="AD314" s="26">
        <f>p_alpha*(1-INDEX(Calib!$H$1:$H$13,$D314))*AC314/(INDEX(Calib!$K$1:$K$13,$D314)+p_delta)</f>
        <v/>
      </c>
      <c r="AE314" s="26">
        <f>AC314+$G314</f>
        <v/>
      </c>
      <c r="AF314" s="26">
        <f>p_programme*($H314+$I314)</f>
        <v/>
      </c>
      <c r="AG314" s="26">
        <f>INDEX(Calib!$I$1:$I$13,$D314)+p_sh_grant*AF314</f>
        <v/>
      </c>
      <c r="AH314" s="26">
        <f>INDEX(Calib!$H$1:$H$13,$D314)*AC314+p_gov_take*$G314+AG314+p_programme*p_pricing*$J314</f>
        <v/>
      </c>
      <c r="AI314" s="26">
        <f>INDEX(Calib!$Y$1:$Y$13,$D314)-INDEX(Calib!$Z$1:$Z$13,$D314)*(AL313/AE313-INDEX(Calib!$AA$1:$AA$13,$D314))</f>
        <v/>
      </c>
      <c r="AJ314" s="26">
        <f>INDEX(Calib!$X$1:$X$13,$D314)+INDEX(Calib!$G$1:$G$13,$D314)+AF314+AI314-AH314</f>
        <v/>
      </c>
      <c r="AK314" s="26">
        <f>p_rk*AM313+AO313*(AL313-AM313)</f>
        <v/>
      </c>
      <c r="AL314" s="26">
        <f>AL313+AK314+AJ314</f>
        <v/>
      </c>
      <c r="AM314" s="26">
        <f>INDEX(Calib!$U$1:$U$13,$D314)+(AM313-INDEX(Calib!$U$1:$U$13,$D314))*(1-p_amort)+p_sh_conc*AF314</f>
        <v/>
      </c>
      <c r="AN314" s="26">
        <f>AL314/AE314</f>
        <v/>
      </c>
      <c r="AO314" s="26">
        <f>INDEX(Calib!$K$1:$K$13,$D314)+p_eta*MAX(0,AN314-INDEX(Calib!$AA$1:$AA$13,$D314))</f>
        <v/>
      </c>
      <c r="AP314" s="26">
        <f>(1-INDEX(Calib!$H$1:$H$13,$D314))*(1-p_alpha)*AC314+AI314</f>
        <v/>
      </c>
      <c r="AQ314" s="26">
        <f>(AE314/O314-1)*100</f>
        <v/>
      </c>
      <c r="AR314" s="26">
        <f>(AE314/AE299-1)*100</f>
        <v/>
      </c>
      <c r="AS314" s="26">
        <f>(O314/O299-1)*100</f>
        <v/>
      </c>
      <c r="AT314" s="26">
        <f>(AN314-X314)*100</f>
        <v/>
      </c>
      <c r="AU314" s="26">
        <f>(AP314/Z314-1)*100</f>
        <v/>
      </c>
      <c r="AV314" s="26">
        <f>(AI314-S314)*100</f>
        <v/>
      </c>
    </row>
    <row r="315">
      <c r="A315" s="25" t="inlineStr">
        <is>
          <t>TCD</t>
        </is>
      </c>
      <c r="B315" s="25" t="n">
        <v>2040</v>
      </c>
      <c r="C315" s="25" t="n">
        <v>16</v>
      </c>
      <c r="D315" s="25" t="n">
        <v>13</v>
      </c>
      <c r="E315" s="25">
        <f>IF(AND(p_dis_year&gt;0,B315=p_dis_year),1,0)</f>
        <v/>
      </c>
      <c r="F315" s="26">
        <f>IF(AND(p_dis_year&gt;0,B315&gt;=p_dis_year),1-p_eps_a*p_rho_a^(B315-p_dis_year),1)</f>
        <v/>
      </c>
      <c r="G315" s="26">
        <f>INDEX(Calib!$N$1:$N$13,$D315)*(1-p_rent_decline*MIN(1,C315/26))</f>
        <v/>
      </c>
      <c r="H315" s="26">
        <f>IF(C315=0,0,SUMIFS(dl_val,dl_iso,$A315,dl_ind,"pub_cap",dl_year,$B315)/100)</f>
        <v/>
      </c>
      <c r="I315" s="26">
        <f>IF(C315=0,0,SUMIFS(dl_val,dl_iso,$A315,dl_ind,"pub_spend",dl_year,$B315)/100)</f>
        <v/>
      </c>
      <c r="J315" s="26">
        <f>IF(C315=0,0,SUMIFS(dl_val,dl_iso,$A315,dl_ind,"rev",dl_year,$B315)/100)</f>
        <v/>
      </c>
      <c r="K315" s="26">
        <f>(1-p_delta_g)*K314*(1-p_eps_g*$E315)+INDEX(Calib!$E$1:$E$13,$D315)*(INDEX(Calib!$G$1:$G$13,$D315)+0*$H315)</f>
        <v/>
      </c>
      <c r="L315" s="26">
        <f>L314*(1-p_eps_k*$E315)+p_lambda_k*(N315-L314*(1-p_eps_k*$E315))</f>
        <v/>
      </c>
      <c r="M315" s="26">
        <f>INDEX(Calib!$R$1:$R$13,$D315)*$F315*(K314*(1-p_eps_g*$E315))^INDEX(Calib!$Q$1:$Q$13,$D315)*(L314*(1-p_eps_k*$E315))^p_alpha</f>
        <v/>
      </c>
      <c r="N315" s="26">
        <f>p_alpha*(1-INDEX(Calib!$H$1:$H$13,$D315))*M315/(INDEX(Calib!$K$1:$K$13,$D315)+p_delta)</f>
        <v/>
      </c>
      <c r="O315" s="26">
        <f>M315+$G315</f>
        <v/>
      </c>
      <c r="P315" s="26">
        <f>0*($H315+$I315)</f>
        <v/>
      </c>
      <c r="Q315" s="26">
        <f>INDEX(Calib!$I$1:$I$13,$D315)+p_sh_grant*P315</f>
        <v/>
      </c>
      <c r="R315" s="26">
        <f>INDEX(Calib!$H$1:$H$13,$D315)*M315+p_gov_take*$G315+Q315+0*p_pricing*$J315</f>
        <v/>
      </c>
      <c r="S315" s="26">
        <f>INDEX(Calib!$Y$1:$Y$13,$D315)-INDEX(Calib!$Z$1:$Z$13,$D315)*(V314/O314-INDEX(Calib!$AA$1:$AA$13,$D315))</f>
        <v/>
      </c>
      <c r="T315" s="26">
        <f>INDEX(Calib!$X$1:$X$13,$D315)+INDEX(Calib!$G$1:$G$13,$D315)+P315+S315-R315</f>
        <v/>
      </c>
      <c r="U315" s="26">
        <f>p_rk*W314+Y314*(V314-W314)</f>
        <v/>
      </c>
      <c r="V315" s="26">
        <f>V314+U315+T315</f>
        <v/>
      </c>
      <c r="W315" s="26">
        <f>INDEX(Calib!$U$1:$U$13,$D315)+(W314-INDEX(Calib!$U$1:$U$13,$D315))*(1-p_amort)+p_sh_conc*P315</f>
        <v/>
      </c>
      <c r="X315" s="26">
        <f>V315/O315</f>
        <v/>
      </c>
      <c r="Y315" s="26">
        <f>INDEX(Calib!$K$1:$K$13,$D315)+p_eta*MAX(0,X315-INDEX(Calib!$AA$1:$AA$13,$D315))</f>
        <v/>
      </c>
      <c r="Z315" s="26">
        <f>(1-INDEX(Calib!$H$1:$H$13,$D315))*(1-p_alpha)*M315+S315</f>
        <v/>
      </c>
      <c r="AA315" s="26">
        <f>(1-p_delta_g)*AA314*(1-p_eps_g*$E315)+INDEX(Calib!$E$1:$E$13,$D315)*(INDEX(Calib!$G$1:$G$13,$D315)+p_programme*$H315)</f>
        <v/>
      </c>
      <c r="AB315" s="26">
        <f>AB314*(1-p_eps_k*$E315)+p_lambda_k*(AD315-AB314*(1-p_eps_k*$E315))</f>
        <v/>
      </c>
      <c r="AC315" s="26">
        <f>INDEX(Calib!$R$1:$R$13,$D315)*$F315*(AA314*(1-p_eps_g*$E315))^INDEX(Calib!$Q$1:$Q$13,$D315)*(AB314*(1-p_eps_k*$E315))^p_alpha</f>
        <v/>
      </c>
      <c r="AD315" s="26">
        <f>p_alpha*(1-INDEX(Calib!$H$1:$H$13,$D315))*AC315/(INDEX(Calib!$K$1:$K$13,$D315)+p_delta)</f>
        <v/>
      </c>
      <c r="AE315" s="26">
        <f>AC315+$G315</f>
        <v/>
      </c>
      <c r="AF315" s="26">
        <f>p_programme*($H315+$I315)</f>
        <v/>
      </c>
      <c r="AG315" s="26">
        <f>INDEX(Calib!$I$1:$I$13,$D315)+p_sh_grant*AF315</f>
        <v/>
      </c>
      <c r="AH315" s="26">
        <f>INDEX(Calib!$H$1:$H$13,$D315)*AC315+p_gov_take*$G315+AG315+p_programme*p_pricing*$J315</f>
        <v/>
      </c>
      <c r="AI315" s="26">
        <f>INDEX(Calib!$Y$1:$Y$13,$D315)-INDEX(Calib!$Z$1:$Z$13,$D315)*(AL314/AE314-INDEX(Calib!$AA$1:$AA$13,$D315))</f>
        <v/>
      </c>
      <c r="AJ315" s="26">
        <f>INDEX(Calib!$X$1:$X$13,$D315)+INDEX(Calib!$G$1:$G$13,$D315)+AF315+AI315-AH315</f>
        <v/>
      </c>
      <c r="AK315" s="26">
        <f>p_rk*AM314+AO314*(AL314-AM314)</f>
        <v/>
      </c>
      <c r="AL315" s="26">
        <f>AL314+AK315+AJ315</f>
        <v/>
      </c>
      <c r="AM315" s="26">
        <f>INDEX(Calib!$U$1:$U$13,$D315)+(AM314-INDEX(Calib!$U$1:$U$13,$D315))*(1-p_amort)+p_sh_conc*AF315</f>
        <v/>
      </c>
      <c r="AN315" s="26">
        <f>AL315/AE315</f>
        <v/>
      </c>
      <c r="AO315" s="26">
        <f>INDEX(Calib!$K$1:$K$13,$D315)+p_eta*MAX(0,AN315-INDEX(Calib!$AA$1:$AA$13,$D315))</f>
        <v/>
      </c>
      <c r="AP315" s="26">
        <f>(1-INDEX(Calib!$H$1:$H$13,$D315))*(1-p_alpha)*AC315+AI315</f>
        <v/>
      </c>
      <c r="AQ315" s="26">
        <f>(AE315/O315-1)*100</f>
        <v/>
      </c>
      <c r="AR315" s="26">
        <f>(AE315/AE299-1)*100</f>
        <v/>
      </c>
      <c r="AS315" s="26">
        <f>(O315/O299-1)*100</f>
        <v/>
      </c>
      <c r="AT315" s="26">
        <f>(AN315-X315)*100</f>
        <v/>
      </c>
      <c r="AU315" s="26">
        <f>(AP315/Z315-1)*100</f>
        <v/>
      </c>
      <c r="AV315" s="26">
        <f>(AI315-S315)*100</f>
        <v/>
      </c>
    </row>
    <row r="316">
      <c r="A316" s="25" t="inlineStr">
        <is>
          <t>TCD</t>
        </is>
      </c>
      <c r="B316" s="25" t="n">
        <v>2041</v>
      </c>
      <c r="C316" s="25" t="n">
        <v>17</v>
      </c>
      <c r="D316" s="25" t="n">
        <v>13</v>
      </c>
      <c r="E316" s="25">
        <f>IF(AND(p_dis_year&gt;0,B316=p_dis_year),1,0)</f>
        <v/>
      </c>
      <c r="F316" s="26">
        <f>IF(AND(p_dis_year&gt;0,B316&gt;=p_dis_year),1-p_eps_a*p_rho_a^(B316-p_dis_year),1)</f>
        <v/>
      </c>
      <c r="G316" s="26">
        <f>INDEX(Calib!$N$1:$N$13,$D316)*(1-p_rent_decline*MIN(1,C316/26))</f>
        <v/>
      </c>
      <c r="H316" s="26">
        <f>IF(C316=0,0,SUMIFS(dl_val,dl_iso,$A316,dl_ind,"pub_cap",dl_year,$B316)/100)</f>
        <v/>
      </c>
      <c r="I316" s="26">
        <f>IF(C316=0,0,SUMIFS(dl_val,dl_iso,$A316,dl_ind,"pub_spend",dl_year,$B316)/100)</f>
        <v/>
      </c>
      <c r="J316" s="26">
        <f>IF(C316=0,0,SUMIFS(dl_val,dl_iso,$A316,dl_ind,"rev",dl_year,$B316)/100)</f>
        <v/>
      </c>
      <c r="K316" s="26">
        <f>(1-p_delta_g)*K315*(1-p_eps_g*$E316)+INDEX(Calib!$E$1:$E$13,$D316)*(INDEX(Calib!$G$1:$G$13,$D316)+0*$H316)</f>
        <v/>
      </c>
      <c r="L316" s="26">
        <f>L315*(1-p_eps_k*$E316)+p_lambda_k*(N316-L315*(1-p_eps_k*$E316))</f>
        <v/>
      </c>
      <c r="M316" s="26">
        <f>INDEX(Calib!$R$1:$R$13,$D316)*$F316*(K315*(1-p_eps_g*$E316))^INDEX(Calib!$Q$1:$Q$13,$D316)*(L315*(1-p_eps_k*$E316))^p_alpha</f>
        <v/>
      </c>
      <c r="N316" s="26">
        <f>p_alpha*(1-INDEX(Calib!$H$1:$H$13,$D316))*M316/(INDEX(Calib!$K$1:$K$13,$D316)+p_delta)</f>
        <v/>
      </c>
      <c r="O316" s="26">
        <f>M316+$G316</f>
        <v/>
      </c>
      <c r="P316" s="26">
        <f>0*($H316+$I316)</f>
        <v/>
      </c>
      <c r="Q316" s="26">
        <f>INDEX(Calib!$I$1:$I$13,$D316)+p_sh_grant*P316</f>
        <v/>
      </c>
      <c r="R316" s="26">
        <f>INDEX(Calib!$H$1:$H$13,$D316)*M316+p_gov_take*$G316+Q316+0*p_pricing*$J316</f>
        <v/>
      </c>
      <c r="S316" s="26">
        <f>INDEX(Calib!$Y$1:$Y$13,$D316)-INDEX(Calib!$Z$1:$Z$13,$D316)*(V315/O315-INDEX(Calib!$AA$1:$AA$13,$D316))</f>
        <v/>
      </c>
      <c r="T316" s="26">
        <f>INDEX(Calib!$X$1:$X$13,$D316)+INDEX(Calib!$G$1:$G$13,$D316)+P316+S316-R316</f>
        <v/>
      </c>
      <c r="U316" s="26">
        <f>p_rk*W315+Y315*(V315-W315)</f>
        <v/>
      </c>
      <c r="V316" s="26">
        <f>V315+U316+T316</f>
        <v/>
      </c>
      <c r="W316" s="26">
        <f>INDEX(Calib!$U$1:$U$13,$D316)+(W315-INDEX(Calib!$U$1:$U$13,$D316))*(1-p_amort)+p_sh_conc*P316</f>
        <v/>
      </c>
      <c r="X316" s="26">
        <f>V316/O316</f>
        <v/>
      </c>
      <c r="Y316" s="26">
        <f>INDEX(Calib!$K$1:$K$13,$D316)+p_eta*MAX(0,X316-INDEX(Calib!$AA$1:$AA$13,$D316))</f>
        <v/>
      </c>
      <c r="Z316" s="26">
        <f>(1-INDEX(Calib!$H$1:$H$13,$D316))*(1-p_alpha)*M316+S316</f>
        <v/>
      </c>
      <c r="AA316" s="26">
        <f>(1-p_delta_g)*AA315*(1-p_eps_g*$E316)+INDEX(Calib!$E$1:$E$13,$D316)*(INDEX(Calib!$G$1:$G$13,$D316)+p_programme*$H316)</f>
        <v/>
      </c>
      <c r="AB316" s="26">
        <f>AB315*(1-p_eps_k*$E316)+p_lambda_k*(AD316-AB315*(1-p_eps_k*$E316))</f>
        <v/>
      </c>
      <c r="AC316" s="26">
        <f>INDEX(Calib!$R$1:$R$13,$D316)*$F316*(AA315*(1-p_eps_g*$E316))^INDEX(Calib!$Q$1:$Q$13,$D316)*(AB315*(1-p_eps_k*$E316))^p_alpha</f>
        <v/>
      </c>
      <c r="AD316" s="26">
        <f>p_alpha*(1-INDEX(Calib!$H$1:$H$13,$D316))*AC316/(INDEX(Calib!$K$1:$K$13,$D316)+p_delta)</f>
        <v/>
      </c>
      <c r="AE316" s="26">
        <f>AC316+$G316</f>
        <v/>
      </c>
      <c r="AF316" s="26">
        <f>p_programme*($H316+$I316)</f>
        <v/>
      </c>
      <c r="AG316" s="26">
        <f>INDEX(Calib!$I$1:$I$13,$D316)+p_sh_grant*AF316</f>
        <v/>
      </c>
      <c r="AH316" s="26">
        <f>INDEX(Calib!$H$1:$H$13,$D316)*AC316+p_gov_take*$G316+AG316+p_programme*p_pricing*$J316</f>
        <v/>
      </c>
      <c r="AI316" s="26">
        <f>INDEX(Calib!$Y$1:$Y$13,$D316)-INDEX(Calib!$Z$1:$Z$13,$D316)*(AL315/AE315-INDEX(Calib!$AA$1:$AA$13,$D316))</f>
        <v/>
      </c>
      <c r="AJ316" s="26">
        <f>INDEX(Calib!$X$1:$X$13,$D316)+INDEX(Calib!$G$1:$G$13,$D316)+AF316+AI316-AH316</f>
        <v/>
      </c>
      <c r="AK316" s="26">
        <f>p_rk*AM315+AO315*(AL315-AM315)</f>
        <v/>
      </c>
      <c r="AL316" s="26">
        <f>AL315+AK316+AJ316</f>
        <v/>
      </c>
      <c r="AM316" s="26">
        <f>INDEX(Calib!$U$1:$U$13,$D316)+(AM315-INDEX(Calib!$U$1:$U$13,$D316))*(1-p_amort)+p_sh_conc*AF316</f>
        <v/>
      </c>
      <c r="AN316" s="26">
        <f>AL316/AE316</f>
        <v/>
      </c>
      <c r="AO316" s="26">
        <f>INDEX(Calib!$K$1:$K$13,$D316)+p_eta*MAX(0,AN316-INDEX(Calib!$AA$1:$AA$13,$D316))</f>
        <v/>
      </c>
      <c r="AP316" s="26">
        <f>(1-INDEX(Calib!$H$1:$H$13,$D316))*(1-p_alpha)*AC316+AI316</f>
        <v/>
      </c>
      <c r="AQ316" s="26">
        <f>(AE316/O316-1)*100</f>
        <v/>
      </c>
      <c r="AR316" s="26">
        <f>(AE316/AE299-1)*100</f>
        <v/>
      </c>
      <c r="AS316" s="26">
        <f>(O316/O299-1)*100</f>
        <v/>
      </c>
      <c r="AT316" s="26">
        <f>(AN316-X316)*100</f>
        <v/>
      </c>
      <c r="AU316" s="26">
        <f>(AP316/Z316-1)*100</f>
        <v/>
      </c>
      <c r="AV316" s="26">
        <f>(AI316-S316)*100</f>
        <v/>
      </c>
    </row>
    <row r="317">
      <c r="A317" s="25" t="inlineStr">
        <is>
          <t>TCD</t>
        </is>
      </c>
      <c r="B317" s="25" t="n">
        <v>2042</v>
      </c>
      <c r="C317" s="25" t="n">
        <v>18</v>
      </c>
      <c r="D317" s="25" t="n">
        <v>13</v>
      </c>
      <c r="E317" s="25">
        <f>IF(AND(p_dis_year&gt;0,B317=p_dis_year),1,0)</f>
        <v/>
      </c>
      <c r="F317" s="26">
        <f>IF(AND(p_dis_year&gt;0,B317&gt;=p_dis_year),1-p_eps_a*p_rho_a^(B317-p_dis_year),1)</f>
        <v/>
      </c>
      <c r="G317" s="26">
        <f>INDEX(Calib!$N$1:$N$13,$D317)*(1-p_rent_decline*MIN(1,C317/26))</f>
        <v/>
      </c>
      <c r="H317" s="26">
        <f>IF(C317=0,0,SUMIFS(dl_val,dl_iso,$A317,dl_ind,"pub_cap",dl_year,$B317)/100)</f>
        <v/>
      </c>
      <c r="I317" s="26">
        <f>IF(C317=0,0,SUMIFS(dl_val,dl_iso,$A317,dl_ind,"pub_spend",dl_year,$B317)/100)</f>
        <v/>
      </c>
      <c r="J317" s="26">
        <f>IF(C317=0,0,SUMIFS(dl_val,dl_iso,$A317,dl_ind,"rev",dl_year,$B317)/100)</f>
        <v/>
      </c>
      <c r="K317" s="26">
        <f>(1-p_delta_g)*K316*(1-p_eps_g*$E317)+INDEX(Calib!$E$1:$E$13,$D317)*(INDEX(Calib!$G$1:$G$13,$D317)+0*$H317)</f>
        <v/>
      </c>
      <c r="L317" s="26">
        <f>L316*(1-p_eps_k*$E317)+p_lambda_k*(N317-L316*(1-p_eps_k*$E317))</f>
        <v/>
      </c>
      <c r="M317" s="26">
        <f>INDEX(Calib!$R$1:$R$13,$D317)*$F317*(K316*(1-p_eps_g*$E317))^INDEX(Calib!$Q$1:$Q$13,$D317)*(L316*(1-p_eps_k*$E317))^p_alpha</f>
        <v/>
      </c>
      <c r="N317" s="26">
        <f>p_alpha*(1-INDEX(Calib!$H$1:$H$13,$D317))*M317/(INDEX(Calib!$K$1:$K$13,$D317)+p_delta)</f>
        <v/>
      </c>
      <c r="O317" s="26">
        <f>M317+$G317</f>
        <v/>
      </c>
      <c r="P317" s="26">
        <f>0*($H317+$I317)</f>
        <v/>
      </c>
      <c r="Q317" s="26">
        <f>INDEX(Calib!$I$1:$I$13,$D317)+p_sh_grant*P317</f>
        <v/>
      </c>
      <c r="R317" s="26">
        <f>INDEX(Calib!$H$1:$H$13,$D317)*M317+p_gov_take*$G317+Q317+0*p_pricing*$J317</f>
        <v/>
      </c>
      <c r="S317" s="26">
        <f>INDEX(Calib!$Y$1:$Y$13,$D317)-INDEX(Calib!$Z$1:$Z$13,$D317)*(V316/O316-INDEX(Calib!$AA$1:$AA$13,$D317))</f>
        <v/>
      </c>
      <c r="T317" s="26">
        <f>INDEX(Calib!$X$1:$X$13,$D317)+INDEX(Calib!$G$1:$G$13,$D317)+P317+S317-R317</f>
        <v/>
      </c>
      <c r="U317" s="26">
        <f>p_rk*W316+Y316*(V316-W316)</f>
        <v/>
      </c>
      <c r="V317" s="26">
        <f>V316+U317+T317</f>
        <v/>
      </c>
      <c r="W317" s="26">
        <f>INDEX(Calib!$U$1:$U$13,$D317)+(W316-INDEX(Calib!$U$1:$U$13,$D317))*(1-p_amort)+p_sh_conc*P317</f>
        <v/>
      </c>
      <c r="X317" s="26">
        <f>V317/O317</f>
        <v/>
      </c>
      <c r="Y317" s="26">
        <f>INDEX(Calib!$K$1:$K$13,$D317)+p_eta*MAX(0,X317-INDEX(Calib!$AA$1:$AA$13,$D317))</f>
        <v/>
      </c>
      <c r="Z317" s="26">
        <f>(1-INDEX(Calib!$H$1:$H$13,$D317))*(1-p_alpha)*M317+S317</f>
        <v/>
      </c>
      <c r="AA317" s="26">
        <f>(1-p_delta_g)*AA316*(1-p_eps_g*$E317)+INDEX(Calib!$E$1:$E$13,$D317)*(INDEX(Calib!$G$1:$G$13,$D317)+p_programme*$H317)</f>
        <v/>
      </c>
      <c r="AB317" s="26">
        <f>AB316*(1-p_eps_k*$E317)+p_lambda_k*(AD317-AB316*(1-p_eps_k*$E317))</f>
        <v/>
      </c>
      <c r="AC317" s="26">
        <f>INDEX(Calib!$R$1:$R$13,$D317)*$F317*(AA316*(1-p_eps_g*$E317))^INDEX(Calib!$Q$1:$Q$13,$D317)*(AB316*(1-p_eps_k*$E317))^p_alpha</f>
        <v/>
      </c>
      <c r="AD317" s="26">
        <f>p_alpha*(1-INDEX(Calib!$H$1:$H$13,$D317))*AC317/(INDEX(Calib!$K$1:$K$13,$D317)+p_delta)</f>
        <v/>
      </c>
      <c r="AE317" s="26">
        <f>AC317+$G317</f>
        <v/>
      </c>
      <c r="AF317" s="26">
        <f>p_programme*($H317+$I317)</f>
        <v/>
      </c>
      <c r="AG317" s="26">
        <f>INDEX(Calib!$I$1:$I$13,$D317)+p_sh_grant*AF317</f>
        <v/>
      </c>
      <c r="AH317" s="26">
        <f>INDEX(Calib!$H$1:$H$13,$D317)*AC317+p_gov_take*$G317+AG317+p_programme*p_pricing*$J317</f>
        <v/>
      </c>
      <c r="AI317" s="26">
        <f>INDEX(Calib!$Y$1:$Y$13,$D317)-INDEX(Calib!$Z$1:$Z$13,$D317)*(AL316/AE316-INDEX(Calib!$AA$1:$AA$13,$D317))</f>
        <v/>
      </c>
      <c r="AJ317" s="26">
        <f>INDEX(Calib!$X$1:$X$13,$D317)+INDEX(Calib!$G$1:$G$13,$D317)+AF317+AI317-AH317</f>
        <v/>
      </c>
      <c r="AK317" s="26">
        <f>p_rk*AM316+AO316*(AL316-AM316)</f>
        <v/>
      </c>
      <c r="AL317" s="26">
        <f>AL316+AK317+AJ317</f>
        <v/>
      </c>
      <c r="AM317" s="26">
        <f>INDEX(Calib!$U$1:$U$13,$D317)+(AM316-INDEX(Calib!$U$1:$U$13,$D317))*(1-p_amort)+p_sh_conc*AF317</f>
        <v/>
      </c>
      <c r="AN317" s="26">
        <f>AL317/AE317</f>
        <v/>
      </c>
      <c r="AO317" s="26">
        <f>INDEX(Calib!$K$1:$K$13,$D317)+p_eta*MAX(0,AN317-INDEX(Calib!$AA$1:$AA$13,$D317))</f>
        <v/>
      </c>
      <c r="AP317" s="26">
        <f>(1-INDEX(Calib!$H$1:$H$13,$D317))*(1-p_alpha)*AC317+AI317</f>
        <v/>
      </c>
      <c r="AQ317" s="26">
        <f>(AE317/O317-1)*100</f>
        <v/>
      </c>
      <c r="AR317" s="26">
        <f>(AE317/AE299-1)*100</f>
        <v/>
      </c>
      <c r="AS317" s="26">
        <f>(O317/O299-1)*100</f>
        <v/>
      </c>
      <c r="AT317" s="26">
        <f>(AN317-X317)*100</f>
        <v/>
      </c>
      <c r="AU317" s="26">
        <f>(AP317/Z317-1)*100</f>
        <v/>
      </c>
      <c r="AV317" s="26">
        <f>(AI317-S317)*100</f>
        <v/>
      </c>
    </row>
    <row r="318">
      <c r="A318" s="25" t="inlineStr">
        <is>
          <t>TCD</t>
        </is>
      </c>
      <c r="B318" s="25" t="n">
        <v>2043</v>
      </c>
      <c r="C318" s="25" t="n">
        <v>19</v>
      </c>
      <c r="D318" s="25" t="n">
        <v>13</v>
      </c>
      <c r="E318" s="25">
        <f>IF(AND(p_dis_year&gt;0,B318=p_dis_year),1,0)</f>
        <v/>
      </c>
      <c r="F318" s="26">
        <f>IF(AND(p_dis_year&gt;0,B318&gt;=p_dis_year),1-p_eps_a*p_rho_a^(B318-p_dis_year),1)</f>
        <v/>
      </c>
      <c r="G318" s="26">
        <f>INDEX(Calib!$N$1:$N$13,$D318)*(1-p_rent_decline*MIN(1,C318/26))</f>
        <v/>
      </c>
      <c r="H318" s="26">
        <f>IF(C318=0,0,SUMIFS(dl_val,dl_iso,$A318,dl_ind,"pub_cap",dl_year,$B318)/100)</f>
        <v/>
      </c>
      <c r="I318" s="26">
        <f>IF(C318=0,0,SUMIFS(dl_val,dl_iso,$A318,dl_ind,"pub_spend",dl_year,$B318)/100)</f>
        <v/>
      </c>
      <c r="J318" s="26">
        <f>IF(C318=0,0,SUMIFS(dl_val,dl_iso,$A318,dl_ind,"rev",dl_year,$B318)/100)</f>
        <v/>
      </c>
      <c r="K318" s="26">
        <f>(1-p_delta_g)*K317*(1-p_eps_g*$E318)+INDEX(Calib!$E$1:$E$13,$D318)*(INDEX(Calib!$G$1:$G$13,$D318)+0*$H318)</f>
        <v/>
      </c>
      <c r="L318" s="26">
        <f>L317*(1-p_eps_k*$E318)+p_lambda_k*(N318-L317*(1-p_eps_k*$E318))</f>
        <v/>
      </c>
      <c r="M318" s="26">
        <f>INDEX(Calib!$R$1:$R$13,$D318)*$F318*(K317*(1-p_eps_g*$E318))^INDEX(Calib!$Q$1:$Q$13,$D318)*(L317*(1-p_eps_k*$E318))^p_alpha</f>
        <v/>
      </c>
      <c r="N318" s="26">
        <f>p_alpha*(1-INDEX(Calib!$H$1:$H$13,$D318))*M318/(INDEX(Calib!$K$1:$K$13,$D318)+p_delta)</f>
        <v/>
      </c>
      <c r="O318" s="26">
        <f>M318+$G318</f>
        <v/>
      </c>
      <c r="P318" s="26">
        <f>0*($H318+$I318)</f>
        <v/>
      </c>
      <c r="Q318" s="26">
        <f>INDEX(Calib!$I$1:$I$13,$D318)+p_sh_grant*P318</f>
        <v/>
      </c>
      <c r="R318" s="26">
        <f>INDEX(Calib!$H$1:$H$13,$D318)*M318+p_gov_take*$G318+Q318+0*p_pricing*$J318</f>
        <v/>
      </c>
      <c r="S318" s="26">
        <f>INDEX(Calib!$Y$1:$Y$13,$D318)-INDEX(Calib!$Z$1:$Z$13,$D318)*(V317/O317-INDEX(Calib!$AA$1:$AA$13,$D318))</f>
        <v/>
      </c>
      <c r="T318" s="26">
        <f>INDEX(Calib!$X$1:$X$13,$D318)+INDEX(Calib!$G$1:$G$13,$D318)+P318+S318-R318</f>
        <v/>
      </c>
      <c r="U318" s="26">
        <f>p_rk*W317+Y317*(V317-W317)</f>
        <v/>
      </c>
      <c r="V318" s="26">
        <f>V317+U318+T318</f>
        <v/>
      </c>
      <c r="W318" s="26">
        <f>INDEX(Calib!$U$1:$U$13,$D318)+(W317-INDEX(Calib!$U$1:$U$13,$D318))*(1-p_amort)+p_sh_conc*P318</f>
        <v/>
      </c>
      <c r="X318" s="26">
        <f>V318/O318</f>
        <v/>
      </c>
      <c r="Y318" s="26">
        <f>INDEX(Calib!$K$1:$K$13,$D318)+p_eta*MAX(0,X318-INDEX(Calib!$AA$1:$AA$13,$D318))</f>
        <v/>
      </c>
      <c r="Z318" s="26">
        <f>(1-INDEX(Calib!$H$1:$H$13,$D318))*(1-p_alpha)*M318+S318</f>
        <v/>
      </c>
      <c r="AA318" s="26">
        <f>(1-p_delta_g)*AA317*(1-p_eps_g*$E318)+INDEX(Calib!$E$1:$E$13,$D318)*(INDEX(Calib!$G$1:$G$13,$D318)+p_programme*$H318)</f>
        <v/>
      </c>
      <c r="AB318" s="26">
        <f>AB317*(1-p_eps_k*$E318)+p_lambda_k*(AD318-AB317*(1-p_eps_k*$E318))</f>
        <v/>
      </c>
      <c r="AC318" s="26">
        <f>INDEX(Calib!$R$1:$R$13,$D318)*$F318*(AA317*(1-p_eps_g*$E318))^INDEX(Calib!$Q$1:$Q$13,$D318)*(AB317*(1-p_eps_k*$E318))^p_alpha</f>
        <v/>
      </c>
      <c r="AD318" s="26">
        <f>p_alpha*(1-INDEX(Calib!$H$1:$H$13,$D318))*AC318/(INDEX(Calib!$K$1:$K$13,$D318)+p_delta)</f>
        <v/>
      </c>
      <c r="AE318" s="26">
        <f>AC318+$G318</f>
        <v/>
      </c>
      <c r="AF318" s="26">
        <f>p_programme*($H318+$I318)</f>
        <v/>
      </c>
      <c r="AG318" s="26">
        <f>INDEX(Calib!$I$1:$I$13,$D318)+p_sh_grant*AF318</f>
        <v/>
      </c>
      <c r="AH318" s="26">
        <f>INDEX(Calib!$H$1:$H$13,$D318)*AC318+p_gov_take*$G318+AG318+p_programme*p_pricing*$J318</f>
        <v/>
      </c>
      <c r="AI318" s="26">
        <f>INDEX(Calib!$Y$1:$Y$13,$D318)-INDEX(Calib!$Z$1:$Z$13,$D318)*(AL317/AE317-INDEX(Calib!$AA$1:$AA$13,$D318))</f>
        <v/>
      </c>
      <c r="AJ318" s="26">
        <f>INDEX(Calib!$X$1:$X$13,$D318)+INDEX(Calib!$G$1:$G$13,$D318)+AF318+AI318-AH318</f>
        <v/>
      </c>
      <c r="AK318" s="26">
        <f>p_rk*AM317+AO317*(AL317-AM317)</f>
        <v/>
      </c>
      <c r="AL318" s="26">
        <f>AL317+AK318+AJ318</f>
        <v/>
      </c>
      <c r="AM318" s="26">
        <f>INDEX(Calib!$U$1:$U$13,$D318)+(AM317-INDEX(Calib!$U$1:$U$13,$D318))*(1-p_amort)+p_sh_conc*AF318</f>
        <v/>
      </c>
      <c r="AN318" s="26">
        <f>AL318/AE318</f>
        <v/>
      </c>
      <c r="AO318" s="26">
        <f>INDEX(Calib!$K$1:$K$13,$D318)+p_eta*MAX(0,AN318-INDEX(Calib!$AA$1:$AA$13,$D318))</f>
        <v/>
      </c>
      <c r="AP318" s="26">
        <f>(1-INDEX(Calib!$H$1:$H$13,$D318))*(1-p_alpha)*AC318+AI318</f>
        <v/>
      </c>
      <c r="AQ318" s="26">
        <f>(AE318/O318-1)*100</f>
        <v/>
      </c>
      <c r="AR318" s="26">
        <f>(AE318/AE299-1)*100</f>
        <v/>
      </c>
      <c r="AS318" s="26">
        <f>(O318/O299-1)*100</f>
        <v/>
      </c>
      <c r="AT318" s="26">
        <f>(AN318-X318)*100</f>
        <v/>
      </c>
      <c r="AU318" s="26">
        <f>(AP318/Z318-1)*100</f>
        <v/>
      </c>
      <c r="AV318" s="26">
        <f>(AI318-S318)*100</f>
        <v/>
      </c>
    </row>
    <row r="319">
      <c r="A319" s="25" t="inlineStr">
        <is>
          <t>TCD</t>
        </is>
      </c>
      <c r="B319" s="25" t="n">
        <v>2044</v>
      </c>
      <c r="C319" s="25" t="n">
        <v>20</v>
      </c>
      <c r="D319" s="25" t="n">
        <v>13</v>
      </c>
      <c r="E319" s="25">
        <f>IF(AND(p_dis_year&gt;0,B319=p_dis_year),1,0)</f>
        <v/>
      </c>
      <c r="F319" s="26">
        <f>IF(AND(p_dis_year&gt;0,B319&gt;=p_dis_year),1-p_eps_a*p_rho_a^(B319-p_dis_year),1)</f>
        <v/>
      </c>
      <c r="G319" s="26">
        <f>INDEX(Calib!$N$1:$N$13,$D319)*(1-p_rent_decline*MIN(1,C319/26))</f>
        <v/>
      </c>
      <c r="H319" s="26">
        <f>IF(C319=0,0,SUMIFS(dl_val,dl_iso,$A319,dl_ind,"pub_cap",dl_year,$B319)/100)</f>
        <v/>
      </c>
      <c r="I319" s="26">
        <f>IF(C319=0,0,SUMIFS(dl_val,dl_iso,$A319,dl_ind,"pub_spend",dl_year,$B319)/100)</f>
        <v/>
      </c>
      <c r="J319" s="26">
        <f>IF(C319=0,0,SUMIFS(dl_val,dl_iso,$A319,dl_ind,"rev",dl_year,$B319)/100)</f>
        <v/>
      </c>
      <c r="K319" s="26">
        <f>(1-p_delta_g)*K318*(1-p_eps_g*$E319)+INDEX(Calib!$E$1:$E$13,$D319)*(INDEX(Calib!$G$1:$G$13,$D319)+0*$H319)</f>
        <v/>
      </c>
      <c r="L319" s="26">
        <f>L318*(1-p_eps_k*$E319)+p_lambda_k*(N319-L318*(1-p_eps_k*$E319))</f>
        <v/>
      </c>
      <c r="M319" s="26">
        <f>INDEX(Calib!$R$1:$R$13,$D319)*$F319*(K318*(1-p_eps_g*$E319))^INDEX(Calib!$Q$1:$Q$13,$D319)*(L318*(1-p_eps_k*$E319))^p_alpha</f>
        <v/>
      </c>
      <c r="N319" s="26">
        <f>p_alpha*(1-INDEX(Calib!$H$1:$H$13,$D319))*M319/(INDEX(Calib!$K$1:$K$13,$D319)+p_delta)</f>
        <v/>
      </c>
      <c r="O319" s="26">
        <f>M319+$G319</f>
        <v/>
      </c>
      <c r="P319" s="26">
        <f>0*($H319+$I319)</f>
        <v/>
      </c>
      <c r="Q319" s="26">
        <f>INDEX(Calib!$I$1:$I$13,$D319)+p_sh_grant*P319</f>
        <v/>
      </c>
      <c r="R319" s="26">
        <f>INDEX(Calib!$H$1:$H$13,$D319)*M319+p_gov_take*$G319+Q319+0*p_pricing*$J319</f>
        <v/>
      </c>
      <c r="S319" s="26">
        <f>INDEX(Calib!$Y$1:$Y$13,$D319)-INDEX(Calib!$Z$1:$Z$13,$D319)*(V318/O318-INDEX(Calib!$AA$1:$AA$13,$D319))</f>
        <v/>
      </c>
      <c r="T319" s="26">
        <f>INDEX(Calib!$X$1:$X$13,$D319)+INDEX(Calib!$G$1:$G$13,$D319)+P319+S319-R319</f>
        <v/>
      </c>
      <c r="U319" s="26">
        <f>p_rk*W318+Y318*(V318-W318)</f>
        <v/>
      </c>
      <c r="V319" s="26">
        <f>V318+U319+T319</f>
        <v/>
      </c>
      <c r="W319" s="26">
        <f>INDEX(Calib!$U$1:$U$13,$D319)+(W318-INDEX(Calib!$U$1:$U$13,$D319))*(1-p_amort)+p_sh_conc*P319</f>
        <v/>
      </c>
      <c r="X319" s="26">
        <f>V319/O319</f>
        <v/>
      </c>
      <c r="Y319" s="26">
        <f>INDEX(Calib!$K$1:$K$13,$D319)+p_eta*MAX(0,X319-INDEX(Calib!$AA$1:$AA$13,$D319))</f>
        <v/>
      </c>
      <c r="Z319" s="26">
        <f>(1-INDEX(Calib!$H$1:$H$13,$D319))*(1-p_alpha)*M319+S319</f>
        <v/>
      </c>
      <c r="AA319" s="26">
        <f>(1-p_delta_g)*AA318*(1-p_eps_g*$E319)+INDEX(Calib!$E$1:$E$13,$D319)*(INDEX(Calib!$G$1:$G$13,$D319)+p_programme*$H319)</f>
        <v/>
      </c>
      <c r="AB319" s="26">
        <f>AB318*(1-p_eps_k*$E319)+p_lambda_k*(AD319-AB318*(1-p_eps_k*$E319))</f>
        <v/>
      </c>
      <c r="AC319" s="26">
        <f>INDEX(Calib!$R$1:$R$13,$D319)*$F319*(AA318*(1-p_eps_g*$E319))^INDEX(Calib!$Q$1:$Q$13,$D319)*(AB318*(1-p_eps_k*$E319))^p_alpha</f>
        <v/>
      </c>
      <c r="AD319" s="26">
        <f>p_alpha*(1-INDEX(Calib!$H$1:$H$13,$D319))*AC319/(INDEX(Calib!$K$1:$K$13,$D319)+p_delta)</f>
        <v/>
      </c>
      <c r="AE319" s="26">
        <f>AC319+$G319</f>
        <v/>
      </c>
      <c r="AF319" s="26">
        <f>p_programme*($H319+$I319)</f>
        <v/>
      </c>
      <c r="AG319" s="26">
        <f>INDEX(Calib!$I$1:$I$13,$D319)+p_sh_grant*AF319</f>
        <v/>
      </c>
      <c r="AH319" s="26">
        <f>INDEX(Calib!$H$1:$H$13,$D319)*AC319+p_gov_take*$G319+AG319+p_programme*p_pricing*$J319</f>
        <v/>
      </c>
      <c r="AI319" s="26">
        <f>INDEX(Calib!$Y$1:$Y$13,$D319)-INDEX(Calib!$Z$1:$Z$13,$D319)*(AL318/AE318-INDEX(Calib!$AA$1:$AA$13,$D319))</f>
        <v/>
      </c>
      <c r="AJ319" s="26">
        <f>INDEX(Calib!$X$1:$X$13,$D319)+INDEX(Calib!$G$1:$G$13,$D319)+AF319+AI319-AH319</f>
        <v/>
      </c>
      <c r="AK319" s="26">
        <f>p_rk*AM318+AO318*(AL318-AM318)</f>
        <v/>
      </c>
      <c r="AL319" s="26">
        <f>AL318+AK319+AJ319</f>
        <v/>
      </c>
      <c r="AM319" s="26">
        <f>INDEX(Calib!$U$1:$U$13,$D319)+(AM318-INDEX(Calib!$U$1:$U$13,$D319))*(1-p_amort)+p_sh_conc*AF319</f>
        <v/>
      </c>
      <c r="AN319" s="26">
        <f>AL319/AE319</f>
        <v/>
      </c>
      <c r="AO319" s="26">
        <f>INDEX(Calib!$K$1:$K$13,$D319)+p_eta*MAX(0,AN319-INDEX(Calib!$AA$1:$AA$13,$D319))</f>
        <v/>
      </c>
      <c r="AP319" s="26">
        <f>(1-INDEX(Calib!$H$1:$H$13,$D319))*(1-p_alpha)*AC319+AI319</f>
        <v/>
      </c>
      <c r="AQ319" s="26">
        <f>(AE319/O319-1)*100</f>
        <v/>
      </c>
      <c r="AR319" s="26">
        <f>(AE319/AE299-1)*100</f>
        <v/>
      </c>
      <c r="AS319" s="26">
        <f>(O319/O299-1)*100</f>
        <v/>
      </c>
      <c r="AT319" s="26">
        <f>(AN319-X319)*100</f>
        <v/>
      </c>
      <c r="AU319" s="26">
        <f>(AP319/Z319-1)*100</f>
        <v/>
      </c>
      <c r="AV319" s="26">
        <f>(AI319-S319)*100</f>
        <v/>
      </c>
    </row>
    <row r="320">
      <c r="A320" s="25" t="inlineStr">
        <is>
          <t>TCD</t>
        </is>
      </c>
      <c r="B320" s="25" t="n">
        <v>2045</v>
      </c>
      <c r="C320" s="25" t="n">
        <v>21</v>
      </c>
      <c r="D320" s="25" t="n">
        <v>13</v>
      </c>
      <c r="E320" s="25">
        <f>IF(AND(p_dis_year&gt;0,B320=p_dis_year),1,0)</f>
        <v/>
      </c>
      <c r="F320" s="26">
        <f>IF(AND(p_dis_year&gt;0,B320&gt;=p_dis_year),1-p_eps_a*p_rho_a^(B320-p_dis_year),1)</f>
        <v/>
      </c>
      <c r="G320" s="26">
        <f>INDEX(Calib!$N$1:$N$13,$D320)*(1-p_rent_decline*MIN(1,C320/26))</f>
        <v/>
      </c>
      <c r="H320" s="26">
        <f>IF(C320=0,0,SUMIFS(dl_val,dl_iso,$A320,dl_ind,"pub_cap",dl_year,$B320)/100)</f>
        <v/>
      </c>
      <c r="I320" s="26">
        <f>IF(C320=0,0,SUMIFS(dl_val,dl_iso,$A320,dl_ind,"pub_spend",dl_year,$B320)/100)</f>
        <v/>
      </c>
      <c r="J320" s="26">
        <f>IF(C320=0,0,SUMIFS(dl_val,dl_iso,$A320,dl_ind,"rev",dl_year,$B320)/100)</f>
        <v/>
      </c>
      <c r="K320" s="26">
        <f>(1-p_delta_g)*K319*(1-p_eps_g*$E320)+INDEX(Calib!$E$1:$E$13,$D320)*(INDEX(Calib!$G$1:$G$13,$D320)+0*$H320)</f>
        <v/>
      </c>
      <c r="L320" s="26">
        <f>L319*(1-p_eps_k*$E320)+p_lambda_k*(N320-L319*(1-p_eps_k*$E320))</f>
        <v/>
      </c>
      <c r="M320" s="26">
        <f>INDEX(Calib!$R$1:$R$13,$D320)*$F320*(K319*(1-p_eps_g*$E320))^INDEX(Calib!$Q$1:$Q$13,$D320)*(L319*(1-p_eps_k*$E320))^p_alpha</f>
        <v/>
      </c>
      <c r="N320" s="26">
        <f>p_alpha*(1-INDEX(Calib!$H$1:$H$13,$D320))*M320/(INDEX(Calib!$K$1:$K$13,$D320)+p_delta)</f>
        <v/>
      </c>
      <c r="O320" s="26">
        <f>M320+$G320</f>
        <v/>
      </c>
      <c r="P320" s="26">
        <f>0*($H320+$I320)</f>
        <v/>
      </c>
      <c r="Q320" s="26">
        <f>INDEX(Calib!$I$1:$I$13,$D320)+p_sh_grant*P320</f>
        <v/>
      </c>
      <c r="R320" s="26">
        <f>INDEX(Calib!$H$1:$H$13,$D320)*M320+p_gov_take*$G320+Q320+0*p_pricing*$J320</f>
        <v/>
      </c>
      <c r="S320" s="26">
        <f>INDEX(Calib!$Y$1:$Y$13,$D320)-INDEX(Calib!$Z$1:$Z$13,$D320)*(V319/O319-INDEX(Calib!$AA$1:$AA$13,$D320))</f>
        <v/>
      </c>
      <c r="T320" s="26">
        <f>INDEX(Calib!$X$1:$X$13,$D320)+INDEX(Calib!$G$1:$G$13,$D320)+P320+S320-R320</f>
        <v/>
      </c>
      <c r="U320" s="26">
        <f>p_rk*W319+Y319*(V319-W319)</f>
        <v/>
      </c>
      <c r="V320" s="26">
        <f>V319+U320+T320</f>
        <v/>
      </c>
      <c r="W320" s="26">
        <f>INDEX(Calib!$U$1:$U$13,$D320)+(W319-INDEX(Calib!$U$1:$U$13,$D320))*(1-p_amort)+p_sh_conc*P320</f>
        <v/>
      </c>
      <c r="X320" s="26">
        <f>V320/O320</f>
        <v/>
      </c>
      <c r="Y320" s="26">
        <f>INDEX(Calib!$K$1:$K$13,$D320)+p_eta*MAX(0,X320-INDEX(Calib!$AA$1:$AA$13,$D320))</f>
        <v/>
      </c>
      <c r="Z320" s="26">
        <f>(1-INDEX(Calib!$H$1:$H$13,$D320))*(1-p_alpha)*M320+S320</f>
        <v/>
      </c>
      <c r="AA320" s="26">
        <f>(1-p_delta_g)*AA319*(1-p_eps_g*$E320)+INDEX(Calib!$E$1:$E$13,$D320)*(INDEX(Calib!$G$1:$G$13,$D320)+p_programme*$H320)</f>
        <v/>
      </c>
      <c r="AB320" s="26">
        <f>AB319*(1-p_eps_k*$E320)+p_lambda_k*(AD320-AB319*(1-p_eps_k*$E320))</f>
        <v/>
      </c>
      <c r="AC320" s="26">
        <f>INDEX(Calib!$R$1:$R$13,$D320)*$F320*(AA319*(1-p_eps_g*$E320))^INDEX(Calib!$Q$1:$Q$13,$D320)*(AB319*(1-p_eps_k*$E320))^p_alpha</f>
        <v/>
      </c>
      <c r="AD320" s="26">
        <f>p_alpha*(1-INDEX(Calib!$H$1:$H$13,$D320))*AC320/(INDEX(Calib!$K$1:$K$13,$D320)+p_delta)</f>
        <v/>
      </c>
      <c r="AE320" s="26">
        <f>AC320+$G320</f>
        <v/>
      </c>
      <c r="AF320" s="26">
        <f>p_programme*($H320+$I320)</f>
        <v/>
      </c>
      <c r="AG320" s="26">
        <f>INDEX(Calib!$I$1:$I$13,$D320)+p_sh_grant*AF320</f>
        <v/>
      </c>
      <c r="AH320" s="26">
        <f>INDEX(Calib!$H$1:$H$13,$D320)*AC320+p_gov_take*$G320+AG320+p_programme*p_pricing*$J320</f>
        <v/>
      </c>
      <c r="AI320" s="26">
        <f>INDEX(Calib!$Y$1:$Y$13,$D320)-INDEX(Calib!$Z$1:$Z$13,$D320)*(AL319/AE319-INDEX(Calib!$AA$1:$AA$13,$D320))</f>
        <v/>
      </c>
      <c r="AJ320" s="26">
        <f>INDEX(Calib!$X$1:$X$13,$D320)+INDEX(Calib!$G$1:$G$13,$D320)+AF320+AI320-AH320</f>
        <v/>
      </c>
      <c r="AK320" s="26">
        <f>p_rk*AM319+AO319*(AL319-AM319)</f>
        <v/>
      </c>
      <c r="AL320" s="26">
        <f>AL319+AK320+AJ320</f>
        <v/>
      </c>
      <c r="AM320" s="26">
        <f>INDEX(Calib!$U$1:$U$13,$D320)+(AM319-INDEX(Calib!$U$1:$U$13,$D320))*(1-p_amort)+p_sh_conc*AF320</f>
        <v/>
      </c>
      <c r="AN320" s="26">
        <f>AL320/AE320</f>
        <v/>
      </c>
      <c r="AO320" s="26">
        <f>INDEX(Calib!$K$1:$K$13,$D320)+p_eta*MAX(0,AN320-INDEX(Calib!$AA$1:$AA$13,$D320))</f>
        <v/>
      </c>
      <c r="AP320" s="26">
        <f>(1-INDEX(Calib!$H$1:$H$13,$D320))*(1-p_alpha)*AC320+AI320</f>
        <v/>
      </c>
      <c r="AQ320" s="26">
        <f>(AE320/O320-1)*100</f>
        <v/>
      </c>
      <c r="AR320" s="26">
        <f>(AE320/AE299-1)*100</f>
        <v/>
      </c>
      <c r="AS320" s="26">
        <f>(O320/O299-1)*100</f>
        <v/>
      </c>
      <c r="AT320" s="26">
        <f>(AN320-X320)*100</f>
        <v/>
      </c>
      <c r="AU320" s="26">
        <f>(AP320/Z320-1)*100</f>
        <v/>
      </c>
      <c r="AV320" s="26">
        <f>(AI320-S320)*100</f>
        <v/>
      </c>
    </row>
    <row r="321">
      <c r="A321" s="25" t="inlineStr">
        <is>
          <t>TCD</t>
        </is>
      </c>
      <c r="B321" s="25" t="n">
        <v>2046</v>
      </c>
      <c r="C321" s="25" t="n">
        <v>22</v>
      </c>
      <c r="D321" s="25" t="n">
        <v>13</v>
      </c>
      <c r="E321" s="25">
        <f>IF(AND(p_dis_year&gt;0,B321=p_dis_year),1,0)</f>
        <v/>
      </c>
      <c r="F321" s="26">
        <f>IF(AND(p_dis_year&gt;0,B321&gt;=p_dis_year),1-p_eps_a*p_rho_a^(B321-p_dis_year),1)</f>
        <v/>
      </c>
      <c r="G321" s="26">
        <f>INDEX(Calib!$N$1:$N$13,$D321)*(1-p_rent_decline*MIN(1,C321/26))</f>
        <v/>
      </c>
      <c r="H321" s="26">
        <f>IF(C321=0,0,SUMIFS(dl_val,dl_iso,$A321,dl_ind,"pub_cap",dl_year,$B321)/100)</f>
        <v/>
      </c>
      <c r="I321" s="26">
        <f>IF(C321=0,0,SUMIFS(dl_val,dl_iso,$A321,dl_ind,"pub_spend",dl_year,$B321)/100)</f>
        <v/>
      </c>
      <c r="J321" s="26">
        <f>IF(C321=0,0,SUMIFS(dl_val,dl_iso,$A321,dl_ind,"rev",dl_year,$B321)/100)</f>
        <v/>
      </c>
      <c r="K321" s="26">
        <f>(1-p_delta_g)*K320*(1-p_eps_g*$E321)+INDEX(Calib!$E$1:$E$13,$D321)*(INDEX(Calib!$G$1:$G$13,$D321)+0*$H321)</f>
        <v/>
      </c>
      <c r="L321" s="26">
        <f>L320*(1-p_eps_k*$E321)+p_lambda_k*(N321-L320*(1-p_eps_k*$E321))</f>
        <v/>
      </c>
      <c r="M321" s="26">
        <f>INDEX(Calib!$R$1:$R$13,$D321)*$F321*(K320*(1-p_eps_g*$E321))^INDEX(Calib!$Q$1:$Q$13,$D321)*(L320*(1-p_eps_k*$E321))^p_alpha</f>
        <v/>
      </c>
      <c r="N321" s="26">
        <f>p_alpha*(1-INDEX(Calib!$H$1:$H$13,$D321))*M321/(INDEX(Calib!$K$1:$K$13,$D321)+p_delta)</f>
        <v/>
      </c>
      <c r="O321" s="26">
        <f>M321+$G321</f>
        <v/>
      </c>
      <c r="P321" s="26">
        <f>0*($H321+$I321)</f>
        <v/>
      </c>
      <c r="Q321" s="26">
        <f>INDEX(Calib!$I$1:$I$13,$D321)+p_sh_grant*P321</f>
        <v/>
      </c>
      <c r="R321" s="26">
        <f>INDEX(Calib!$H$1:$H$13,$D321)*M321+p_gov_take*$G321+Q321+0*p_pricing*$J321</f>
        <v/>
      </c>
      <c r="S321" s="26">
        <f>INDEX(Calib!$Y$1:$Y$13,$D321)-INDEX(Calib!$Z$1:$Z$13,$D321)*(V320/O320-INDEX(Calib!$AA$1:$AA$13,$D321))</f>
        <v/>
      </c>
      <c r="T321" s="26">
        <f>INDEX(Calib!$X$1:$X$13,$D321)+INDEX(Calib!$G$1:$G$13,$D321)+P321+S321-R321</f>
        <v/>
      </c>
      <c r="U321" s="26">
        <f>p_rk*W320+Y320*(V320-W320)</f>
        <v/>
      </c>
      <c r="V321" s="26">
        <f>V320+U321+T321</f>
        <v/>
      </c>
      <c r="W321" s="26">
        <f>INDEX(Calib!$U$1:$U$13,$D321)+(W320-INDEX(Calib!$U$1:$U$13,$D321))*(1-p_amort)+p_sh_conc*P321</f>
        <v/>
      </c>
      <c r="X321" s="26">
        <f>V321/O321</f>
        <v/>
      </c>
      <c r="Y321" s="26">
        <f>INDEX(Calib!$K$1:$K$13,$D321)+p_eta*MAX(0,X321-INDEX(Calib!$AA$1:$AA$13,$D321))</f>
        <v/>
      </c>
      <c r="Z321" s="26">
        <f>(1-INDEX(Calib!$H$1:$H$13,$D321))*(1-p_alpha)*M321+S321</f>
        <v/>
      </c>
      <c r="AA321" s="26">
        <f>(1-p_delta_g)*AA320*(1-p_eps_g*$E321)+INDEX(Calib!$E$1:$E$13,$D321)*(INDEX(Calib!$G$1:$G$13,$D321)+p_programme*$H321)</f>
        <v/>
      </c>
      <c r="AB321" s="26">
        <f>AB320*(1-p_eps_k*$E321)+p_lambda_k*(AD321-AB320*(1-p_eps_k*$E321))</f>
        <v/>
      </c>
      <c r="AC321" s="26">
        <f>INDEX(Calib!$R$1:$R$13,$D321)*$F321*(AA320*(1-p_eps_g*$E321))^INDEX(Calib!$Q$1:$Q$13,$D321)*(AB320*(1-p_eps_k*$E321))^p_alpha</f>
        <v/>
      </c>
      <c r="AD321" s="26">
        <f>p_alpha*(1-INDEX(Calib!$H$1:$H$13,$D321))*AC321/(INDEX(Calib!$K$1:$K$13,$D321)+p_delta)</f>
        <v/>
      </c>
      <c r="AE321" s="26">
        <f>AC321+$G321</f>
        <v/>
      </c>
      <c r="AF321" s="26">
        <f>p_programme*($H321+$I321)</f>
        <v/>
      </c>
      <c r="AG321" s="26">
        <f>INDEX(Calib!$I$1:$I$13,$D321)+p_sh_grant*AF321</f>
        <v/>
      </c>
      <c r="AH321" s="26">
        <f>INDEX(Calib!$H$1:$H$13,$D321)*AC321+p_gov_take*$G321+AG321+p_programme*p_pricing*$J321</f>
        <v/>
      </c>
      <c r="AI321" s="26">
        <f>INDEX(Calib!$Y$1:$Y$13,$D321)-INDEX(Calib!$Z$1:$Z$13,$D321)*(AL320/AE320-INDEX(Calib!$AA$1:$AA$13,$D321))</f>
        <v/>
      </c>
      <c r="AJ321" s="26">
        <f>INDEX(Calib!$X$1:$X$13,$D321)+INDEX(Calib!$G$1:$G$13,$D321)+AF321+AI321-AH321</f>
        <v/>
      </c>
      <c r="AK321" s="26">
        <f>p_rk*AM320+AO320*(AL320-AM320)</f>
        <v/>
      </c>
      <c r="AL321" s="26">
        <f>AL320+AK321+AJ321</f>
        <v/>
      </c>
      <c r="AM321" s="26">
        <f>INDEX(Calib!$U$1:$U$13,$D321)+(AM320-INDEX(Calib!$U$1:$U$13,$D321))*(1-p_amort)+p_sh_conc*AF321</f>
        <v/>
      </c>
      <c r="AN321" s="26">
        <f>AL321/AE321</f>
        <v/>
      </c>
      <c r="AO321" s="26">
        <f>INDEX(Calib!$K$1:$K$13,$D321)+p_eta*MAX(0,AN321-INDEX(Calib!$AA$1:$AA$13,$D321))</f>
        <v/>
      </c>
      <c r="AP321" s="26">
        <f>(1-INDEX(Calib!$H$1:$H$13,$D321))*(1-p_alpha)*AC321+AI321</f>
        <v/>
      </c>
      <c r="AQ321" s="26">
        <f>(AE321/O321-1)*100</f>
        <v/>
      </c>
      <c r="AR321" s="26">
        <f>(AE321/AE299-1)*100</f>
        <v/>
      </c>
      <c r="AS321" s="26">
        <f>(O321/O299-1)*100</f>
        <v/>
      </c>
      <c r="AT321" s="26">
        <f>(AN321-X321)*100</f>
        <v/>
      </c>
      <c r="AU321" s="26">
        <f>(AP321/Z321-1)*100</f>
        <v/>
      </c>
      <c r="AV321" s="26">
        <f>(AI321-S321)*100</f>
        <v/>
      </c>
    </row>
    <row r="322">
      <c r="A322" s="25" t="inlineStr">
        <is>
          <t>TCD</t>
        </is>
      </c>
      <c r="B322" s="25" t="n">
        <v>2047</v>
      </c>
      <c r="C322" s="25" t="n">
        <v>23</v>
      </c>
      <c r="D322" s="25" t="n">
        <v>13</v>
      </c>
      <c r="E322" s="25">
        <f>IF(AND(p_dis_year&gt;0,B322=p_dis_year),1,0)</f>
        <v/>
      </c>
      <c r="F322" s="26">
        <f>IF(AND(p_dis_year&gt;0,B322&gt;=p_dis_year),1-p_eps_a*p_rho_a^(B322-p_dis_year),1)</f>
        <v/>
      </c>
      <c r="G322" s="26">
        <f>INDEX(Calib!$N$1:$N$13,$D322)*(1-p_rent_decline*MIN(1,C322/26))</f>
        <v/>
      </c>
      <c r="H322" s="26">
        <f>IF(C322=0,0,SUMIFS(dl_val,dl_iso,$A322,dl_ind,"pub_cap",dl_year,$B322)/100)</f>
        <v/>
      </c>
      <c r="I322" s="26">
        <f>IF(C322=0,0,SUMIFS(dl_val,dl_iso,$A322,dl_ind,"pub_spend",dl_year,$B322)/100)</f>
        <v/>
      </c>
      <c r="J322" s="26">
        <f>IF(C322=0,0,SUMIFS(dl_val,dl_iso,$A322,dl_ind,"rev",dl_year,$B322)/100)</f>
        <v/>
      </c>
      <c r="K322" s="26">
        <f>(1-p_delta_g)*K321*(1-p_eps_g*$E322)+INDEX(Calib!$E$1:$E$13,$D322)*(INDEX(Calib!$G$1:$G$13,$D322)+0*$H322)</f>
        <v/>
      </c>
      <c r="L322" s="26">
        <f>L321*(1-p_eps_k*$E322)+p_lambda_k*(N322-L321*(1-p_eps_k*$E322))</f>
        <v/>
      </c>
      <c r="M322" s="26">
        <f>INDEX(Calib!$R$1:$R$13,$D322)*$F322*(K321*(1-p_eps_g*$E322))^INDEX(Calib!$Q$1:$Q$13,$D322)*(L321*(1-p_eps_k*$E322))^p_alpha</f>
        <v/>
      </c>
      <c r="N322" s="26">
        <f>p_alpha*(1-INDEX(Calib!$H$1:$H$13,$D322))*M322/(INDEX(Calib!$K$1:$K$13,$D322)+p_delta)</f>
        <v/>
      </c>
      <c r="O322" s="26">
        <f>M322+$G322</f>
        <v/>
      </c>
      <c r="P322" s="26">
        <f>0*($H322+$I322)</f>
        <v/>
      </c>
      <c r="Q322" s="26">
        <f>INDEX(Calib!$I$1:$I$13,$D322)+p_sh_grant*P322</f>
        <v/>
      </c>
      <c r="R322" s="26">
        <f>INDEX(Calib!$H$1:$H$13,$D322)*M322+p_gov_take*$G322+Q322+0*p_pricing*$J322</f>
        <v/>
      </c>
      <c r="S322" s="26">
        <f>INDEX(Calib!$Y$1:$Y$13,$D322)-INDEX(Calib!$Z$1:$Z$13,$D322)*(V321/O321-INDEX(Calib!$AA$1:$AA$13,$D322))</f>
        <v/>
      </c>
      <c r="T322" s="26">
        <f>INDEX(Calib!$X$1:$X$13,$D322)+INDEX(Calib!$G$1:$G$13,$D322)+P322+S322-R322</f>
        <v/>
      </c>
      <c r="U322" s="26">
        <f>p_rk*W321+Y321*(V321-W321)</f>
        <v/>
      </c>
      <c r="V322" s="26">
        <f>V321+U322+T322</f>
        <v/>
      </c>
      <c r="W322" s="26">
        <f>INDEX(Calib!$U$1:$U$13,$D322)+(W321-INDEX(Calib!$U$1:$U$13,$D322))*(1-p_amort)+p_sh_conc*P322</f>
        <v/>
      </c>
      <c r="X322" s="26">
        <f>V322/O322</f>
        <v/>
      </c>
      <c r="Y322" s="26">
        <f>INDEX(Calib!$K$1:$K$13,$D322)+p_eta*MAX(0,X322-INDEX(Calib!$AA$1:$AA$13,$D322))</f>
        <v/>
      </c>
      <c r="Z322" s="26">
        <f>(1-INDEX(Calib!$H$1:$H$13,$D322))*(1-p_alpha)*M322+S322</f>
        <v/>
      </c>
      <c r="AA322" s="26">
        <f>(1-p_delta_g)*AA321*(1-p_eps_g*$E322)+INDEX(Calib!$E$1:$E$13,$D322)*(INDEX(Calib!$G$1:$G$13,$D322)+p_programme*$H322)</f>
        <v/>
      </c>
      <c r="AB322" s="26">
        <f>AB321*(1-p_eps_k*$E322)+p_lambda_k*(AD322-AB321*(1-p_eps_k*$E322))</f>
        <v/>
      </c>
      <c r="AC322" s="26">
        <f>INDEX(Calib!$R$1:$R$13,$D322)*$F322*(AA321*(1-p_eps_g*$E322))^INDEX(Calib!$Q$1:$Q$13,$D322)*(AB321*(1-p_eps_k*$E322))^p_alpha</f>
        <v/>
      </c>
      <c r="AD322" s="26">
        <f>p_alpha*(1-INDEX(Calib!$H$1:$H$13,$D322))*AC322/(INDEX(Calib!$K$1:$K$13,$D322)+p_delta)</f>
        <v/>
      </c>
      <c r="AE322" s="26">
        <f>AC322+$G322</f>
        <v/>
      </c>
      <c r="AF322" s="26">
        <f>p_programme*($H322+$I322)</f>
        <v/>
      </c>
      <c r="AG322" s="26">
        <f>INDEX(Calib!$I$1:$I$13,$D322)+p_sh_grant*AF322</f>
        <v/>
      </c>
      <c r="AH322" s="26">
        <f>INDEX(Calib!$H$1:$H$13,$D322)*AC322+p_gov_take*$G322+AG322+p_programme*p_pricing*$J322</f>
        <v/>
      </c>
      <c r="AI322" s="26">
        <f>INDEX(Calib!$Y$1:$Y$13,$D322)-INDEX(Calib!$Z$1:$Z$13,$D322)*(AL321/AE321-INDEX(Calib!$AA$1:$AA$13,$D322))</f>
        <v/>
      </c>
      <c r="AJ322" s="26">
        <f>INDEX(Calib!$X$1:$X$13,$D322)+INDEX(Calib!$G$1:$G$13,$D322)+AF322+AI322-AH322</f>
        <v/>
      </c>
      <c r="AK322" s="26">
        <f>p_rk*AM321+AO321*(AL321-AM321)</f>
        <v/>
      </c>
      <c r="AL322" s="26">
        <f>AL321+AK322+AJ322</f>
        <v/>
      </c>
      <c r="AM322" s="26">
        <f>INDEX(Calib!$U$1:$U$13,$D322)+(AM321-INDEX(Calib!$U$1:$U$13,$D322))*(1-p_amort)+p_sh_conc*AF322</f>
        <v/>
      </c>
      <c r="AN322" s="26">
        <f>AL322/AE322</f>
        <v/>
      </c>
      <c r="AO322" s="26">
        <f>INDEX(Calib!$K$1:$K$13,$D322)+p_eta*MAX(0,AN322-INDEX(Calib!$AA$1:$AA$13,$D322))</f>
        <v/>
      </c>
      <c r="AP322" s="26">
        <f>(1-INDEX(Calib!$H$1:$H$13,$D322))*(1-p_alpha)*AC322+AI322</f>
        <v/>
      </c>
      <c r="AQ322" s="26">
        <f>(AE322/O322-1)*100</f>
        <v/>
      </c>
      <c r="AR322" s="26">
        <f>(AE322/AE299-1)*100</f>
        <v/>
      </c>
      <c r="AS322" s="26">
        <f>(O322/O299-1)*100</f>
        <v/>
      </c>
      <c r="AT322" s="26">
        <f>(AN322-X322)*100</f>
        <v/>
      </c>
      <c r="AU322" s="26">
        <f>(AP322/Z322-1)*100</f>
        <v/>
      </c>
      <c r="AV322" s="26">
        <f>(AI322-S322)*100</f>
        <v/>
      </c>
    </row>
    <row r="323">
      <c r="A323" s="25" t="inlineStr">
        <is>
          <t>TCD</t>
        </is>
      </c>
      <c r="B323" s="25" t="n">
        <v>2048</v>
      </c>
      <c r="C323" s="25" t="n">
        <v>24</v>
      </c>
      <c r="D323" s="25" t="n">
        <v>13</v>
      </c>
      <c r="E323" s="25">
        <f>IF(AND(p_dis_year&gt;0,B323=p_dis_year),1,0)</f>
        <v/>
      </c>
      <c r="F323" s="26">
        <f>IF(AND(p_dis_year&gt;0,B323&gt;=p_dis_year),1-p_eps_a*p_rho_a^(B323-p_dis_year),1)</f>
        <v/>
      </c>
      <c r="G323" s="26">
        <f>INDEX(Calib!$N$1:$N$13,$D323)*(1-p_rent_decline*MIN(1,C323/26))</f>
        <v/>
      </c>
      <c r="H323" s="26">
        <f>IF(C323=0,0,SUMIFS(dl_val,dl_iso,$A323,dl_ind,"pub_cap",dl_year,$B323)/100)</f>
        <v/>
      </c>
      <c r="I323" s="26">
        <f>IF(C323=0,0,SUMIFS(dl_val,dl_iso,$A323,dl_ind,"pub_spend",dl_year,$B323)/100)</f>
        <v/>
      </c>
      <c r="J323" s="26">
        <f>IF(C323=0,0,SUMIFS(dl_val,dl_iso,$A323,dl_ind,"rev",dl_year,$B323)/100)</f>
        <v/>
      </c>
      <c r="K323" s="26">
        <f>(1-p_delta_g)*K322*(1-p_eps_g*$E323)+INDEX(Calib!$E$1:$E$13,$D323)*(INDEX(Calib!$G$1:$G$13,$D323)+0*$H323)</f>
        <v/>
      </c>
      <c r="L323" s="26">
        <f>L322*(1-p_eps_k*$E323)+p_lambda_k*(N323-L322*(1-p_eps_k*$E323))</f>
        <v/>
      </c>
      <c r="M323" s="26">
        <f>INDEX(Calib!$R$1:$R$13,$D323)*$F323*(K322*(1-p_eps_g*$E323))^INDEX(Calib!$Q$1:$Q$13,$D323)*(L322*(1-p_eps_k*$E323))^p_alpha</f>
        <v/>
      </c>
      <c r="N323" s="26">
        <f>p_alpha*(1-INDEX(Calib!$H$1:$H$13,$D323))*M323/(INDEX(Calib!$K$1:$K$13,$D323)+p_delta)</f>
        <v/>
      </c>
      <c r="O323" s="26">
        <f>M323+$G323</f>
        <v/>
      </c>
      <c r="P323" s="26">
        <f>0*($H323+$I323)</f>
        <v/>
      </c>
      <c r="Q323" s="26">
        <f>INDEX(Calib!$I$1:$I$13,$D323)+p_sh_grant*P323</f>
        <v/>
      </c>
      <c r="R323" s="26">
        <f>INDEX(Calib!$H$1:$H$13,$D323)*M323+p_gov_take*$G323+Q323+0*p_pricing*$J323</f>
        <v/>
      </c>
      <c r="S323" s="26">
        <f>INDEX(Calib!$Y$1:$Y$13,$D323)-INDEX(Calib!$Z$1:$Z$13,$D323)*(V322/O322-INDEX(Calib!$AA$1:$AA$13,$D323))</f>
        <v/>
      </c>
      <c r="T323" s="26">
        <f>INDEX(Calib!$X$1:$X$13,$D323)+INDEX(Calib!$G$1:$G$13,$D323)+P323+S323-R323</f>
        <v/>
      </c>
      <c r="U323" s="26">
        <f>p_rk*W322+Y322*(V322-W322)</f>
        <v/>
      </c>
      <c r="V323" s="26">
        <f>V322+U323+T323</f>
        <v/>
      </c>
      <c r="W323" s="26">
        <f>INDEX(Calib!$U$1:$U$13,$D323)+(W322-INDEX(Calib!$U$1:$U$13,$D323))*(1-p_amort)+p_sh_conc*P323</f>
        <v/>
      </c>
      <c r="X323" s="26">
        <f>V323/O323</f>
        <v/>
      </c>
      <c r="Y323" s="26">
        <f>INDEX(Calib!$K$1:$K$13,$D323)+p_eta*MAX(0,X323-INDEX(Calib!$AA$1:$AA$13,$D323))</f>
        <v/>
      </c>
      <c r="Z323" s="26">
        <f>(1-INDEX(Calib!$H$1:$H$13,$D323))*(1-p_alpha)*M323+S323</f>
        <v/>
      </c>
      <c r="AA323" s="26">
        <f>(1-p_delta_g)*AA322*(1-p_eps_g*$E323)+INDEX(Calib!$E$1:$E$13,$D323)*(INDEX(Calib!$G$1:$G$13,$D323)+p_programme*$H323)</f>
        <v/>
      </c>
      <c r="AB323" s="26">
        <f>AB322*(1-p_eps_k*$E323)+p_lambda_k*(AD323-AB322*(1-p_eps_k*$E323))</f>
        <v/>
      </c>
      <c r="AC323" s="26">
        <f>INDEX(Calib!$R$1:$R$13,$D323)*$F323*(AA322*(1-p_eps_g*$E323))^INDEX(Calib!$Q$1:$Q$13,$D323)*(AB322*(1-p_eps_k*$E323))^p_alpha</f>
        <v/>
      </c>
      <c r="AD323" s="26">
        <f>p_alpha*(1-INDEX(Calib!$H$1:$H$13,$D323))*AC323/(INDEX(Calib!$K$1:$K$13,$D323)+p_delta)</f>
        <v/>
      </c>
      <c r="AE323" s="26">
        <f>AC323+$G323</f>
        <v/>
      </c>
      <c r="AF323" s="26">
        <f>p_programme*($H323+$I323)</f>
        <v/>
      </c>
      <c r="AG323" s="26">
        <f>INDEX(Calib!$I$1:$I$13,$D323)+p_sh_grant*AF323</f>
        <v/>
      </c>
      <c r="AH323" s="26">
        <f>INDEX(Calib!$H$1:$H$13,$D323)*AC323+p_gov_take*$G323+AG323+p_programme*p_pricing*$J323</f>
        <v/>
      </c>
      <c r="AI323" s="26">
        <f>INDEX(Calib!$Y$1:$Y$13,$D323)-INDEX(Calib!$Z$1:$Z$13,$D323)*(AL322/AE322-INDEX(Calib!$AA$1:$AA$13,$D323))</f>
        <v/>
      </c>
      <c r="AJ323" s="26">
        <f>INDEX(Calib!$X$1:$X$13,$D323)+INDEX(Calib!$G$1:$G$13,$D323)+AF323+AI323-AH323</f>
        <v/>
      </c>
      <c r="AK323" s="26">
        <f>p_rk*AM322+AO322*(AL322-AM322)</f>
        <v/>
      </c>
      <c r="AL323" s="26">
        <f>AL322+AK323+AJ323</f>
        <v/>
      </c>
      <c r="AM323" s="26">
        <f>INDEX(Calib!$U$1:$U$13,$D323)+(AM322-INDEX(Calib!$U$1:$U$13,$D323))*(1-p_amort)+p_sh_conc*AF323</f>
        <v/>
      </c>
      <c r="AN323" s="26">
        <f>AL323/AE323</f>
        <v/>
      </c>
      <c r="AO323" s="26">
        <f>INDEX(Calib!$K$1:$K$13,$D323)+p_eta*MAX(0,AN323-INDEX(Calib!$AA$1:$AA$13,$D323))</f>
        <v/>
      </c>
      <c r="AP323" s="26">
        <f>(1-INDEX(Calib!$H$1:$H$13,$D323))*(1-p_alpha)*AC323+AI323</f>
        <v/>
      </c>
      <c r="AQ323" s="26">
        <f>(AE323/O323-1)*100</f>
        <v/>
      </c>
      <c r="AR323" s="26">
        <f>(AE323/AE299-1)*100</f>
        <v/>
      </c>
      <c r="AS323" s="26">
        <f>(O323/O299-1)*100</f>
        <v/>
      </c>
      <c r="AT323" s="26">
        <f>(AN323-X323)*100</f>
        <v/>
      </c>
      <c r="AU323" s="26">
        <f>(AP323/Z323-1)*100</f>
        <v/>
      </c>
      <c r="AV323" s="26">
        <f>(AI323-S323)*100</f>
        <v/>
      </c>
    </row>
    <row r="324">
      <c r="A324" s="25" t="inlineStr">
        <is>
          <t>TCD</t>
        </is>
      </c>
      <c r="B324" s="25" t="n">
        <v>2049</v>
      </c>
      <c r="C324" s="25" t="n">
        <v>25</v>
      </c>
      <c r="D324" s="25" t="n">
        <v>13</v>
      </c>
      <c r="E324" s="25">
        <f>IF(AND(p_dis_year&gt;0,B324=p_dis_year),1,0)</f>
        <v/>
      </c>
      <c r="F324" s="26">
        <f>IF(AND(p_dis_year&gt;0,B324&gt;=p_dis_year),1-p_eps_a*p_rho_a^(B324-p_dis_year),1)</f>
        <v/>
      </c>
      <c r="G324" s="26">
        <f>INDEX(Calib!$N$1:$N$13,$D324)*(1-p_rent_decline*MIN(1,C324/26))</f>
        <v/>
      </c>
      <c r="H324" s="26">
        <f>IF(C324=0,0,SUMIFS(dl_val,dl_iso,$A324,dl_ind,"pub_cap",dl_year,$B324)/100)</f>
        <v/>
      </c>
      <c r="I324" s="26">
        <f>IF(C324=0,0,SUMIFS(dl_val,dl_iso,$A324,dl_ind,"pub_spend",dl_year,$B324)/100)</f>
        <v/>
      </c>
      <c r="J324" s="26">
        <f>IF(C324=0,0,SUMIFS(dl_val,dl_iso,$A324,dl_ind,"rev",dl_year,$B324)/100)</f>
        <v/>
      </c>
      <c r="K324" s="26">
        <f>(1-p_delta_g)*K323*(1-p_eps_g*$E324)+INDEX(Calib!$E$1:$E$13,$D324)*(INDEX(Calib!$G$1:$G$13,$D324)+0*$H324)</f>
        <v/>
      </c>
      <c r="L324" s="26">
        <f>L323*(1-p_eps_k*$E324)+p_lambda_k*(N324-L323*(1-p_eps_k*$E324))</f>
        <v/>
      </c>
      <c r="M324" s="26">
        <f>INDEX(Calib!$R$1:$R$13,$D324)*$F324*(K323*(1-p_eps_g*$E324))^INDEX(Calib!$Q$1:$Q$13,$D324)*(L323*(1-p_eps_k*$E324))^p_alpha</f>
        <v/>
      </c>
      <c r="N324" s="26">
        <f>p_alpha*(1-INDEX(Calib!$H$1:$H$13,$D324))*M324/(INDEX(Calib!$K$1:$K$13,$D324)+p_delta)</f>
        <v/>
      </c>
      <c r="O324" s="26">
        <f>M324+$G324</f>
        <v/>
      </c>
      <c r="P324" s="26">
        <f>0*($H324+$I324)</f>
        <v/>
      </c>
      <c r="Q324" s="26">
        <f>INDEX(Calib!$I$1:$I$13,$D324)+p_sh_grant*P324</f>
        <v/>
      </c>
      <c r="R324" s="26">
        <f>INDEX(Calib!$H$1:$H$13,$D324)*M324+p_gov_take*$G324+Q324+0*p_pricing*$J324</f>
        <v/>
      </c>
      <c r="S324" s="26">
        <f>INDEX(Calib!$Y$1:$Y$13,$D324)-INDEX(Calib!$Z$1:$Z$13,$D324)*(V323/O323-INDEX(Calib!$AA$1:$AA$13,$D324))</f>
        <v/>
      </c>
      <c r="T324" s="26">
        <f>INDEX(Calib!$X$1:$X$13,$D324)+INDEX(Calib!$G$1:$G$13,$D324)+P324+S324-R324</f>
        <v/>
      </c>
      <c r="U324" s="26">
        <f>p_rk*W323+Y323*(V323-W323)</f>
        <v/>
      </c>
      <c r="V324" s="26">
        <f>V323+U324+T324</f>
        <v/>
      </c>
      <c r="W324" s="26">
        <f>INDEX(Calib!$U$1:$U$13,$D324)+(W323-INDEX(Calib!$U$1:$U$13,$D324))*(1-p_amort)+p_sh_conc*P324</f>
        <v/>
      </c>
      <c r="X324" s="26">
        <f>V324/O324</f>
        <v/>
      </c>
      <c r="Y324" s="26">
        <f>INDEX(Calib!$K$1:$K$13,$D324)+p_eta*MAX(0,X324-INDEX(Calib!$AA$1:$AA$13,$D324))</f>
        <v/>
      </c>
      <c r="Z324" s="26">
        <f>(1-INDEX(Calib!$H$1:$H$13,$D324))*(1-p_alpha)*M324+S324</f>
        <v/>
      </c>
      <c r="AA324" s="26">
        <f>(1-p_delta_g)*AA323*(1-p_eps_g*$E324)+INDEX(Calib!$E$1:$E$13,$D324)*(INDEX(Calib!$G$1:$G$13,$D324)+p_programme*$H324)</f>
        <v/>
      </c>
      <c r="AB324" s="26">
        <f>AB323*(1-p_eps_k*$E324)+p_lambda_k*(AD324-AB323*(1-p_eps_k*$E324))</f>
        <v/>
      </c>
      <c r="AC324" s="26">
        <f>INDEX(Calib!$R$1:$R$13,$D324)*$F324*(AA323*(1-p_eps_g*$E324))^INDEX(Calib!$Q$1:$Q$13,$D324)*(AB323*(1-p_eps_k*$E324))^p_alpha</f>
        <v/>
      </c>
      <c r="AD324" s="26">
        <f>p_alpha*(1-INDEX(Calib!$H$1:$H$13,$D324))*AC324/(INDEX(Calib!$K$1:$K$13,$D324)+p_delta)</f>
        <v/>
      </c>
      <c r="AE324" s="26">
        <f>AC324+$G324</f>
        <v/>
      </c>
      <c r="AF324" s="26">
        <f>p_programme*($H324+$I324)</f>
        <v/>
      </c>
      <c r="AG324" s="26">
        <f>INDEX(Calib!$I$1:$I$13,$D324)+p_sh_grant*AF324</f>
        <v/>
      </c>
      <c r="AH324" s="26">
        <f>INDEX(Calib!$H$1:$H$13,$D324)*AC324+p_gov_take*$G324+AG324+p_programme*p_pricing*$J324</f>
        <v/>
      </c>
      <c r="AI324" s="26">
        <f>INDEX(Calib!$Y$1:$Y$13,$D324)-INDEX(Calib!$Z$1:$Z$13,$D324)*(AL323/AE323-INDEX(Calib!$AA$1:$AA$13,$D324))</f>
        <v/>
      </c>
      <c r="AJ324" s="26">
        <f>INDEX(Calib!$X$1:$X$13,$D324)+INDEX(Calib!$G$1:$G$13,$D324)+AF324+AI324-AH324</f>
        <v/>
      </c>
      <c r="AK324" s="26">
        <f>p_rk*AM323+AO323*(AL323-AM323)</f>
        <v/>
      </c>
      <c r="AL324" s="26">
        <f>AL323+AK324+AJ324</f>
        <v/>
      </c>
      <c r="AM324" s="26">
        <f>INDEX(Calib!$U$1:$U$13,$D324)+(AM323-INDEX(Calib!$U$1:$U$13,$D324))*(1-p_amort)+p_sh_conc*AF324</f>
        <v/>
      </c>
      <c r="AN324" s="26">
        <f>AL324/AE324</f>
        <v/>
      </c>
      <c r="AO324" s="26">
        <f>INDEX(Calib!$K$1:$K$13,$D324)+p_eta*MAX(0,AN324-INDEX(Calib!$AA$1:$AA$13,$D324))</f>
        <v/>
      </c>
      <c r="AP324" s="26">
        <f>(1-INDEX(Calib!$H$1:$H$13,$D324))*(1-p_alpha)*AC324+AI324</f>
        <v/>
      </c>
      <c r="AQ324" s="26">
        <f>(AE324/O324-1)*100</f>
        <v/>
      </c>
      <c r="AR324" s="26">
        <f>(AE324/AE299-1)*100</f>
        <v/>
      </c>
      <c r="AS324" s="26">
        <f>(O324/O299-1)*100</f>
        <v/>
      </c>
      <c r="AT324" s="26">
        <f>(AN324-X324)*100</f>
        <v/>
      </c>
      <c r="AU324" s="26">
        <f>(AP324/Z324-1)*100</f>
        <v/>
      </c>
      <c r="AV324" s="26">
        <f>(AI324-S324)*100</f>
        <v/>
      </c>
    </row>
    <row r="325">
      <c r="A325" s="25" t="inlineStr">
        <is>
          <t>TCD</t>
        </is>
      </c>
      <c r="B325" s="25" t="n">
        <v>2050</v>
      </c>
      <c r="C325" s="25" t="n">
        <v>26</v>
      </c>
      <c r="D325" s="25" t="n">
        <v>13</v>
      </c>
      <c r="E325" s="25">
        <f>IF(AND(p_dis_year&gt;0,B325=p_dis_year),1,0)</f>
        <v/>
      </c>
      <c r="F325" s="26">
        <f>IF(AND(p_dis_year&gt;0,B325&gt;=p_dis_year),1-p_eps_a*p_rho_a^(B325-p_dis_year),1)</f>
        <v/>
      </c>
      <c r="G325" s="26">
        <f>INDEX(Calib!$N$1:$N$13,$D325)*(1-p_rent_decline*MIN(1,C325/26))</f>
        <v/>
      </c>
      <c r="H325" s="26">
        <f>IF(C325=0,0,SUMIFS(dl_val,dl_iso,$A325,dl_ind,"pub_cap",dl_year,$B325)/100)</f>
        <v/>
      </c>
      <c r="I325" s="26">
        <f>IF(C325=0,0,SUMIFS(dl_val,dl_iso,$A325,dl_ind,"pub_spend",dl_year,$B325)/100)</f>
        <v/>
      </c>
      <c r="J325" s="26">
        <f>IF(C325=0,0,SUMIFS(dl_val,dl_iso,$A325,dl_ind,"rev",dl_year,$B325)/100)</f>
        <v/>
      </c>
      <c r="K325" s="26">
        <f>(1-p_delta_g)*K324*(1-p_eps_g*$E325)+INDEX(Calib!$E$1:$E$13,$D325)*(INDEX(Calib!$G$1:$G$13,$D325)+0*$H325)</f>
        <v/>
      </c>
      <c r="L325" s="26">
        <f>L324*(1-p_eps_k*$E325)+p_lambda_k*(N325-L324*(1-p_eps_k*$E325))</f>
        <v/>
      </c>
      <c r="M325" s="26">
        <f>INDEX(Calib!$R$1:$R$13,$D325)*$F325*(K324*(1-p_eps_g*$E325))^INDEX(Calib!$Q$1:$Q$13,$D325)*(L324*(1-p_eps_k*$E325))^p_alpha</f>
        <v/>
      </c>
      <c r="N325" s="26">
        <f>p_alpha*(1-INDEX(Calib!$H$1:$H$13,$D325))*M325/(INDEX(Calib!$K$1:$K$13,$D325)+p_delta)</f>
        <v/>
      </c>
      <c r="O325" s="26">
        <f>M325+$G325</f>
        <v/>
      </c>
      <c r="P325" s="26">
        <f>0*($H325+$I325)</f>
        <v/>
      </c>
      <c r="Q325" s="26">
        <f>INDEX(Calib!$I$1:$I$13,$D325)+p_sh_grant*P325</f>
        <v/>
      </c>
      <c r="R325" s="26">
        <f>INDEX(Calib!$H$1:$H$13,$D325)*M325+p_gov_take*$G325+Q325+0*p_pricing*$J325</f>
        <v/>
      </c>
      <c r="S325" s="26">
        <f>INDEX(Calib!$Y$1:$Y$13,$D325)-INDEX(Calib!$Z$1:$Z$13,$D325)*(V324/O324-INDEX(Calib!$AA$1:$AA$13,$D325))</f>
        <v/>
      </c>
      <c r="T325" s="26">
        <f>INDEX(Calib!$X$1:$X$13,$D325)+INDEX(Calib!$G$1:$G$13,$D325)+P325+S325-R325</f>
        <v/>
      </c>
      <c r="U325" s="26">
        <f>p_rk*W324+Y324*(V324-W324)</f>
        <v/>
      </c>
      <c r="V325" s="26">
        <f>V324+U325+T325</f>
        <v/>
      </c>
      <c r="W325" s="26">
        <f>INDEX(Calib!$U$1:$U$13,$D325)+(W324-INDEX(Calib!$U$1:$U$13,$D325))*(1-p_amort)+p_sh_conc*P325</f>
        <v/>
      </c>
      <c r="X325" s="26">
        <f>V325/O325</f>
        <v/>
      </c>
      <c r="Y325" s="26">
        <f>INDEX(Calib!$K$1:$K$13,$D325)+p_eta*MAX(0,X325-INDEX(Calib!$AA$1:$AA$13,$D325))</f>
        <v/>
      </c>
      <c r="Z325" s="26">
        <f>(1-INDEX(Calib!$H$1:$H$13,$D325))*(1-p_alpha)*M325+S325</f>
        <v/>
      </c>
      <c r="AA325" s="26">
        <f>(1-p_delta_g)*AA324*(1-p_eps_g*$E325)+INDEX(Calib!$E$1:$E$13,$D325)*(INDEX(Calib!$G$1:$G$13,$D325)+p_programme*$H325)</f>
        <v/>
      </c>
      <c r="AB325" s="26">
        <f>AB324*(1-p_eps_k*$E325)+p_lambda_k*(AD325-AB324*(1-p_eps_k*$E325))</f>
        <v/>
      </c>
      <c r="AC325" s="26">
        <f>INDEX(Calib!$R$1:$R$13,$D325)*$F325*(AA324*(1-p_eps_g*$E325))^INDEX(Calib!$Q$1:$Q$13,$D325)*(AB324*(1-p_eps_k*$E325))^p_alpha</f>
        <v/>
      </c>
      <c r="AD325" s="26">
        <f>p_alpha*(1-INDEX(Calib!$H$1:$H$13,$D325))*AC325/(INDEX(Calib!$K$1:$K$13,$D325)+p_delta)</f>
        <v/>
      </c>
      <c r="AE325" s="26">
        <f>AC325+$G325</f>
        <v/>
      </c>
      <c r="AF325" s="26">
        <f>p_programme*($H325+$I325)</f>
        <v/>
      </c>
      <c r="AG325" s="26">
        <f>INDEX(Calib!$I$1:$I$13,$D325)+p_sh_grant*AF325</f>
        <v/>
      </c>
      <c r="AH325" s="26">
        <f>INDEX(Calib!$H$1:$H$13,$D325)*AC325+p_gov_take*$G325+AG325+p_programme*p_pricing*$J325</f>
        <v/>
      </c>
      <c r="AI325" s="26">
        <f>INDEX(Calib!$Y$1:$Y$13,$D325)-INDEX(Calib!$Z$1:$Z$13,$D325)*(AL324/AE324-INDEX(Calib!$AA$1:$AA$13,$D325))</f>
        <v/>
      </c>
      <c r="AJ325" s="26">
        <f>INDEX(Calib!$X$1:$X$13,$D325)+INDEX(Calib!$G$1:$G$13,$D325)+AF325+AI325-AH325</f>
        <v/>
      </c>
      <c r="AK325" s="26">
        <f>p_rk*AM324+AO324*(AL324-AM324)</f>
        <v/>
      </c>
      <c r="AL325" s="26">
        <f>AL324+AK325+AJ325</f>
        <v/>
      </c>
      <c r="AM325" s="26">
        <f>INDEX(Calib!$U$1:$U$13,$D325)+(AM324-INDEX(Calib!$U$1:$U$13,$D325))*(1-p_amort)+p_sh_conc*AF325</f>
        <v/>
      </c>
      <c r="AN325" s="26">
        <f>AL325/AE325</f>
        <v/>
      </c>
      <c r="AO325" s="26">
        <f>INDEX(Calib!$K$1:$K$13,$D325)+p_eta*MAX(0,AN325-INDEX(Calib!$AA$1:$AA$13,$D325))</f>
        <v/>
      </c>
      <c r="AP325" s="26">
        <f>(1-INDEX(Calib!$H$1:$H$13,$D325))*(1-p_alpha)*AC325+AI325</f>
        <v/>
      </c>
      <c r="AQ325" s="26">
        <f>(AE325/O325-1)*100</f>
        <v/>
      </c>
      <c r="AR325" s="26">
        <f>(AE325/AE299-1)*100</f>
        <v/>
      </c>
      <c r="AS325" s="26">
        <f>(O325/O299-1)*100</f>
        <v/>
      </c>
      <c r="AT325" s="26">
        <f>(AN325-X325)*100</f>
        <v/>
      </c>
      <c r="AU325" s="26">
        <f>(AP325/Z325-1)*100</f>
        <v/>
      </c>
      <c r="AV325" s="26">
        <f>(AI325-S325)*100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7" customWidth="1" min="4" max="4"/>
    <col width="10" customWidth="1" min="5" max="5"/>
    <col width="30" customWidth="1" min="6" max="6"/>
  </cols>
  <sheetData>
    <row r="1">
      <c r="A1" s="16" t="inlineStr">
        <is>
          <t>iso3</t>
        </is>
      </c>
      <c r="B1" s="16" t="inlineStr">
        <is>
          <t>country</t>
        </is>
      </c>
      <c r="C1" s="16" t="inlineStr">
        <is>
          <t>indicator</t>
        </is>
      </c>
      <c r="D1" s="16" t="inlineStr">
        <is>
          <t>year</t>
        </is>
      </c>
      <c r="E1" s="16" t="inlineStr">
        <is>
          <t>value</t>
        </is>
      </c>
      <c r="F1" s="16" t="inlineStr">
        <is>
          <t>source</t>
        </is>
      </c>
    </row>
    <row r="2">
      <c r="A2" s="19" t="inlineStr">
        <is>
          <t>KEN</t>
        </is>
      </c>
      <c r="B2" s="19">
        <f>Calib!B2</f>
        <v/>
      </c>
      <c r="C2" s="19" t="inlineStr">
        <is>
          <t>dig.gdp_dev_programme_pct</t>
        </is>
      </c>
      <c r="D2" s="19" t="n">
        <v>2030</v>
      </c>
      <c r="E2" s="27">
        <f>Model!AQ8</f>
        <v/>
      </c>
      <c r="F2" s="19" t="inlineStr">
        <is>
          <t>DIGNAD-R Excel v0.1 (model output)</t>
        </is>
      </c>
    </row>
    <row r="3">
      <c r="A3" s="19" t="inlineStr">
        <is>
          <t>KEN</t>
        </is>
      </c>
      <c r="B3" s="19">
        <f>Calib!B2</f>
        <v/>
      </c>
      <c r="C3" s="19" t="inlineStr">
        <is>
          <t>dig.gdp_dev_programme_pct</t>
        </is>
      </c>
      <c r="D3" s="19" t="n">
        <v>2050</v>
      </c>
      <c r="E3" s="27">
        <f>Model!AQ28</f>
        <v/>
      </c>
      <c r="F3" s="19" t="inlineStr">
        <is>
          <t>DIGNAD-R Excel v0.1 (model output)</t>
        </is>
      </c>
    </row>
    <row r="4">
      <c r="A4" s="19" t="inlineStr">
        <is>
          <t>KEN</t>
        </is>
      </c>
      <c r="B4" s="19">
        <f>Calib!B2</f>
        <v/>
      </c>
      <c r="C4" s="19" t="inlineStr">
        <is>
          <t>dig.gdp_vs_2024_programme_pct</t>
        </is>
      </c>
      <c r="D4" s="19" t="n">
        <v>2050</v>
      </c>
      <c r="E4" s="27">
        <f>Model!AR28</f>
        <v/>
      </c>
      <c r="F4" s="19" t="inlineStr">
        <is>
          <t>DIGNAD-R Excel v0.1 (model output)</t>
        </is>
      </c>
    </row>
    <row r="5">
      <c r="A5" s="19" t="inlineStr">
        <is>
          <t>KEN</t>
        </is>
      </c>
      <c r="B5" s="19">
        <f>Calib!B2</f>
        <v/>
      </c>
      <c r="C5" s="19" t="inlineStr">
        <is>
          <t>dig.gdp_vs_2024_baseline_pct</t>
        </is>
      </c>
      <c r="D5" s="19" t="n">
        <v>2050</v>
      </c>
      <c r="E5" s="27">
        <f>Model!AS28</f>
        <v/>
      </c>
      <c r="F5" s="19" t="inlineStr">
        <is>
          <t>DIGNAD-R Excel v0.1 (model output)</t>
        </is>
      </c>
    </row>
    <row r="6">
      <c r="A6" s="19" t="inlineStr">
        <is>
          <t>KEN</t>
        </is>
      </c>
      <c r="B6" s="19">
        <f>Calib!B2</f>
        <v/>
      </c>
      <c r="C6" s="19" t="inlineStr">
        <is>
          <t>dig.debt_programme_pct_gdp</t>
        </is>
      </c>
      <c r="D6" s="19" t="n">
        <v>2030</v>
      </c>
      <c r="E6" s="27">
        <f>Model!AN8*100</f>
        <v/>
      </c>
      <c r="F6" s="19" t="inlineStr">
        <is>
          <t>DIGNAD-R Excel v0.1 (model output)</t>
        </is>
      </c>
    </row>
    <row r="7">
      <c r="A7" s="19" t="inlineStr">
        <is>
          <t>KEN</t>
        </is>
      </c>
      <c r="B7" s="19">
        <f>Calib!B2</f>
        <v/>
      </c>
      <c r="C7" s="19" t="inlineStr">
        <is>
          <t>dig.debt_programme_pct_gdp</t>
        </is>
      </c>
      <c r="D7" s="19" t="n">
        <v>2050</v>
      </c>
      <c r="E7" s="27">
        <f>Model!AN28*100</f>
        <v/>
      </c>
      <c r="F7" s="19" t="inlineStr">
        <is>
          <t>DIGNAD-R Excel v0.1 (model output)</t>
        </is>
      </c>
    </row>
    <row r="8">
      <c r="A8" s="19" t="inlineStr">
        <is>
          <t>KEN</t>
        </is>
      </c>
      <c r="B8" s="19">
        <f>Calib!B2</f>
        <v/>
      </c>
      <c r="C8" s="19" t="inlineStr">
        <is>
          <t>dig.debt_baseline_pct_gdp</t>
        </is>
      </c>
      <c r="D8" s="19" t="n">
        <v>2050</v>
      </c>
      <c r="E8" s="27">
        <f>Model!X28*100</f>
        <v/>
      </c>
      <c r="F8" s="19" t="inlineStr">
        <is>
          <t>DIGNAD-R Excel v0.1 (model output)</t>
        </is>
      </c>
    </row>
    <row r="9">
      <c r="A9" s="19" t="inlineStr">
        <is>
          <t>KEN</t>
        </is>
      </c>
      <c r="B9" s="19">
        <f>Calib!B2</f>
        <v/>
      </c>
      <c r="C9" s="19" t="inlineStr">
        <is>
          <t>dig.debt_due_to_programme_pp</t>
        </is>
      </c>
      <c r="D9" s="19" t="n">
        <v>2050</v>
      </c>
      <c r="E9" s="27">
        <f>Model!AT28</f>
        <v/>
      </c>
      <c r="F9" s="19" t="inlineStr">
        <is>
          <t>DIGNAD-R Excel v0.1 (model output)</t>
        </is>
      </c>
    </row>
    <row r="10">
      <c r="A10" s="19" t="inlineStr">
        <is>
          <t>KEN</t>
        </is>
      </c>
      <c r="B10" s="19">
        <f>Calib!B2</f>
        <v/>
      </c>
      <c r="C10" s="19" t="inlineStr">
        <is>
          <t>dig.htm_consumption_dev_programme_pct</t>
        </is>
      </c>
      <c r="D10" s="19" t="n">
        <v>2050</v>
      </c>
      <c r="E10" s="27">
        <f>Model!AU28</f>
        <v/>
      </c>
      <c r="F10" s="19" t="inlineStr">
        <is>
          <t>DIGNAD-R Excel v0.1 (model output)</t>
        </is>
      </c>
    </row>
    <row r="11">
      <c r="A11" s="19" t="inlineStr">
        <is>
          <t>KEN</t>
        </is>
      </c>
      <c r="B11" s="19">
        <f>Calib!B2</f>
        <v/>
      </c>
      <c r="C11" s="19" t="inlineStr">
        <is>
          <t>dig.transfers_change_pp_gdp</t>
        </is>
      </c>
      <c r="D11" s="19" t="n">
        <v>2050</v>
      </c>
      <c r="E11" s="27">
        <f>Model!AV28</f>
        <v/>
      </c>
      <c r="F11" s="19" t="inlineStr">
        <is>
          <t>DIGNAD-R Excel v0.1 (model output)</t>
        </is>
      </c>
    </row>
    <row r="12">
      <c r="A12" s="19" t="inlineStr">
        <is>
          <t>KEN</t>
        </is>
      </c>
      <c r="B12" s="19">
        <f>Calib!B2</f>
        <v/>
      </c>
      <c r="C12" s="19" t="inlineStr">
        <is>
          <t>dig.rents_pct_gdp</t>
        </is>
      </c>
      <c r="D12" s="19" t="n">
        <v>2050</v>
      </c>
      <c r="E12" s="27">
        <f>Model!G28*100</f>
        <v/>
      </c>
      <c r="F12" s="19" t="inlineStr">
        <is>
          <t>DIGNAD-R Excel v0.1 (model output)</t>
        </is>
      </c>
    </row>
    <row r="13">
      <c r="A13" s="19" t="inlineStr">
        <is>
          <t>SLE</t>
        </is>
      </c>
      <c r="B13" s="19">
        <f>Calib!B3</f>
        <v/>
      </c>
      <c r="C13" s="19" t="inlineStr">
        <is>
          <t>dig.gdp_dev_programme_pct</t>
        </is>
      </c>
      <c r="D13" s="19" t="n">
        <v>2030</v>
      </c>
      <c r="E13" s="27">
        <f>Model!AQ35</f>
        <v/>
      </c>
      <c r="F13" s="19" t="inlineStr">
        <is>
          <t>DIGNAD-R Excel v0.1 (model output)</t>
        </is>
      </c>
    </row>
    <row r="14">
      <c r="A14" s="19" t="inlineStr">
        <is>
          <t>SLE</t>
        </is>
      </c>
      <c r="B14" s="19">
        <f>Calib!B3</f>
        <v/>
      </c>
      <c r="C14" s="19" t="inlineStr">
        <is>
          <t>dig.gdp_dev_programme_pct</t>
        </is>
      </c>
      <c r="D14" s="19" t="n">
        <v>2050</v>
      </c>
      <c r="E14" s="27">
        <f>Model!AQ55</f>
        <v/>
      </c>
      <c r="F14" s="19" t="inlineStr">
        <is>
          <t>DIGNAD-R Excel v0.1 (model output)</t>
        </is>
      </c>
    </row>
    <row r="15">
      <c r="A15" s="19" t="inlineStr">
        <is>
          <t>SLE</t>
        </is>
      </c>
      <c r="B15" s="19">
        <f>Calib!B3</f>
        <v/>
      </c>
      <c r="C15" s="19" t="inlineStr">
        <is>
          <t>dig.gdp_vs_2024_programme_pct</t>
        </is>
      </c>
      <c r="D15" s="19" t="n">
        <v>2050</v>
      </c>
      <c r="E15" s="27">
        <f>Model!AR55</f>
        <v/>
      </c>
      <c r="F15" s="19" t="inlineStr">
        <is>
          <t>DIGNAD-R Excel v0.1 (model output)</t>
        </is>
      </c>
    </row>
    <row r="16">
      <c r="A16" s="19" t="inlineStr">
        <is>
          <t>SLE</t>
        </is>
      </c>
      <c r="B16" s="19">
        <f>Calib!B3</f>
        <v/>
      </c>
      <c r="C16" s="19" t="inlineStr">
        <is>
          <t>dig.gdp_vs_2024_baseline_pct</t>
        </is>
      </c>
      <c r="D16" s="19" t="n">
        <v>2050</v>
      </c>
      <c r="E16" s="27">
        <f>Model!AS55</f>
        <v/>
      </c>
      <c r="F16" s="19" t="inlineStr">
        <is>
          <t>DIGNAD-R Excel v0.1 (model output)</t>
        </is>
      </c>
    </row>
    <row r="17">
      <c r="A17" s="19" t="inlineStr">
        <is>
          <t>SLE</t>
        </is>
      </c>
      <c r="B17" s="19">
        <f>Calib!B3</f>
        <v/>
      </c>
      <c r="C17" s="19" t="inlineStr">
        <is>
          <t>dig.debt_programme_pct_gdp</t>
        </is>
      </c>
      <c r="D17" s="19" t="n">
        <v>2030</v>
      </c>
      <c r="E17" s="27">
        <f>Model!AN35*100</f>
        <v/>
      </c>
      <c r="F17" s="19" t="inlineStr">
        <is>
          <t>DIGNAD-R Excel v0.1 (model output)</t>
        </is>
      </c>
    </row>
    <row r="18">
      <c r="A18" s="19" t="inlineStr">
        <is>
          <t>SLE</t>
        </is>
      </c>
      <c r="B18" s="19">
        <f>Calib!B3</f>
        <v/>
      </c>
      <c r="C18" s="19" t="inlineStr">
        <is>
          <t>dig.debt_programme_pct_gdp</t>
        </is>
      </c>
      <c r="D18" s="19" t="n">
        <v>2050</v>
      </c>
      <c r="E18" s="27">
        <f>Model!AN55*100</f>
        <v/>
      </c>
      <c r="F18" s="19" t="inlineStr">
        <is>
          <t>DIGNAD-R Excel v0.1 (model output)</t>
        </is>
      </c>
    </row>
    <row r="19">
      <c r="A19" s="19" t="inlineStr">
        <is>
          <t>SLE</t>
        </is>
      </c>
      <c r="B19" s="19">
        <f>Calib!B3</f>
        <v/>
      </c>
      <c r="C19" s="19" t="inlineStr">
        <is>
          <t>dig.debt_baseline_pct_gdp</t>
        </is>
      </c>
      <c r="D19" s="19" t="n">
        <v>2050</v>
      </c>
      <c r="E19" s="27">
        <f>Model!X55*100</f>
        <v/>
      </c>
      <c r="F19" s="19" t="inlineStr">
        <is>
          <t>DIGNAD-R Excel v0.1 (model output)</t>
        </is>
      </c>
    </row>
    <row r="20">
      <c r="A20" s="19" t="inlineStr">
        <is>
          <t>SLE</t>
        </is>
      </c>
      <c r="B20" s="19">
        <f>Calib!B3</f>
        <v/>
      </c>
      <c r="C20" s="19" t="inlineStr">
        <is>
          <t>dig.debt_due_to_programme_pp</t>
        </is>
      </c>
      <c r="D20" s="19" t="n">
        <v>2050</v>
      </c>
      <c r="E20" s="27">
        <f>Model!AT55</f>
        <v/>
      </c>
      <c r="F20" s="19" t="inlineStr">
        <is>
          <t>DIGNAD-R Excel v0.1 (model output)</t>
        </is>
      </c>
    </row>
    <row r="21">
      <c r="A21" s="19" t="inlineStr">
        <is>
          <t>SLE</t>
        </is>
      </c>
      <c r="B21" s="19">
        <f>Calib!B3</f>
        <v/>
      </c>
      <c r="C21" s="19" t="inlineStr">
        <is>
          <t>dig.htm_consumption_dev_programme_pct</t>
        </is>
      </c>
      <c r="D21" s="19" t="n">
        <v>2050</v>
      </c>
      <c r="E21" s="27">
        <f>Model!AU55</f>
        <v/>
      </c>
      <c r="F21" s="19" t="inlineStr">
        <is>
          <t>DIGNAD-R Excel v0.1 (model output)</t>
        </is>
      </c>
    </row>
    <row r="22">
      <c r="A22" s="19" t="inlineStr">
        <is>
          <t>SLE</t>
        </is>
      </c>
      <c r="B22" s="19">
        <f>Calib!B3</f>
        <v/>
      </c>
      <c r="C22" s="19" t="inlineStr">
        <is>
          <t>dig.transfers_change_pp_gdp</t>
        </is>
      </c>
      <c r="D22" s="19" t="n">
        <v>2050</v>
      </c>
      <c r="E22" s="27">
        <f>Model!AV55</f>
        <v/>
      </c>
      <c r="F22" s="19" t="inlineStr">
        <is>
          <t>DIGNAD-R Excel v0.1 (model output)</t>
        </is>
      </c>
    </row>
    <row r="23">
      <c r="A23" s="19" t="inlineStr">
        <is>
          <t>SLE</t>
        </is>
      </c>
      <c r="B23" s="19">
        <f>Calib!B3</f>
        <v/>
      </c>
      <c r="C23" s="19" t="inlineStr">
        <is>
          <t>dig.rents_pct_gdp</t>
        </is>
      </c>
      <c r="D23" s="19" t="n">
        <v>2050</v>
      </c>
      <c r="E23" s="27">
        <f>Model!G55*100</f>
        <v/>
      </c>
      <c r="F23" s="19" t="inlineStr">
        <is>
          <t>DIGNAD-R Excel v0.1 (model output)</t>
        </is>
      </c>
    </row>
    <row r="24">
      <c r="A24" s="19" t="inlineStr">
        <is>
          <t>UGA</t>
        </is>
      </c>
      <c r="B24" s="19">
        <f>Calib!B4</f>
        <v/>
      </c>
      <c r="C24" s="19" t="inlineStr">
        <is>
          <t>dig.gdp_dev_programme_pct</t>
        </is>
      </c>
      <c r="D24" s="19" t="n">
        <v>2030</v>
      </c>
      <c r="E24" s="27">
        <f>Model!AQ62</f>
        <v/>
      </c>
      <c r="F24" s="19" t="inlineStr">
        <is>
          <t>DIGNAD-R Excel v0.1 (model output)</t>
        </is>
      </c>
    </row>
    <row r="25">
      <c r="A25" s="19" t="inlineStr">
        <is>
          <t>UGA</t>
        </is>
      </c>
      <c r="B25" s="19">
        <f>Calib!B4</f>
        <v/>
      </c>
      <c r="C25" s="19" t="inlineStr">
        <is>
          <t>dig.gdp_dev_programme_pct</t>
        </is>
      </c>
      <c r="D25" s="19" t="n">
        <v>2050</v>
      </c>
      <c r="E25" s="27">
        <f>Model!AQ82</f>
        <v/>
      </c>
      <c r="F25" s="19" t="inlineStr">
        <is>
          <t>DIGNAD-R Excel v0.1 (model output)</t>
        </is>
      </c>
    </row>
    <row r="26">
      <c r="A26" s="19" t="inlineStr">
        <is>
          <t>UGA</t>
        </is>
      </c>
      <c r="B26" s="19">
        <f>Calib!B4</f>
        <v/>
      </c>
      <c r="C26" s="19" t="inlineStr">
        <is>
          <t>dig.gdp_vs_2024_programme_pct</t>
        </is>
      </c>
      <c r="D26" s="19" t="n">
        <v>2050</v>
      </c>
      <c r="E26" s="27">
        <f>Model!AR82</f>
        <v/>
      </c>
      <c r="F26" s="19" t="inlineStr">
        <is>
          <t>DIGNAD-R Excel v0.1 (model output)</t>
        </is>
      </c>
    </row>
    <row r="27">
      <c r="A27" s="19" t="inlineStr">
        <is>
          <t>UGA</t>
        </is>
      </c>
      <c r="B27" s="19">
        <f>Calib!B4</f>
        <v/>
      </c>
      <c r="C27" s="19" t="inlineStr">
        <is>
          <t>dig.gdp_vs_2024_baseline_pct</t>
        </is>
      </c>
      <c r="D27" s="19" t="n">
        <v>2050</v>
      </c>
      <c r="E27" s="27">
        <f>Model!AS82</f>
        <v/>
      </c>
      <c r="F27" s="19" t="inlineStr">
        <is>
          <t>DIGNAD-R Excel v0.1 (model output)</t>
        </is>
      </c>
    </row>
    <row r="28">
      <c r="A28" s="19" t="inlineStr">
        <is>
          <t>UGA</t>
        </is>
      </c>
      <c r="B28" s="19">
        <f>Calib!B4</f>
        <v/>
      </c>
      <c r="C28" s="19" t="inlineStr">
        <is>
          <t>dig.debt_programme_pct_gdp</t>
        </is>
      </c>
      <c r="D28" s="19" t="n">
        <v>2030</v>
      </c>
      <c r="E28" s="27">
        <f>Model!AN62*100</f>
        <v/>
      </c>
      <c r="F28" s="19" t="inlineStr">
        <is>
          <t>DIGNAD-R Excel v0.1 (model output)</t>
        </is>
      </c>
    </row>
    <row r="29">
      <c r="A29" s="19" t="inlineStr">
        <is>
          <t>UGA</t>
        </is>
      </c>
      <c r="B29" s="19">
        <f>Calib!B4</f>
        <v/>
      </c>
      <c r="C29" s="19" t="inlineStr">
        <is>
          <t>dig.debt_programme_pct_gdp</t>
        </is>
      </c>
      <c r="D29" s="19" t="n">
        <v>2050</v>
      </c>
      <c r="E29" s="27">
        <f>Model!AN82*100</f>
        <v/>
      </c>
      <c r="F29" s="19" t="inlineStr">
        <is>
          <t>DIGNAD-R Excel v0.1 (model output)</t>
        </is>
      </c>
    </row>
    <row r="30">
      <c r="A30" s="19" t="inlineStr">
        <is>
          <t>UGA</t>
        </is>
      </c>
      <c r="B30" s="19">
        <f>Calib!B4</f>
        <v/>
      </c>
      <c r="C30" s="19" t="inlineStr">
        <is>
          <t>dig.debt_baseline_pct_gdp</t>
        </is>
      </c>
      <c r="D30" s="19" t="n">
        <v>2050</v>
      </c>
      <c r="E30" s="27">
        <f>Model!X82*100</f>
        <v/>
      </c>
      <c r="F30" s="19" t="inlineStr">
        <is>
          <t>DIGNAD-R Excel v0.1 (model output)</t>
        </is>
      </c>
    </row>
    <row r="31">
      <c r="A31" s="19" t="inlineStr">
        <is>
          <t>UGA</t>
        </is>
      </c>
      <c r="B31" s="19">
        <f>Calib!B4</f>
        <v/>
      </c>
      <c r="C31" s="19" t="inlineStr">
        <is>
          <t>dig.debt_due_to_programme_pp</t>
        </is>
      </c>
      <c r="D31" s="19" t="n">
        <v>2050</v>
      </c>
      <c r="E31" s="27">
        <f>Model!AT82</f>
        <v/>
      </c>
      <c r="F31" s="19" t="inlineStr">
        <is>
          <t>DIGNAD-R Excel v0.1 (model output)</t>
        </is>
      </c>
    </row>
    <row r="32">
      <c r="A32" s="19" t="inlineStr">
        <is>
          <t>UGA</t>
        </is>
      </c>
      <c r="B32" s="19">
        <f>Calib!B4</f>
        <v/>
      </c>
      <c r="C32" s="19" t="inlineStr">
        <is>
          <t>dig.htm_consumption_dev_programme_pct</t>
        </is>
      </c>
      <c r="D32" s="19" t="n">
        <v>2050</v>
      </c>
      <c r="E32" s="27">
        <f>Model!AU82</f>
        <v/>
      </c>
      <c r="F32" s="19" t="inlineStr">
        <is>
          <t>DIGNAD-R Excel v0.1 (model output)</t>
        </is>
      </c>
    </row>
    <row r="33">
      <c r="A33" s="19" t="inlineStr">
        <is>
          <t>UGA</t>
        </is>
      </c>
      <c r="B33" s="19">
        <f>Calib!B4</f>
        <v/>
      </c>
      <c r="C33" s="19" t="inlineStr">
        <is>
          <t>dig.transfers_change_pp_gdp</t>
        </is>
      </c>
      <c r="D33" s="19" t="n">
        <v>2050</v>
      </c>
      <c r="E33" s="27">
        <f>Model!AV82</f>
        <v/>
      </c>
      <c r="F33" s="19" t="inlineStr">
        <is>
          <t>DIGNAD-R Excel v0.1 (model output)</t>
        </is>
      </c>
    </row>
    <row r="34">
      <c r="A34" s="19" t="inlineStr">
        <is>
          <t>UGA</t>
        </is>
      </c>
      <c r="B34" s="19">
        <f>Calib!B4</f>
        <v/>
      </c>
      <c r="C34" s="19" t="inlineStr">
        <is>
          <t>dig.rents_pct_gdp</t>
        </is>
      </c>
      <c r="D34" s="19" t="n">
        <v>2050</v>
      </c>
      <c r="E34" s="27">
        <f>Model!G82*100</f>
        <v/>
      </c>
      <c r="F34" s="19" t="inlineStr">
        <is>
          <t>DIGNAD-R Excel v0.1 (model output)</t>
        </is>
      </c>
    </row>
    <row r="35">
      <c r="A35" s="19" t="inlineStr">
        <is>
          <t>LBR</t>
        </is>
      </c>
      <c r="B35" s="19">
        <f>Calib!B5</f>
        <v/>
      </c>
      <c r="C35" s="19" t="inlineStr">
        <is>
          <t>dig.gdp_dev_programme_pct</t>
        </is>
      </c>
      <c r="D35" s="19" t="n">
        <v>2030</v>
      </c>
      <c r="E35" s="27">
        <f>Model!AQ89</f>
        <v/>
      </c>
      <c r="F35" s="19" t="inlineStr">
        <is>
          <t>DIGNAD-R Excel v0.1 (model output)</t>
        </is>
      </c>
    </row>
    <row r="36">
      <c r="A36" s="19" t="inlineStr">
        <is>
          <t>LBR</t>
        </is>
      </c>
      <c r="B36" s="19">
        <f>Calib!B5</f>
        <v/>
      </c>
      <c r="C36" s="19" t="inlineStr">
        <is>
          <t>dig.gdp_dev_programme_pct</t>
        </is>
      </c>
      <c r="D36" s="19" t="n">
        <v>2050</v>
      </c>
      <c r="E36" s="27">
        <f>Model!AQ109</f>
        <v/>
      </c>
      <c r="F36" s="19" t="inlineStr">
        <is>
          <t>DIGNAD-R Excel v0.1 (model output)</t>
        </is>
      </c>
    </row>
    <row r="37">
      <c r="A37" s="19" t="inlineStr">
        <is>
          <t>LBR</t>
        </is>
      </c>
      <c r="B37" s="19">
        <f>Calib!B5</f>
        <v/>
      </c>
      <c r="C37" s="19" t="inlineStr">
        <is>
          <t>dig.gdp_vs_2024_programme_pct</t>
        </is>
      </c>
      <c r="D37" s="19" t="n">
        <v>2050</v>
      </c>
      <c r="E37" s="27">
        <f>Model!AR109</f>
        <v/>
      </c>
      <c r="F37" s="19" t="inlineStr">
        <is>
          <t>DIGNAD-R Excel v0.1 (model output)</t>
        </is>
      </c>
    </row>
    <row r="38">
      <c r="A38" s="19" t="inlineStr">
        <is>
          <t>LBR</t>
        </is>
      </c>
      <c r="B38" s="19">
        <f>Calib!B5</f>
        <v/>
      </c>
      <c r="C38" s="19" t="inlineStr">
        <is>
          <t>dig.gdp_vs_2024_baseline_pct</t>
        </is>
      </c>
      <c r="D38" s="19" t="n">
        <v>2050</v>
      </c>
      <c r="E38" s="27">
        <f>Model!AS109</f>
        <v/>
      </c>
      <c r="F38" s="19" t="inlineStr">
        <is>
          <t>DIGNAD-R Excel v0.1 (model output)</t>
        </is>
      </c>
    </row>
    <row r="39">
      <c r="A39" s="19" t="inlineStr">
        <is>
          <t>LBR</t>
        </is>
      </c>
      <c r="B39" s="19">
        <f>Calib!B5</f>
        <v/>
      </c>
      <c r="C39" s="19" t="inlineStr">
        <is>
          <t>dig.debt_programme_pct_gdp</t>
        </is>
      </c>
      <c r="D39" s="19" t="n">
        <v>2030</v>
      </c>
      <c r="E39" s="27">
        <f>Model!AN89*100</f>
        <v/>
      </c>
      <c r="F39" s="19" t="inlineStr">
        <is>
          <t>DIGNAD-R Excel v0.1 (model output)</t>
        </is>
      </c>
    </row>
    <row r="40">
      <c r="A40" s="19" t="inlineStr">
        <is>
          <t>LBR</t>
        </is>
      </c>
      <c r="B40" s="19">
        <f>Calib!B5</f>
        <v/>
      </c>
      <c r="C40" s="19" t="inlineStr">
        <is>
          <t>dig.debt_programme_pct_gdp</t>
        </is>
      </c>
      <c r="D40" s="19" t="n">
        <v>2050</v>
      </c>
      <c r="E40" s="27">
        <f>Model!AN109*100</f>
        <v/>
      </c>
      <c r="F40" s="19" t="inlineStr">
        <is>
          <t>DIGNAD-R Excel v0.1 (model output)</t>
        </is>
      </c>
    </row>
    <row r="41">
      <c r="A41" s="19" t="inlineStr">
        <is>
          <t>LBR</t>
        </is>
      </c>
      <c r="B41" s="19">
        <f>Calib!B5</f>
        <v/>
      </c>
      <c r="C41" s="19" t="inlineStr">
        <is>
          <t>dig.debt_baseline_pct_gdp</t>
        </is>
      </c>
      <c r="D41" s="19" t="n">
        <v>2050</v>
      </c>
      <c r="E41" s="27">
        <f>Model!X109*100</f>
        <v/>
      </c>
      <c r="F41" s="19" t="inlineStr">
        <is>
          <t>DIGNAD-R Excel v0.1 (model output)</t>
        </is>
      </c>
    </row>
    <row r="42">
      <c r="A42" s="19" t="inlineStr">
        <is>
          <t>LBR</t>
        </is>
      </c>
      <c r="B42" s="19">
        <f>Calib!B5</f>
        <v/>
      </c>
      <c r="C42" s="19" t="inlineStr">
        <is>
          <t>dig.debt_due_to_programme_pp</t>
        </is>
      </c>
      <c r="D42" s="19" t="n">
        <v>2050</v>
      </c>
      <c r="E42" s="27">
        <f>Model!AT109</f>
        <v/>
      </c>
      <c r="F42" s="19" t="inlineStr">
        <is>
          <t>DIGNAD-R Excel v0.1 (model output)</t>
        </is>
      </c>
    </row>
    <row r="43">
      <c r="A43" s="19" t="inlineStr">
        <is>
          <t>LBR</t>
        </is>
      </c>
      <c r="B43" s="19">
        <f>Calib!B5</f>
        <v/>
      </c>
      <c r="C43" s="19" t="inlineStr">
        <is>
          <t>dig.htm_consumption_dev_programme_pct</t>
        </is>
      </c>
      <c r="D43" s="19" t="n">
        <v>2050</v>
      </c>
      <c r="E43" s="27">
        <f>Model!AU109</f>
        <v/>
      </c>
      <c r="F43" s="19" t="inlineStr">
        <is>
          <t>DIGNAD-R Excel v0.1 (model output)</t>
        </is>
      </c>
    </row>
    <row r="44">
      <c r="A44" s="19" t="inlineStr">
        <is>
          <t>LBR</t>
        </is>
      </c>
      <c r="B44" s="19">
        <f>Calib!B5</f>
        <v/>
      </c>
      <c r="C44" s="19" t="inlineStr">
        <is>
          <t>dig.transfers_change_pp_gdp</t>
        </is>
      </c>
      <c r="D44" s="19" t="n">
        <v>2050</v>
      </c>
      <c r="E44" s="27">
        <f>Model!AV109</f>
        <v/>
      </c>
      <c r="F44" s="19" t="inlineStr">
        <is>
          <t>DIGNAD-R Excel v0.1 (model output)</t>
        </is>
      </c>
    </row>
    <row r="45">
      <c r="A45" s="19" t="inlineStr">
        <is>
          <t>LBR</t>
        </is>
      </c>
      <c r="B45" s="19">
        <f>Calib!B5</f>
        <v/>
      </c>
      <c r="C45" s="19" t="inlineStr">
        <is>
          <t>dig.rents_pct_gdp</t>
        </is>
      </c>
      <c r="D45" s="19" t="n">
        <v>2050</v>
      </c>
      <c r="E45" s="27">
        <f>Model!G109*100</f>
        <v/>
      </c>
      <c r="F45" s="19" t="inlineStr">
        <is>
          <t>DIGNAD-R Excel v0.1 (model output)</t>
        </is>
      </c>
    </row>
    <row r="46">
      <c r="A46" s="19" t="inlineStr">
        <is>
          <t>ETH</t>
        </is>
      </c>
      <c r="B46" s="19">
        <f>Calib!B6</f>
        <v/>
      </c>
      <c r="C46" s="19" t="inlineStr">
        <is>
          <t>dig.gdp_dev_programme_pct</t>
        </is>
      </c>
      <c r="D46" s="19" t="n">
        <v>2030</v>
      </c>
      <c r="E46" s="27">
        <f>Model!AQ116</f>
        <v/>
      </c>
      <c r="F46" s="19" t="inlineStr">
        <is>
          <t>DIGNAD-R Excel v0.1 (model output)</t>
        </is>
      </c>
    </row>
    <row r="47">
      <c r="A47" s="19" t="inlineStr">
        <is>
          <t>ETH</t>
        </is>
      </c>
      <c r="B47" s="19">
        <f>Calib!B6</f>
        <v/>
      </c>
      <c r="C47" s="19" t="inlineStr">
        <is>
          <t>dig.gdp_dev_programme_pct</t>
        </is>
      </c>
      <c r="D47" s="19" t="n">
        <v>2050</v>
      </c>
      <c r="E47" s="27">
        <f>Model!AQ136</f>
        <v/>
      </c>
      <c r="F47" s="19" t="inlineStr">
        <is>
          <t>DIGNAD-R Excel v0.1 (model output)</t>
        </is>
      </c>
    </row>
    <row r="48">
      <c r="A48" s="19" t="inlineStr">
        <is>
          <t>ETH</t>
        </is>
      </c>
      <c r="B48" s="19">
        <f>Calib!B6</f>
        <v/>
      </c>
      <c r="C48" s="19" t="inlineStr">
        <is>
          <t>dig.gdp_vs_2024_programme_pct</t>
        </is>
      </c>
      <c r="D48" s="19" t="n">
        <v>2050</v>
      </c>
      <c r="E48" s="27">
        <f>Model!AR136</f>
        <v/>
      </c>
      <c r="F48" s="19" t="inlineStr">
        <is>
          <t>DIGNAD-R Excel v0.1 (model output)</t>
        </is>
      </c>
    </row>
    <row r="49">
      <c r="A49" s="19" t="inlineStr">
        <is>
          <t>ETH</t>
        </is>
      </c>
      <c r="B49" s="19">
        <f>Calib!B6</f>
        <v/>
      </c>
      <c r="C49" s="19" t="inlineStr">
        <is>
          <t>dig.gdp_vs_2024_baseline_pct</t>
        </is>
      </c>
      <c r="D49" s="19" t="n">
        <v>2050</v>
      </c>
      <c r="E49" s="27">
        <f>Model!AS136</f>
        <v/>
      </c>
      <c r="F49" s="19" t="inlineStr">
        <is>
          <t>DIGNAD-R Excel v0.1 (model output)</t>
        </is>
      </c>
    </row>
    <row r="50">
      <c r="A50" s="19" t="inlineStr">
        <is>
          <t>ETH</t>
        </is>
      </c>
      <c r="B50" s="19">
        <f>Calib!B6</f>
        <v/>
      </c>
      <c r="C50" s="19" t="inlineStr">
        <is>
          <t>dig.debt_programme_pct_gdp</t>
        </is>
      </c>
      <c r="D50" s="19" t="n">
        <v>2030</v>
      </c>
      <c r="E50" s="27">
        <f>Model!AN116*100</f>
        <v/>
      </c>
      <c r="F50" s="19" t="inlineStr">
        <is>
          <t>DIGNAD-R Excel v0.1 (model output)</t>
        </is>
      </c>
    </row>
    <row r="51">
      <c r="A51" s="19" t="inlineStr">
        <is>
          <t>ETH</t>
        </is>
      </c>
      <c r="B51" s="19">
        <f>Calib!B6</f>
        <v/>
      </c>
      <c r="C51" s="19" t="inlineStr">
        <is>
          <t>dig.debt_programme_pct_gdp</t>
        </is>
      </c>
      <c r="D51" s="19" t="n">
        <v>2050</v>
      </c>
      <c r="E51" s="27">
        <f>Model!AN136*100</f>
        <v/>
      </c>
      <c r="F51" s="19" t="inlineStr">
        <is>
          <t>DIGNAD-R Excel v0.1 (model output)</t>
        </is>
      </c>
    </row>
    <row r="52">
      <c r="A52" s="19" t="inlineStr">
        <is>
          <t>ETH</t>
        </is>
      </c>
      <c r="B52" s="19">
        <f>Calib!B6</f>
        <v/>
      </c>
      <c r="C52" s="19" t="inlineStr">
        <is>
          <t>dig.debt_baseline_pct_gdp</t>
        </is>
      </c>
      <c r="D52" s="19" t="n">
        <v>2050</v>
      </c>
      <c r="E52" s="27">
        <f>Model!X136*100</f>
        <v/>
      </c>
      <c r="F52" s="19" t="inlineStr">
        <is>
          <t>DIGNAD-R Excel v0.1 (model output)</t>
        </is>
      </c>
    </row>
    <row r="53">
      <c r="A53" s="19" t="inlineStr">
        <is>
          <t>ETH</t>
        </is>
      </c>
      <c r="B53" s="19">
        <f>Calib!B6</f>
        <v/>
      </c>
      <c r="C53" s="19" t="inlineStr">
        <is>
          <t>dig.debt_due_to_programme_pp</t>
        </is>
      </c>
      <c r="D53" s="19" t="n">
        <v>2050</v>
      </c>
      <c r="E53" s="27">
        <f>Model!AT136</f>
        <v/>
      </c>
      <c r="F53" s="19" t="inlineStr">
        <is>
          <t>DIGNAD-R Excel v0.1 (model output)</t>
        </is>
      </c>
    </row>
    <row r="54">
      <c r="A54" s="19" t="inlineStr">
        <is>
          <t>ETH</t>
        </is>
      </c>
      <c r="B54" s="19">
        <f>Calib!B6</f>
        <v/>
      </c>
      <c r="C54" s="19" t="inlineStr">
        <is>
          <t>dig.htm_consumption_dev_programme_pct</t>
        </is>
      </c>
      <c r="D54" s="19" t="n">
        <v>2050</v>
      </c>
      <c r="E54" s="27">
        <f>Model!AU136</f>
        <v/>
      </c>
      <c r="F54" s="19" t="inlineStr">
        <is>
          <t>DIGNAD-R Excel v0.1 (model output)</t>
        </is>
      </c>
    </row>
    <row r="55">
      <c r="A55" s="19" t="inlineStr">
        <is>
          <t>ETH</t>
        </is>
      </c>
      <c r="B55" s="19">
        <f>Calib!B6</f>
        <v/>
      </c>
      <c r="C55" s="19" t="inlineStr">
        <is>
          <t>dig.transfers_change_pp_gdp</t>
        </is>
      </c>
      <c r="D55" s="19" t="n">
        <v>2050</v>
      </c>
      <c r="E55" s="27">
        <f>Model!AV136</f>
        <v/>
      </c>
      <c r="F55" s="19" t="inlineStr">
        <is>
          <t>DIGNAD-R Excel v0.1 (model output)</t>
        </is>
      </c>
    </row>
    <row r="56">
      <c r="A56" s="19" t="inlineStr">
        <is>
          <t>ETH</t>
        </is>
      </c>
      <c r="B56" s="19">
        <f>Calib!B6</f>
        <v/>
      </c>
      <c r="C56" s="19" t="inlineStr">
        <is>
          <t>dig.rents_pct_gdp</t>
        </is>
      </c>
      <c r="D56" s="19" t="n">
        <v>2050</v>
      </c>
      <c r="E56" s="27">
        <f>Model!G136*100</f>
        <v/>
      </c>
      <c r="F56" s="19" t="inlineStr">
        <is>
          <t>DIGNAD-R Excel v0.1 (model output)</t>
        </is>
      </c>
    </row>
    <row r="57">
      <c r="A57" s="19" t="inlineStr">
        <is>
          <t>RWA</t>
        </is>
      </c>
      <c r="B57" s="19">
        <f>Calib!B7</f>
        <v/>
      </c>
      <c r="C57" s="19" t="inlineStr">
        <is>
          <t>dig.gdp_dev_programme_pct</t>
        </is>
      </c>
      <c r="D57" s="19" t="n">
        <v>2030</v>
      </c>
      <c r="E57" s="27">
        <f>Model!AQ143</f>
        <v/>
      </c>
      <c r="F57" s="19" t="inlineStr">
        <is>
          <t>DIGNAD-R Excel v0.1 (model output)</t>
        </is>
      </c>
    </row>
    <row r="58">
      <c r="A58" s="19" t="inlineStr">
        <is>
          <t>RWA</t>
        </is>
      </c>
      <c r="B58" s="19">
        <f>Calib!B7</f>
        <v/>
      </c>
      <c r="C58" s="19" t="inlineStr">
        <is>
          <t>dig.gdp_dev_programme_pct</t>
        </is>
      </c>
      <c r="D58" s="19" t="n">
        <v>2050</v>
      </c>
      <c r="E58" s="27">
        <f>Model!AQ163</f>
        <v/>
      </c>
      <c r="F58" s="19" t="inlineStr">
        <is>
          <t>DIGNAD-R Excel v0.1 (model output)</t>
        </is>
      </c>
    </row>
    <row r="59">
      <c r="A59" s="19" t="inlineStr">
        <is>
          <t>RWA</t>
        </is>
      </c>
      <c r="B59" s="19">
        <f>Calib!B7</f>
        <v/>
      </c>
      <c r="C59" s="19" t="inlineStr">
        <is>
          <t>dig.gdp_vs_2024_programme_pct</t>
        </is>
      </c>
      <c r="D59" s="19" t="n">
        <v>2050</v>
      </c>
      <c r="E59" s="27">
        <f>Model!AR163</f>
        <v/>
      </c>
      <c r="F59" s="19" t="inlineStr">
        <is>
          <t>DIGNAD-R Excel v0.1 (model output)</t>
        </is>
      </c>
    </row>
    <row r="60">
      <c r="A60" s="19" t="inlineStr">
        <is>
          <t>RWA</t>
        </is>
      </c>
      <c r="B60" s="19">
        <f>Calib!B7</f>
        <v/>
      </c>
      <c r="C60" s="19" t="inlineStr">
        <is>
          <t>dig.gdp_vs_2024_baseline_pct</t>
        </is>
      </c>
      <c r="D60" s="19" t="n">
        <v>2050</v>
      </c>
      <c r="E60" s="27">
        <f>Model!AS163</f>
        <v/>
      </c>
      <c r="F60" s="19" t="inlineStr">
        <is>
          <t>DIGNAD-R Excel v0.1 (model output)</t>
        </is>
      </c>
    </row>
    <row r="61">
      <c r="A61" s="19" t="inlineStr">
        <is>
          <t>RWA</t>
        </is>
      </c>
      <c r="B61" s="19">
        <f>Calib!B7</f>
        <v/>
      </c>
      <c r="C61" s="19" t="inlineStr">
        <is>
          <t>dig.debt_programme_pct_gdp</t>
        </is>
      </c>
      <c r="D61" s="19" t="n">
        <v>2030</v>
      </c>
      <c r="E61" s="27">
        <f>Model!AN143*100</f>
        <v/>
      </c>
      <c r="F61" s="19" t="inlineStr">
        <is>
          <t>DIGNAD-R Excel v0.1 (model output)</t>
        </is>
      </c>
    </row>
    <row r="62">
      <c r="A62" s="19" t="inlineStr">
        <is>
          <t>RWA</t>
        </is>
      </c>
      <c r="B62" s="19">
        <f>Calib!B7</f>
        <v/>
      </c>
      <c r="C62" s="19" t="inlineStr">
        <is>
          <t>dig.debt_programme_pct_gdp</t>
        </is>
      </c>
      <c r="D62" s="19" t="n">
        <v>2050</v>
      </c>
      <c r="E62" s="27">
        <f>Model!AN163*100</f>
        <v/>
      </c>
      <c r="F62" s="19" t="inlineStr">
        <is>
          <t>DIGNAD-R Excel v0.1 (model output)</t>
        </is>
      </c>
    </row>
    <row r="63">
      <c r="A63" s="19" t="inlineStr">
        <is>
          <t>RWA</t>
        </is>
      </c>
      <c r="B63" s="19">
        <f>Calib!B7</f>
        <v/>
      </c>
      <c r="C63" s="19" t="inlineStr">
        <is>
          <t>dig.debt_baseline_pct_gdp</t>
        </is>
      </c>
      <c r="D63" s="19" t="n">
        <v>2050</v>
      </c>
      <c r="E63" s="27">
        <f>Model!X163*100</f>
        <v/>
      </c>
      <c r="F63" s="19" t="inlineStr">
        <is>
          <t>DIGNAD-R Excel v0.1 (model output)</t>
        </is>
      </c>
    </row>
    <row r="64">
      <c r="A64" s="19" t="inlineStr">
        <is>
          <t>RWA</t>
        </is>
      </c>
      <c r="B64" s="19">
        <f>Calib!B7</f>
        <v/>
      </c>
      <c r="C64" s="19" t="inlineStr">
        <is>
          <t>dig.debt_due_to_programme_pp</t>
        </is>
      </c>
      <c r="D64" s="19" t="n">
        <v>2050</v>
      </c>
      <c r="E64" s="27">
        <f>Model!AT163</f>
        <v/>
      </c>
      <c r="F64" s="19" t="inlineStr">
        <is>
          <t>DIGNAD-R Excel v0.1 (model output)</t>
        </is>
      </c>
    </row>
    <row r="65">
      <c r="A65" s="19" t="inlineStr">
        <is>
          <t>RWA</t>
        </is>
      </c>
      <c r="B65" s="19">
        <f>Calib!B7</f>
        <v/>
      </c>
      <c r="C65" s="19" t="inlineStr">
        <is>
          <t>dig.htm_consumption_dev_programme_pct</t>
        </is>
      </c>
      <c r="D65" s="19" t="n">
        <v>2050</v>
      </c>
      <c r="E65" s="27">
        <f>Model!AU163</f>
        <v/>
      </c>
      <c r="F65" s="19" t="inlineStr">
        <is>
          <t>DIGNAD-R Excel v0.1 (model output)</t>
        </is>
      </c>
    </row>
    <row r="66">
      <c r="A66" s="19" t="inlineStr">
        <is>
          <t>RWA</t>
        </is>
      </c>
      <c r="B66" s="19">
        <f>Calib!B7</f>
        <v/>
      </c>
      <c r="C66" s="19" t="inlineStr">
        <is>
          <t>dig.transfers_change_pp_gdp</t>
        </is>
      </c>
      <c r="D66" s="19" t="n">
        <v>2050</v>
      </c>
      <c r="E66" s="27">
        <f>Model!AV163</f>
        <v/>
      </c>
      <c r="F66" s="19" t="inlineStr">
        <is>
          <t>DIGNAD-R Excel v0.1 (model output)</t>
        </is>
      </c>
    </row>
    <row r="67">
      <c r="A67" s="19" t="inlineStr">
        <is>
          <t>RWA</t>
        </is>
      </c>
      <c r="B67" s="19">
        <f>Calib!B7</f>
        <v/>
      </c>
      <c r="C67" s="19" t="inlineStr">
        <is>
          <t>dig.rents_pct_gdp</t>
        </is>
      </c>
      <c r="D67" s="19" t="n">
        <v>2050</v>
      </c>
      <c r="E67" s="27">
        <f>Model!G163*100</f>
        <v/>
      </c>
      <c r="F67" s="19" t="inlineStr">
        <is>
          <t>DIGNAD-R Excel v0.1 (model output)</t>
        </is>
      </c>
    </row>
    <row r="68">
      <c r="A68" s="19" t="inlineStr">
        <is>
          <t>MOZ</t>
        </is>
      </c>
      <c r="B68" s="19">
        <f>Calib!B8</f>
        <v/>
      </c>
      <c r="C68" s="19" t="inlineStr">
        <is>
          <t>dig.gdp_dev_programme_pct</t>
        </is>
      </c>
      <c r="D68" s="19" t="n">
        <v>2030</v>
      </c>
      <c r="E68" s="27">
        <f>Model!AQ170</f>
        <v/>
      </c>
      <c r="F68" s="19" t="inlineStr">
        <is>
          <t>DIGNAD-R Excel v0.1 (model output)</t>
        </is>
      </c>
    </row>
    <row r="69">
      <c r="A69" s="19" t="inlineStr">
        <is>
          <t>MOZ</t>
        </is>
      </c>
      <c r="B69" s="19">
        <f>Calib!B8</f>
        <v/>
      </c>
      <c r="C69" s="19" t="inlineStr">
        <is>
          <t>dig.gdp_dev_programme_pct</t>
        </is>
      </c>
      <c r="D69" s="19" t="n">
        <v>2050</v>
      </c>
      <c r="E69" s="27">
        <f>Model!AQ190</f>
        <v/>
      </c>
      <c r="F69" s="19" t="inlineStr">
        <is>
          <t>DIGNAD-R Excel v0.1 (model output)</t>
        </is>
      </c>
    </row>
    <row r="70">
      <c r="A70" s="19" t="inlineStr">
        <is>
          <t>MOZ</t>
        </is>
      </c>
      <c r="B70" s="19">
        <f>Calib!B8</f>
        <v/>
      </c>
      <c r="C70" s="19" t="inlineStr">
        <is>
          <t>dig.gdp_vs_2024_programme_pct</t>
        </is>
      </c>
      <c r="D70" s="19" t="n">
        <v>2050</v>
      </c>
      <c r="E70" s="27">
        <f>Model!AR190</f>
        <v/>
      </c>
      <c r="F70" s="19" t="inlineStr">
        <is>
          <t>DIGNAD-R Excel v0.1 (model output)</t>
        </is>
      </c>
    </row>
    <row r="71">
      <c r="A71" s="19" t="inlineStr">
        <is>
          <t>MOZ</t>
        </is>
      </c>
      <c r="B71" s="19">
        <f>Calib!B8</f>
        <v/>
      </c>
      <c r="C71" s="19" t="inlineStr">
        <is>
          <t>dig.gdp_vs_2024_baseline_pct</t>
        </is>
      </c>
      <c r="D71" s="19" t="n">
        <v>2050</v>
      </c>
      <c r="E71" s="27">
        <f>Model!AS190</f>
        <v/>
      </c>
      <c r="F71" s="19" t="inlineStr">
        <is>
          <t>DIGNAD-R Excel v0.1 (model output)</t>
        </is>
      </c>
    </row>
    <row r="72">
      <c r="A72" s="19" t="inlineStr">
        <is>
          <t>MOZ</t>
        </is>
      </c>
      <c r="B72" s="19">
        <f>Calib!B8</f>
        <v/>
      </c>
      <c r="C72" s="19" t="inlineStr">
        <is>
          <t>dig.debt_programme_pct_gdp</t>
        </is>
      </c>
      <c r="D72" s="19" t="n">
        <v>2030</v>
      </c>
      <c r="E72" s="27">
        <f>Model!AN170*100</f>
        <v/>
      </c>
      <c r="F72" s="19" t="inlineStr">
        <is>
          <t>DIGNAD-R Excel v0.1 (model output)</t>
        </is>
      </c>
    </row>
    <row r="73">
      <c r="A73" s="19" t="inlineStr">
        <is>
          <t>MOZ</t>
        </is>
      </c>
      <c r="B73" s="19">
        <f>Calib!B8</f>
        <v/>
      </c>
      <c r="C73" s="19" t="inlineStr">
        <is>
          <t>dig.debt_programme_pct_gdp</t>
        </is>
      </c>
      <c r="D73" s="19" t="n">
        <v>2050</v>
      </c>
      <c r="E73" s="27">
        <f>Model!AN190*100</f>
        <v/>
      </c>
      <c r="F73" s="19" t="inlineStr">
        <is>
          <t>DIGNAD-R Excel v0.1 (model output)</t>
        </is>
      </c>
    </row>
    <row r="74">
      <c r="A74" s="19" t="inlineStr">
        <is>
          <t>MOZ</t>
        </is>
      </c>
      <c r="B74" s="19">
        <f>Calib!B8</f>
        <v/>
      </c>
      <c r="C74" s="19" t="inlineStr">
        <is>
          <t>dig.debt_baseline_pct_gdp</t>
        </is>
      </c>
      <c r="D74" s="19" t="n">
        <v>2050</v>
      </c>
      <c r="E74" s="27">
        <f>Model!X190*100</f>
        <v/>
      </c>
      <c r="F74" s="19" t="inlineStr">
        <is>
          <t>DIGNAD-R Excel v0.1 (model output)</t>
        </is>
      </c>
    </row>
    <row r="75">
      <c r="A75" s="19" t="inlineStr">
        <is>
          <t>MOZ</t>
        </is>
      </c>
      <c r="B75" s="19">
        <f>Calib!B8</f>
        <v/>
      </c>
      <c r="C75" s="19" t="inlineStr">
        <is>
          <t>dig.debt_due_to_programme_pp</t>
        </is>
      </c>
      <c r="D75" s="19" t="n">
        <v>2050</v>
      </c>
      <c r="E75" s="27">
        <f>Model!AT190</f>
        <v/>
      </c>
      <c r="F75" s="19" t="inlineStr">
        <is>
          <t>DIGNAD-R Excel v0.1 (model output)</t>
        </is>
      </c>
    </row>
    <row r="76">
      <c r="A76" s="19" t="inlineStr">
        <is>
          <t>MOZ</t>
        </is>
      </c>
      <c r="B76" s="19">
        <f>Calib!B8</f>
        <v/>
      </c>
      <c r="C76" s="19" t="inlineStr">
        <is>
          <t>dig.htm_consumption_dev_programme_pct</t>
        </is>
      </c>
      <c r="D76" s="19" t="n">
        <v>2050</v>
      </c>
      <c r="E76" s="27">
        <f>Model!AU190</f>
        <v/>
      </c>
      <c r="F76" s="19" t="inlineStr">
        <is>
          <t>DIGNAD-R Excel v0.1 (model output)</t>
        </is>
      </c>
    </row>
    <row r="77">
      <c r="A77" s="19" t="inlineStr">
        <is>
          <t>MOZ</t>
        </is>
      </c>
      <c r="B77" s="19">
        <f>Calib!B8</f>
        <v/>
      </c>
      <c r="C77" s="19" t="inlineStr">
        <is>
          <t>dig.transfers_change_pp_gdp</t>
        </is>
      </c>
      <c r="D77" s="19" t="n">
        <v>2050</v>
      </c>
      <c r="E77" s="27">
        <f>Model!AV190</f>
        <v/>
      </c>
      <c r="F77" s="19" t="inlineStr">
        <is>
          <t>DIGNAD-R Excel v0.1 (model output)</t>
        </is>
      </c>
    </row>
    <row r="78">
      <c r="A78" s="19" t="inlineStr">
        <is>
          <t>MOZ</t>
        </is>
      </c>
      <c r="B78" s="19">
        <f>Calib!B8</f>
        <v/>
      </c>
      <c r="C78" s="19" t="inlineStr">
        <is>
          <t>dig.rents_pct_gdp</t>
        </is>
      </c>
      <c r="D78" s="19" t="n">
        <v>2050</v>
      </c>
      <c r="E78" s="27">
        <f>Model!G190*100</f>
        <v/>
      </c>
      <c r="F78" s="19" t="inlineStr">
        <is>
          <t>DIGNAD-R Excel v0.1 (model output)</t>
        </is>
      </c>
    </row>
    <row r="79">
      <c r="A79" s="19" t="inlineStr">
        <is>
          <t>GHA</t>
        </is>
      </c>
      <c r="B79" s="19">
        <f>Calib!B9</f>
        <v/>
      </c>
      <c r="C79" s="19" t="inlineStr">
        <is>
          <t>dig.gdp_dev_programme_pct</t>
        </is>
      </c>
      <c r="D79" s="19" t="n">
        <v>2030</v>
      </c>
      <c r="E79" s="27">
        <f>Model!AQ197</f>
        <v/>
      </c>
      <c r="F79" s="19" t="inlineStr">
        <is>
          <t>DIGNAD-R Excel v0.1 (model output)</t>
        </is>
      </c>
    </row>
    <row r="80">
      <c r="A80" s="19" t="inlineStr">
        <is>
          <t>GHA</t>
        </is>
      </c>
      <c r="B80" s="19">
        <f>Calib!B9</f>
        <v/>
      </c>
      <c r="C80" s="19" t="inlineStr">
        <is>
          <t>dig.gdp_dev_programme_pct</t>
        </is>
      </c>
      <c r="D80" s="19" t="n">
        <v>2050</v>
      </c>
      <c r="E80" s="27">
        <f>Model!AQ217</f>
        <v/>
      </c>
      <c r="F80" s="19" t="inlineStr">
        <is>
          <t>DIGNAD-R Excel v0.1 (model output)</t>
        </is>
      </c>
    </row>
    <row r="81">
      <c r="A81" s="19" t="inlineStr">
        <is>
          <t>GHA</t>
        </is>
      </c>
      <c r="B81" s="19">
        <f>Calib!B9</f>
        <v/>
      </c>
      <c r="C81" s="19" t="inlineStr">
        <is>
          <t>dig.gdp_vs_2024_programme_pct</t>
        </is>
      </c>
      <c r="D81" s="19" t="n">
        <v>2050</v>
      </c>
      <c r="E81" s="27">
        <f>Model!AR217</f>
        <v/>
      </c>
      <c r="F81" s="19" t="inlineStr">
        <is>
          <t>DIGNAD-R Excel v0.1 (model output)</t>
        </is>
      </c>
    </row>
    <row r="82">
      <c r="A82" s="19" t="inlineStr">
        <is>
          <t>GHA</t>
        </is>
      </c>
      <c r="B82" s="19">
        <f>Calib!B9</f>
        <v/>
      </c>
      <c r="C82" s="19" t="inlineStr">
        <is>
          <t>dig.gdp_vs_2024_baseline_pct</t>
        </is>
      </c>
      <c r="D82" s="19" t="n">
        <v>2050</v>
      </c>
      <c r="E82" s="27">
        <f>Model!AS217</f>
        <v/>
      </c>
      <c r="F82" s="19" t="inlineStr">
        <is>
          <t>DIGNAD-R Excel v0.1 (model output)</t>
        </is>
      </c>
    </row>
    <row r="83">
      <c r="A83" s="19" t="inlineStr">
        <is>
          <t>GHA</t>
        </is>
      </c>
      <c r="B83" s="19">
        <f>Calib!B9</f>
        <v/>
      </c>
      <c r="C83" s="19" t="inlineStr">
        <is>
          <t>dig.debt_programme_pct_gdp</t>
        </is>
      </c>
      <c r="D83" s="19" t="n">
        <v>2030</v>
      </c>
      <c r="E83" s="27">
        <f>Model!AN197*100</f>
        <v/>
      </c>
      <c r="F83" s="19" t="inlineStr">
        <is>
          <t>DIGNAD-R Excel v0.1 (model output)</t>
        </is>
      </c>
    </row>
    <row r="84">
      <c r="A84" s="19" t="inlineStr">
        <is>
          <t>GHA</t>
        </is>
      </c>
      <c r="B84" s="19">
        <f>Calib!B9</f>
        <v/>
      </c>
      <c r="C84" s="19" t="inlineStr">
        <is>
          <t>dig.debt_programme_pct_gdp</t>
        </is>
      </c>
      <c r="D84" s="19" t="n">
        <v>2050</v>
      </c>
      <c r="E84" s="27">
        <f>Model!AN217*100</f>
        <v/>
      </c>
      <c r="F84" s="19" t="inlineStr">
        <is>
          <t>DIGNAD-R Excel v0.1 (model output)</t>
        </is>
      </c>
    </row>
    <row r="85">
      <c r="A85" s="19" t="inlineStr">
        <is>
          <t>GHA</t>
        </is>
      </c>
      <c r="B85" s="19">
        <f>Calib!B9</f>
        <v/>
      </c>
      <c r="C85" s="19" t="inlineStr">
        <is>
          <t>dig.debt_baseline_pct_gdp</t>
        </is>
      </c>
      <c r="D85" s="19" t="n">
        <v>2050</v>
      </c>
      <c r="E85" s="27">
        <f>Model!X217*100</f>
        <v/>
      </c>
      <c r="F85" s="19" t="inlineStr">
        <is>
          <t>DIGNAD-R Excel v0.1 (model output)</t>
        </is>
      </c>
    </row>
    <row r="86">
      <c r="A86" s="19" t="inlineStr">
        <is>
          <t>GHA</t>
        </is>
      </c>
      <c r="B86" s="19">
        <f>Calib!B9</f>
        <v/>
      </c>
      <c r="C86" s="19" t="inlineStr">
        <is>
          <t>dig.debt_due_to_programme_pp</t>
        </is>
      </c>
      <c r="D86" s="19" t="n">
        <v>2050</v>
      </c>
      <c r="E86" s="27">
        <f>Model!AT217</f>
        <v/>
      </c>
      <c r="F86" s="19" t="inlineStr">
        <is>
          <t>DIGNAD-R Excel v0.1 (model output)</t>
        </is>
      </c>
    </row>
    <row r="87">
      <c r="A87" s="19" t="inlineStr">
        <is>
          <t>GHA</t>
        </is>
      </c>
      <c r="B87" s="19">
        <f>Calib!B9</f>
        <v/>
      </c>
      <c r="C87" s="19" t="inlineStr">
        <is>
          <t>dig.htm_consumption_dev_programme_pct</t>
        </is>
      </c>
      <c r="D87" s="19" t="n">
        <v>2050</v>
      </c>
      <c r="E87" s="27">
        <f>Model!AU217</f>
        <v/>
      </c>
      <c r="F87" s="19" t="inlineStr">
        <is>
          <t>DIGNAD-R Excel v0.1 (model output)</t>
        </is>
      </c>
    </row>
    <row r="88">
      <c r="A88" s="19" t="inlineStr">
        <is>
          <t>GHA</t>
        </is>
      </c>
      <c r="B88" s="19">
        <f>Calib!B9</f>
        <v/>
      </c>
      <c r="C88" s="19" t="inlineStr">
        <is>
          <t>dig.transfers_change_pp_gdp</t>
        </is>
      </c>
      <c r="D88" s="19" t="n">
        <v>2050</v>
      </c>
      <c r="E88" s="27">
        <f>Model!AV217</f>
        <v/>
      </c>
      <c r="F88" s="19" t="inlineStr">
        <is>
          <t>DIGNAD-R Excel v0.1 (model output)</t>
        </is>
      </c>
    </row>
    <row r="89">
      <c r="A89" s="19" t="inlineStr">
        <is>
          <t>GHA</t>
        </is>
      </c>
      <c r="B89" s="19">
        <f>Calib!B9</f>
        <v/>
      </c>
      <c r="C89" s="19" t="inlineStr">
        <is>
          <t>dig.rents_pct_gdp</t>
        </is>
      </c>
      <c r="D89" s="19" t="n">
        <v>2050</v>
      </c>
      <c r="E89" s="27">
        <f>Model!G217*100</f>
        <v/>
      </c>
      <c r="F89" s="19" t="inlineStr">
        <is>
          <t>DIGNAD-R Excel v0.1 (model output)</t>
        </is>
      </c>
    </row>
    <row r="90">
      <c r="A90" s="19" t="inlineStr">
        <is>
          <t>SEN</t>
        </is>
      </c>
      <c r="B90" s="19">
        <f>Calib!B10</f>
        <v/>
      </c>
      <c r="C90" s="19" t="inlineStr">
        <is>
          <t>dig.gdp_dev_programme_pct</t>
        </is>
      </c>
      <c r="D90" s="19" t="n">
        <v>2030</v>
      </c>
      <c r="E90" s="27">
        <f>Model!AQ224</f>
        <v/>
      </c>
      <c r="F90" s="19" t="inlineStr">
        <is>
          <t>DIGNAD-R Excel v0.1 (model output)</t>
        </is>
      </c>
    </row>
    <row r="91">
      <c r="A91" s="19" t="inlineStr">
        <is>
          <t>SEN</t>
        </is>
      </c>
      <c r="B91" s="19">
        <f>Calib!B10</f>
        <v/>
      </c>
      <c r="C91" s="19" t="inlineStr">
        <is>
          <t>dig.gdp_dev_programme_pct</t>
        </is>
      </c>
      <c r="D91" s="19" t="n">
        <v>2050</v>
      </c>
      <c r="E91" s="27">
        <f>Model!AQ244</f>
        <v/>
      </c>
      <c r="F91" s="19" t="inlineStr">
        <is>
          <t>DIGNAD-R Excel v0.1 (model output)</t>
        </is>
      </c>
    </row>
    <row r="92">
      <c r="A92" s="19" t="inlineStr">
        <is>
          <t>SEN</t>
        </is>
      </c>
      <c r="B92" s="19">
        <f>Calib!B10</f>
        <v/>
      </c>
      <c r="C92" s="19" t="inlineStr">
        <is>
          <t>dig.gdp_vs_2024_programme_pct</t>
        </is>
      </c>
      <c r="D92" s="19" t="n">
        <v>2050</v>
      </c>
      <c r="E92" s="27">
        <f>Model!AR244</f>
        <v/>
      </c>
      <c r="F92" s="19" t="inlineStr">
        <is>
          <t>DIGNAD-R Excel v0.1 (model output)</t>
        </is>
      </c>
    </row>
    <row r="93">
      <c r="A93" s="19" t="inlineStr">
        <is>
          <t>SEN</t>
        </is>
      </c>
      <c r="B93" s="19">
        <f>Calib!B10</f>
        <v/>
      </c>
      <c r="C93" s="19" t="inlineStr">
        <is>
          <t>dig.gdp_vs_2024_baseline_pct</t>
        </is>
      </c>
      <c r="D93" s="19" t="n">
        <v>2050</v>
      </c>
      <c r="E93" s="27">
        <f>Model!AS244</f>
        <v/>
      </c>
      <c r="F93" s="19" t="inlineStr">
        <is>
          <t>DIGNAD-R Excel v0.1 (model output)</t>
        </is>
      </c>
    </row>
    <row r="94">
      <c r="A94" s="19" t="inlineStr">
        <is>
          <t>SEN</t>
        </is>
      </c>
      <c r="B94" s="19">
        <f>Calib!B10</f>
        <v/>
      </c>
      <c r="C94" s="19" t="inlineStr">
        <is>
          <t>dig.debt_programme_pct_gdp</t>
        </is>
      </c>
      <c r="D94" s="19" t="n">
        <v>2030</v>
      </c>
      <c r="E94" s="27">
        <f>Model!AN224*100</f>
        <v/>
      </c>
      <c r="F94" s="19" t="inlineStr">
        <is>
          <t>DIGNAD-R Excel v0.1 (model output)</t>
        </is>
      </c>
    </row>
    <row r="95">
      <c r="A95" s="19" t="inlineStr">
        <is>
          <t>SEN</t>
        </is>
      </c>
      <c r="B95" s="19">
        <f>Calib!B10</f>
        <v/>
      </c>
      <c r="C95" s="19" t="inlineStr">
        <is>
          <t>dig.debt_programme_pct_gdp</t>
        </is>
      </c>
      <c r="D95" s="19" t="n">
        <v>2050</v>
      </c>
      <c r="E95" s="27">
        <f>Model!AN244*100</f>
        <v/>
      </c>
      <c r="F95" s="19" t="inlineStr">
        <is>
          <t>DIGNAD-R Excel v0.1 (model output)</t>
        </is>
      </c>
    </row>
    <row r="96">
      <c r="A96" s="19" t="inlineStr">
        <is>
          <t>SEN</t>
        </is>
      </c>
      <c r="B96" s="19">
        <f>Calib!B10</f>
        <v/>
      </c>
      <c r="C96" s="19" t="inlineStr">
        <is>
          <t>dig.debt_baseline_pct_gdp</t>
        </is>
      </c>
      <c r="D96" s="19" t="n">
        <v>2050</v>
      </c>
      <c r="E96" s="27">
        <f>Model!X244*100</f>
        <v/>
      </c>
      <c r="F96" s="19" t="inlineStr">
        <is>
          <t>DIGNAD-R Excel v0.1 (model output)</t>
        </is>
      </c>
    </row>
    <row r="97">
      <c r="A97" s="19" t="inlineStr">
        <is>
          <t>SEN</t>
        </is>
      </c>
      <c r="B97" s="19">
        <f>Calib!B10</f>
        <v/>
      </c>
      <c r="C97" s="19" t="inlineStr">
        <is>
          <t>dig.debt_due_to_programme_pp</t>
        </is>
      </c>
      <c r="D97" s="19" t="n">
        <v>2050</v>
      </c>
      <c r="E97" s="27">
        <f>Model!AT244</f>
        <v/>
      </c>
      <c r="F97" s="19" t="inlineStr">
        <is>
          <t>DIGNAD-R Excel v0.1 (model output)</t>
        </is>
      </c>
    </row>
    <row r="98">
      <c r="A98" s="19" t="inlineStr">
        <is>
          <t>SEN</t>
        </is>
      </c>
      <c r="B98" s="19">
        <f>Calib!B10</f>
        <v/>
      </c>
      <c r="C98" s="19" t="inlineStr">
        <is>
          <t>dig.htm_consumption_dev_programme_pct</t>
        </is>
      </c>
      <c r="D98" s="19" t="n">
        <v>2050</v>
      </c>
      <c r="E98" s="27">
        <f>Model!AU244</f>
        <v/>
      </c>
      <c r="F98" s="19" t="inlineStr">
        <is>
          <t>DIGNAD-R Excel v0.1 (model output)</t>
        </is>
      </c>
    </row>
    <row r="99">
      <c r="A99" s="19" t="inlineStr">
        <is>
          <t>SEN</t>
        </is>
      </c>
      <c r="B99" s="19">
        <f>Calib!B10</f>
        <v/>
      </c>
      <c r="C99" s="19" t="inlineStr">
        <is>
          <t>dig.transfers_change_pp_gdp</t>
        </is>
      </c>
      <c r="D99" s="19" t="n">
        <v>2050</v>
      </c>
      <c r="E99" s="27">
        <f>Model!AV244</f>
        <v/>
      </c>
      <c r="F99" s="19" t="inlineStr">
        <is>
          <t>DIGNAD-R Excel v0.1 (model output)</t>
        </is>
      </c>
    </row>
    <row r="100">
      <c r="A100" s="19" t="inlineStr">
        <is>
          <t>SEN</t>
        </is>
      </c>
      <c r="B100" s="19">
        <f>Calib!B10</f>
        <v/>
      </c>
      <c r="C100" s="19" t="inlineStr">
        <is>
          <t>dig.rents_pct_gdp</t>
        </is>
      </c>
      <c r="D100" s="19" t="n">
        <v>2050</v>
      </c>
      <c r="E100" s="27">
        <f>Model!G244*100</f>
        <v/>
      </c>
      <c r="F100" s="19" t="inlineStr">
        <is>
          <t>DIGNAD-R Excel v0.1 (model output)</t>
        </is>
      </c>
    </row>
    <row r="101">
      <c r="A101" s="19" t="inlineStr">
        <is>
          <t>AGO</t>
        </is>
      </c>
      <c r="B101" s="19">
        <f>Calib!B11</f>
        <v/>
      </c>
      <c r="C101" s="19" t="inlineStr">
        <is>
          <t>dig.gdp_dev_programme_pct</t>
        </is>
      </c>
      <c r="D101" s="19" t="n">
        <v>2030</v>
      </c>
      <c r="E101" s="27">
        <f>Model!AQ251</f>
        <v/>
      </c>
      <c r="F101" s="19" t="inlineStr">
        <is>
          <t>DIGNAD-R Excel v0.1 (model output)</t>
        </is>
      </c>
    </row>
    <row r="102">
      <c r="A102" s="19" t="inlineStr">
        <is>
          <t>AGO</t>
        </is>
      </c>
      <c r="B102" s="19">
        <f>Calib!B11</f>
        <v/>
      </c>
      <c r="C102" s="19" t="inlineStr">
        <is>
          <t>dig.gdp_dev_programme_pct</t>
        </is>
      </c>
      <c r="D102" s="19" t="n">
        <v>2050</v>
      </c>
      <c r="E102" s="27">
        <f>Model!AQ271</f>
        <v/>
      </c>
      <c r="F102" s="19" t="inlineStr">
        <is>
          <t>DIGNAD-R Excel v0.1 (model output)</t>
        </is>
      </c>
    </row>
    <row r="103">
      <c r="A103" s="19" t="inlineStr">
        <is>
          <t>AGO</t>
        </is>
      </c>
      <c r="B103" s="19">
        <f>Calib!B11</f>
        <v/>
      </c>
      <c r="C103" s="19" t="inlineStr">
        <is>
          <t>dig.gdp_vs_2024_programme_pct</t>
        </is>
      </c>
      <c r="D103" s="19" t="n">
        <v>2050</v>
      </c>
      <c r="E103" s="27">
        <f>Model!AR271</f>
        <v/>
      </c>
      <c r="F103" s="19" t="inlineStr">
        <is>
          <t>DIGNAD-R Excel v0.1 (model output)</t>
        </is>
      </c>
    </row>
    <row r="104">
      <c r="A104" s="19" t="inlineStr">
        <is>
          <t>AGO</t>
        </is>
      </c>
      <c r="B104" s="19">
        <f>Calib!B11</f>
        <v/>
      </c>
      <c r="C104" s="19" t="inlineStr">
        <is>
          <t>dig.gdp_vs_2024_baseline_pct</t>
        </is>
      </c>
      <c r="D104" s="19" t="n">
        <v>2050</v>
      </c>
      <c r="E104" s="27">
        <f>Model!AS271</f>
        <v/>
      </c>
      <c r="F104" s="19" t="inlineStr">
        <is>
          <t>DIGNAD-R Excel v0.1 (model output)</t>
        </is>
      </c>
    </row>
    <row r="105">
      <c r="A105" s="19" t="inlineStr">
        <is>
          <t>AGO</t>
        </is>
      </c>
      <c r="B105" s="19">
        <f>Calib!B11</f>
        <v/>
      </c>
      <c r="C105" s="19" t="inlineStr">
        <is>
          <t>dig.debt_programme_pct_gdp</t>
        </is>
      </c>
      <c r="D105" s="19" t="n">
        <v>2030</v>
      </c>
      <c r="E105" s="27">
        <f>Model!AN251*100</f>
        <v/>
      </c>
      <c r="F105" s="19" t="inlineStr">
        <is>
          <t>DIGNAD-R Excel v0.1 (model output)</t>
        </is>
      </c>
    </row>
    <row r="106">
      <c r="A106" s="19" t="inlineStr">
        <is>
          <t>AGO</t>
        </is>
      </c>
      <c r="B106" s="19">
        <f>Calib!B11</f>
        <v/>
      </c>
      <c r="C106" s="19" t="inlineStr">
        <is>
          <t>dig.debt_programme_pct_gdp</t>
        </is>
      </c>
      <c r="D106" s="19" t="n">
        <v>2050</v>
      </c>
      <c r="E106" s="27">
        <f>Model!AN271*100</f>
        <v/>
      </c>
      <c r="F106" s="19" t="inlineStr">
        <is>
          <t>DIGNAD-R Excel v0.1 (model output)</t>
        </is>
      </c>
    </row>
    <row r="107">
      <c r="A107" s="19" t="inlineStr">
        <is>
          <t>AGO</t>
        </is>
      </c>
      <c r="B107" s="19">
        <f>Calib!B11</f>
        <v/>
      </c>
      <c r="C107" s="19" t="inlineStr">
        <is>
          <t>dig.debt_baseline_pct_gdp</t>
        </is>
      </c>
      <c r="D107" s="19" t="n">
        <v>2050</v>
      </c>
      <c r="E107" s="27">
        <f>Model!X271*100</f>
        <v/>
      </c>
      <c r="F107" s="19" t="inlineStr">
        <is>
          <t>DIGNAD-R Excel v0.1 (model output)</t>
        </is>
      </c>
    </row>
    <row r="108">
      <c r="A108" s="19" t="inlineStr">
        <is>
          <t>AGO</t>
        </is>
      </c>
      <c r="B108" s="19">
        <f>Calib!B11</f>
        <v/>
      </c>
      <c r="C108" s="19" t="inlineStr">
        <is>
          <t>dig.debt_due_to_programme_pp</t>
        </is>
      </c>
      <c r="D108" s="19" t="n">
        <v>2050</v>
      </c>
      <c r="E108" s="27">
        <f>Model!AT271</f>
        <v/>
      </c>
      <c r="F108" s="19" t="inlineStr">
        <is>
          <t>DIGNAD-R Excel v0.1 (model output)</t>
        </is>
      </c>
    </row>
    <row r="109">
      <c r="A109" s="19" t="inlineStr">
        <is>
          <t>AGO</t>
        </is>
      </c>
      <c r="B109" s="19">
        <f>Calib!B11</f>
        <v/>
      </c>
      <c r="C109" s="19" t="inlineStr">
        <is>
          <t>dig.htm_consumption_dev_programme_pct</t>
        </is>
      </c>
      <c r="D109" s="19" t="n">
        <v>2050</v>
      </c>
      <c r="E109" s="27">
        <f>Model!AU271</f>
        <v/>
      </c>
      <c r="F109" s="19" t="inlineStr">
        <is>
          <t>DIGNAD-R Excel v0.1 (model output)</t>
        </is>
      </c>
    </row>
    <row r="110">
      <c r="A110" s="19" t="inlineStr">
        <is>
          <t>AGO</t>
        </is>
      </c>
      <c r="B110" s="19">
        <f>Calib!B11</f>
        <v/>
      </c>
      <c r="C110" s="19" t="inlineStr">
        <is>
          <t>dig.transfers_change_pp_gdp</t>
        </is>
      </c>
      <c r="D110" s="19" t="n">
        <v>2050</v>
      </c>
      <c r="E110" s="27">
        <f>Model!AV271</f>
        <v/>
      </c>
      <c r="F110" s="19" t="inlineStr">
        <is>
          <t>DIGNAD-R Excel v0.1 (model output)</t>
        </is>
      </c>
    </row>
    <row r="111">
      <c r="A111" s="19" t="inlineStr">
        <is>
          <t>AGO</t>
        </is>
      </c>
      <c r="B111" s="19">
        <f>Calib!B11</f>
        <v/>
      </c>
      <c r="C111" s="19" t="inlineStr">
        <is>
          <t>dig.rents_pct_gdp</t>
        </is>
      </c>
      <c r="D111" s="19" t="n">
        <v>2050</v>
      </c>
      <c r="E111" s="27">
        <f>Model!G271*100</f>
        <v/>
      </c>
      <c r="F111" s="19" t="inlineStr">
        <is>
          <t>DIGNAD-R Excel v0.1 (model output)</t>
        </is>
      </c>
    </row>
    <row r="112">
      <c r="A112" s="19" t="inlineStr">
        <is>
          <t>COG</t>
        </is>
      </c>
      <c r="B112" s="19">
        <f>Calib!B12</f>
        <v/>
      </c>
      <c r="C112" s="19" t="inlineStr">
        <is>
          <t>dig.gdp_dev_programme_pct</t>
        </is>
      </c>
      <c r="D112" s="19" t="n">
        <v>2030</v>
      </c>
      <c r="E112" s="27">
        <f>Model!AQ278</f>
        <v/>
      </c>
      <c r="F112" s="19" t="inlineStr">
        <is>
          <t>DIGNAD-R Excel v0.1 (model output)</t>
        </is>
      </c>
    </row>
    <row r="113">
      <c r="A113" s="19" t="inlineStr">
        <is>
          <t>COG</t>
        </is>
      </c>
      <c r="B113" s="19">
        <f>Calib!B12</f>
        <v/>
      </c>
      <c r="C113" s="19" t="inlineStr">
        <is>
          <t>dig.gdp_dev_programme_pct</t>
        </is>
      </c>
      <c r="D113" s="19" t="n">
        <v>2050</v>
      </c>
      <c r="E113" s="27">
        <f>Model!AQ298</f>
        <v/>
      </c>
      <c r="F113" s="19" t="inlineStr">
        <is>
          <t>DIGNAD-R Excel v0.1 (model output)</t>
        </is>
      </c>
    </row>
    <row r="114">
      <c r="A114" s="19" t="inlineStr">
        <is>
          <t>COG</t>
        </is>
      </c>
      <c r="B114" s="19">
        <f>Calib!B12</f>
        <v/>
      </c>
      <c r="C114" s="19" t="inlineStr">
        <is>
          <t>dig.gdp_vs_2024_programme_pct</t>
        </is>
      </c>
      <c r="D114" s="19" t="n">
        <v>2050</v>
      </c>
      <c r="E114" s="27">
        <f>Model!AR298</f>
        <v/>
      </c>
      <c r="F114" s="19" t="inlineStr">
        <is>
          <t>DIGNAD-R Excel v0.1 (model output)</t>
        </is>
      </c>
    </row>
    <row r="115">
      <c r="A115" s="19" t="inlineStr">
        <is>
          <t>COG</t>
        </is>
      </c>
      <c r="B115" s="19">
        <f>Calib!B12</f>
        <v/>
      </c>
      <c r="C115" s="19" t="inlineStr">
        <is>
          <t>dig.gdp_vs_2024_baseline_pct</t>
        </is>
      </c>
      <c r="D115" s="19" t="n">
        <v>2050</v>
      </c>
      <c r="E115" s="27">
        <f>Model!AS298</f>
        <v/>
      </c>
      <c r="F115" s="19" t="inlineStr">
        <is>
          <t>DIGNAD-R Excel v0.1 (model output)</t>
        </is>
      </c>
    </row>
    <row r="116">
      <c r="A116" s="19" t="inlineStr">
        <is>
          <t>COG</t>
        </is>
      </c>
      <c r="B116" s="19">
        <f>Calib!B12</f>
        <v/>
      </c>
      <c r="C116" s="19" t="inlineStr">
        <is>
          <t>dig.debt_programme_pct_gdp</t>
        </is>
      </c>
      <c r="D116" s="19" t="n">
        <v>2030</v>
      </c>
      <c r="E116" s="27">
        <f>Model!AN278*100</f>
        <v/>
      </c>
      <c r="F116" s="19" t="inlineStr">
        <is>
          <t>DIGNAD-R Excel v0.1 (model output)</t>
        </is>
      </c>
    </row>
    <row r="117">
      <c r="A117" s="19" t="inlineStr">
        <is>
          <t>COG</t>
        </is>
      </c>
      <c r="B117" s="19">
        <f>Calib!B12</f>
        <v/>
      </c>
      <c r="C117" s="19" t="inlineStr">
        <is>
          <t>dig.debt_programme_pct_gdp</t>
        </is>
      </c>
      <c r="D117" s="19" t="n">
        <v>2050</v>
      </c>
      <c r="E117" s="27">
        <f>Model!AN298*100</f>
        <v/>
      </c>
      <c r="F117" s="19" t="inlineStr">
        <is>
          <t>DIGNAD-R Excel v0.1 (model output)</t>
        </is>
      </c>
    </row>
    <row r="118">
      <c r="A118" s="19" t="inlineStr">
        <is>
          <t>COG</t>
        </is>
      </c>
      <c r="B118" s="19">
        <f>Calib!B12</f>
        <v/>
      </c>
      <c r="C118" s="19" t="inlineStr">
        <is>
          <t>dig.debt_baseline_pct_gdp</t>
        </is>
      </c>
      <c r="D118" s="19" t="n">
        <v>2050</v>
      </c>
      <c r="E118" s="27">
        <f>Model!X298*100</f>
        <v/>
      </c>
      <c r="F118" s="19" t="inlineStr">
        <is>
          <t>DIGNAD-R Excel v0.1 (model output)</t>
        </is>
      </c>
    </row>
    <row r="119">
      <c r="A119" s="19" t="inlineStr">
        <is>
          <t>COG</t>
        </is>
      </c>
      <c r="B119" s="19">
        <f>Calib!B12</f>
        <v/>
      </c>
      <c r="C119" s="19" t="inlineStr">
        <is>
          <t>dig.debt_due_to_programme_pp</t>
        </is>
      </c>
      <c r="D119" s="19" t="n">
        <v>2050</v>
      </c>
      <c r="E119" s="27">
        <f>Model!AT298</f>
        <v/>
      </c>
      <c r="F119" s="19" t="inlineStr">
        <is>
          <t>DIGNAD-R Excel v0.1 (model output)</t>
        </is>
      </c>
    </row>
    <row r="120">
      <c r="A120" s="19" t="inlineStr">
        <is>
          <t>COG</t>
        </is>
      </c>
      <c r="B120" s="19">
        <f>Calib!B12</f>
        <v/>
      </c>
      <c r="C120" s="19" t="inlineStr">
        <is>
          <t>dig.htm_consumption_dev_programme_pct</t>
        </is>
      </c>
      <c r="D120" s="19" t="n">
        <v>2050</v>
      </c>
      <c r="E120" s="27">
        <f>Model!AU298</f>
        <v/>
      </c>
      <c r="F120" s="19" t="inlineStr">
        <is>
          <t>DIGNAD-R Excel v0.1 (model output)</t>
        </is>
      </c>
    </row>
    <row r="121">
      <c r="A121" s="19" t="inlineStr">
        <is>
          <t>COG</t>
        </is>
      </c>
      <c r="B121" s="19">
        <f>Calib!B12</f>
        <v/>
      </c>
      <c r="C121" s="19" t="inlineStr">
        <is>
          <t>dig.transfers_change_pp_gdp</t>
        </is>
      </c>
      <c r="D121" s="19" t="n">
        <v>2050</v>
      </c>
      <c r="E121" s="27">
        <f>Model!AV298</f>
        <v/>
      </c>
      <c r="F121" s="19" t="inlineStr">
        <is>
          <t>DIGNAD-R Excel v0.1 (model output)</t>
        </is>
      </c>
    </row>
    <row r="122">
      <c r="A122" s="19" t="inlineStr">
        <is>
          <t>COG</t>
        </is>
      </c>
      <c r="B122" s="19">
        <f>Calib!B12</f>
        <v/>
      </c>
      <c r="C122" s="19" t="inlineStr">
        <is>
          <t>dig.rents_pct_gdp</t>
        </is>
      </c>
      <c r="D122" s="19" t="n">
        <v>2050</v>
      </c>
      <c r="E122" s="27">
        <f>Model!G298*100</f>
        <v/>
      </c>
      <c r="F122" s="19" t="inlineStr">
        <is>
          <t>DIGNAD-R Excel v0.1 (model output)</t>
        </is>
      </c>
    </row>
    <row r="123">
      <c r="A123" s="19" t="inlineStr">
        <is>
          <t>TCD</t>
        </is>
      </c>
      <c r="B123" s="19">
        <f>Calib!B13</f>
        <v/>
      </c>
      <c r="C123" s="19" t="inlineStr">
        <is>
          <t>dig.gdp_dev_programme_pct</t>
        </is>
      </c>
      <c r="D123" s="19" t="n">
        <v>2030</v>
      </c>
      <c r="E123" s="27">
        <f>Model!AQ305</f>
        <v/>
      </c>
      <c r="F123" s="19" t="inlineStr">
        <is>
          <t>DIGNAD-R Excel v0.1 (model output)</t>
        </is>
      </c>
    </row>
    <row r="124">
      <c r="A124" s="19" t="inlineStr">
        <is>
          <t>TCD</t>
        </is>
      </c>
      <c r="B124" s="19">
        <f>Calib!B13</f>
        <v/>
      </c>
      <c r="C124" s="19" t="inlineStr">
        <is>
          <t>dig.gdp_dev_programme_pct</t>
        </is>
      </c>
      <c r="D124" s="19" t="n">
        <v>2050</v>
      </c>
      <c r="E124" s="27">
        <f>Model!AQ325</f>
        <v/>
      </c>
      <c r="F124" s="19" t="inlineStr">
        <is>
          <t>DIGNAD-R Excel v0.1 (model output)</t>
        </is>
      </c>
    </row>
    <row r="125">
      <c r="A125" s="19" t="inlineStr">
        <is>
          <t>TCD</t>
        </is>
      </c>
      <c r="B125" s="19">
        <f>Calib!B13</f>
        <v/>
      </c>
      <c r="C125" s="19" t="inlineStr">
        <is>
          <t>dig.gdp_vs_2024_programme_pct</t>
        </is>
      </c>
      <c r="D125" s="19" t="n">
        <v>2050</v>
      </c>
      <c r="E125" s="27">
        <f>Model!AR325</f>
        <v/>
      </c>
      <c r="F125" s="19" t="inlineStr">
        <is>
          <t>DIGNAD-R Excel v0.1 (model output)</t>
        </is>
      </c>
    </row>
    <row r="126">
      <c r="A126" s="19" t="inlineStr">
        <is>
          <t>TCD</t>
        </is>
      </c>
      <c r="B126" s="19">
        <f>Calib!B13</f>
        <v/>
      </c>
      <c r="C126" s="19" t="inlineStr">
        <is>
          <t>dig.gdp_vs_2024_baseline_pct</t>
        </is>
      </c>
      <c r="D126" s="19" t="n">
        <v>2050</v>
      </c>
      <c r="E126" s="27">
        <f>Model!AS325</f>
        <v/>
      </c>
      <c r="F126" s="19" t="inlineStr">
        <is>
          <t>DIGNAD-R Excel v0.1 (model output)</t>
        </is>
      </c>
    </row>
    <row r="127">
      <c r="A127" s="19" t="inlineStr">
        <is>
          <t>TCD</t>
        </is>
      </c>
      <c r="B127" s="19">
        <f>Calib!B13</f>
        <v/>
      </c>
      <c r="C127" s="19" t="inlineStr">
        <is>
          <t>dig.debt_programme_pct_gdp</t>
        </is>
      </c>
      <c r="D127" s="19" t="n">
        <v>2030</v>
      </c>
      <c r="E127" s="27">
        <f>Model!AN305*100</f>
        <v/>
      </c>
      <c r="F127" s="19" t="inlineStr">
        <is>
          <t>DIGNAD-R Excel v0.1 (model output)</t>
        </is>
      </c>
    </row>
    <row r="128">
      <c r="A128" s="19" t="inlineStr">
        <is>
          <t>TCD</t>
        </is>
      </c>
      <c r="B128" s="19">
        <f>Calib!B13</f>
        <v/>
      </c>
      <c r="C128" s="19" t="inlineStr">
        <is>
          <t>dig.debt_programme_pct_gdp</t>
        </is>
      </c>
      <c r="D128" s="19" t="n">
        <v>2050</v>
      </c>
      <c r="E128" s="27">
        <f>Model!AN325*100</f>
        <v/>
      </c>
      <c r="F128" s="19" t="inlineStr">
        <is>
          <t>DIGNAD-R Excel v0.1 (model output)</t>
        </is>
      </c>
    </row>
    <row r="129">
      <c r="A129" s="19" t="inlineStr">
        <is>
          <t>TCD</t>
        </is>
      </c>
      <c r="B129" s="19">
        <f>Calib!B13</f>
        <v/>
      </c>
      <c r="C129" s="19" t="inlineStr">
        <is>
          <t>dig.debt_baseline_pct_gdp</t>
        </is>
      </c>
      <c r="D129" s="19" t="n">
        <v>2050</v>
      </c>
      <c r="E129" s="27">
        <f>Model!X325*100</f>
        <v/>
      </c>
      <c r="F129" s="19" t="inlineStr">
        <is>
          <t>DIGNAD-R Excel v0.1 (model output)</t>
        </is>
      </c>
    </row>
    <row r="130">
      <c r="A130" s="19" t="inlineStr">
        <is>
          <t>TCD</t>
        </is>
      </c>
      <c r="B130" s="19">
        <f>Calib!B13</f>
        <v/>
      </c>
      <c r="C130" s="19" t="inlineStr">
        <is>
          <t>dig.debt_due_to_programme_pp</t>
        </is>
      </c>
      <c r="D130" s="19" t="n">
        <v>2050</v>
      </c>
      <c r="E130" s="27">
        <f>Model!AT325</f>
        <v/>
      </c>
      <c r="F130" s="19" t="inlineStr">
        <is>
          <t>DIGNAD-R Excel v0.1 (model output)</t>
        </is>
      </c>
    </row>
    <row r="131">
      <c r="A131" s="19" t="inlineStr">
        <is>
          <t>TCD</t>
        </is>
      </c>
      <c r="B131" s="19">
        <f>Calib!B13</f>
        <v/>
      </c>
      <c r="C131" s="19" t="inlineStr">
        <is>
          <t>dig.htm_consumption_dev_programme_pct</t>
        </is>
      </c>
      <c r="D131" s="19" t="n">
        <v>2050</v>
      </c>
      <c r="E131" s="27">
        <f>Model!AU325</f>
        <v/>
      </c>
      <c r="F131" s="19" t="inlineStr">
        <is>
          <t>DIGNAD-R Excel v0.1 (model output)</t>
        </is>
      </c>
    </row>
    <row r="132">
      <c r="A132" s="19" t="inlineStr">
        <is>
          <t>TCD</t>
        </is>
      </c>
      <c r="B132" s="19">
        <f>Calib!B13</f>
        <v/>
      </c>
      <c r="C132" s="19" t="inlineStr">
        <is>
          <t>dig.transfers_change_pp_gdp</t>
        </is>
      </c>
      <c r="D132" s="19" t="n">
        <v>2050</v>
      </c>
      <c r="E132" s="27">
        <f>Model!AV325</f>
        <v/>
      </c>
      <c r="F132" s="19" t="inlineStr">
        <is>
          <t>DIGNAD-R Excel v0.1 (model output)</t>
        </is>
      </c>
    </row>
    <row r="133">
      <c r="A133" s="19" t="inlineStr">
        <is>
          <t>TCD</t>
        </is>
      </c>
      <c r="B133" s="19">
        <f>Calib!B13</f>
        <v/>
      </c>
      <c r="C133" s="19" t="inlineStr">
        <is>
          <t>dig.rents_pct_gdp</t>
        </is>
      </c>
      <c r="D133" s="19" t="n">
        <v>2050</v>
      </c>
      <c r="E133" s="27">
        <f>Model!G325*100</f>
        <v/>
      </c>
      <c r="F133" s="19" t="inlineStr">
        <is>
          <t>DIGNAD-R Excel v0.1 (model output)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52" customWidth="1" min="3" max="3"/>
    <col width="10" customWidth="1" min="4" max="4"/>
    <col width="12" customWidth="1" min="5" max="5"/>
    <col width="60" customWidth="1" min="6" max="6"/>
  </cols>
  <sheetData>
    <row r="1">
      <c r="A1" s="16" t="inlineStr">
        <is>
          <t>direction</t>
        </is>
      </c>
      <c r="B1" s="16" t="inlineStr">
        <is>
          <t>code</t>
        </is>
      </c>
      <c r="C1" s="16" t="inlineStr">
        <is>
          <t>label</t>
        </is>
      </c>
      <c r="D1" s="16" t="inlineStr">
        <is>
          <t>unit</t>
        </is>
      </c>
      <c r="E1" s="16" t="inlineStr">
        <is>
          <t>form</t>
        </is>
      </c>
      <c r="F1" s="16" t="inlineStr">
        <is>
          <t>notes</t>
        </is>
      </c>
    </row>
    <row r="2">
      <c r="A2" s="19" t="inlineStr">
        <is>
          <t>in</t>
        </is>
      </c>
      <c r="B2" s="19" t="inlineStr">
        <is>
          <t>gross_debt_pct_gdp</t>
        </is>
      </c>
      <c r="C2" s="19" t="inlineStr">
        <is>
          <t>Gross debt, general govt (% GDP)</t>
        </is>
      </c>
      <c r="D2" s="19" t="inlineStr">
        <is>
          <t>%</t>
        </is>
      </c>
      <c r="E2" s="19" t="inlineStr">
        <is>
          <t>Data_wide</t>
        </is>
      </c>
      <c r="F2" s="19" t="inlineStr">
        <is>
          <t>dashboard column, same code</t>
        </is>
      </c>
    </row>
    <row r="3">
      <c r="A3" s="19" t="inlineStr">
        <is>
          <t>in</t>
        </is>
      </c>
      <c r="B3" s="19" t="inlineStr">
        <is>
          <t>tax_revenue_pct_gdp</t>
        </is>
      </c>
      <c r="C3" s="19" t="inlineStr">
        <is>
          <t>Tax revenue (% GDP)</t>
        </is>
      </c>
      <c r="D3" s="19" t="inlineStr">
        <is>
          <t>%</t>
        </is>
      </c>
      <c r="E3" s="19" t="inlineStr">
        <is>
          <t>Data_wide</t>
        </is>
      </c>
      <c r="F3" s="19" t="inlineStr">
        <is>
          <t>dashboard column, same code</t>
        </is>
      </c>
    </row>
    <row r="4">
      <c r="A4" s="19" t="inlineStr">
        <is>
          <t>in</t>
        </is>
      </c>
      <c r="B4" s="19" t="inlineStr">
        <is>
          <t>pefa_pi11_pim_score</t>
        </is>
      </c>
      <c r="C4" s="19" t="inlineStr">
        <is>
          <t>PEFA PI-11 public investment management (1-4)</t>
        </is>
      </c>
      <c r="D4" s="19" t="inlineStr">
        <is>
          <t>%</t>
        </is>
      </c>
      <c r="E4" s="19" t="inlineStr">
        <is>
          <t>Data_wide</t>
        </is>
      </c>
      <c r="F4" s="19" t="inlineStr">
        <is>
          <t>dashboard column, same code</t>
        </is>
      </c>
    </row>
    <row r="5">
      <c r="A5" s="19" t="inlineStr">
        <is>
          <t>in</t>
        </is>
      </c>
      <c r="B5" s="19" t="inlineStr">
        <is>
          <t>ids_multilateral_share_pct</t>
        </is>
      </c>
      <c r="C5" s="19" t="inlineStr">
        <is>
          <t>Multilateral share of PPG external debt (%)</t>
        </is>
      </c>
      <c r="D5" s="19" t="inlineStr">
        <is>
          <t>%</t>
        </is>
      </c>
      <c r="E5" s="19" t="inlineStr">
        <is>
          <t>Data_wide</t>
        </is>
      </c>
      <c r="F5" s="19" t="inlineStr">
        <is>
          <t>dashboard column, same code</t>
        </is>
      </c>
    </row>
    <row r="6">
      <c r="A6" s="19" t="inlineStr">
        <is>
          <t>in</t>
        </is>
      </c>
      <c r="B6" s="19" t="inlineStr">
        <is>
          <t>ids_private_creditor_rate_pct</t>
        </is>
      </c>
      <c r="C6" s="19" t="inlineStr">
        <is>
          <t>Interest rate, private creditors (%)</t>
        </is>
      </c>
      <c r="D6" s="19" t="inlineStr">
        <is>
          <t>%</t>
        </is>
      </c>
      <c r="E6" s="19" t="inlineStr">
        <is>
          <t>Data_wide</t>
        </is>
      </c>
      <c r="F6" s="19" t="inlineStr">
        <is>
          <t>dashboard column, same code</t>
        </is>
      </c>
    </row>
    <row r="7">
      <c r="A7" s="19" t="inlineStr">
        <is>
          <t>in</t>
        </is>
      </c>
      <c r="B7" s="19" t="inlineStr">
        <is>
          <t>fossil_rents_total_pct_gdp</t>
        </is>
      </c>
      <c r="C7" s="19" t="inlineStr">
        <is>
          <t>Fossil rents, oil + gas + coal (% GDP)</t>
        </is>
      </c>
      <c r="D7" s="19" t="inlineStr">
        <is>
          <t>%</t>
        </is>
      </c>
      <c r="E7" s="19" t="inlineStr">
        <is>
          <t>Data_wide</t>
        </is>
      </c>
      <c r="F7" s="19" t="inlineStr">
        <is>
          <t>dashboard column, same code</t>
        </is>
      </c>
    </row>
    <row r="8">
      <c r="A8" s="19" t="inlineStr">
        <is>
          <t>in</t>
        </is>
      </c>
      <c r="B8" s="19" t="inlineStr">
        <is>
          <t>public_investment_pct_gdp</t>
        </is>
      </c>
      <c r="C8" s="19" t="inlineStr">
        <is>
          <t>Public investment (% GDP)</t>
        </is>
      </c>
      <c r="D8" s="19" t="inlineStr">
        <is>
          <t>%</t>
        </is>
      </c>
      <c r="E8" s="19" t="inlineStr">
        <is>
          <t>Data_wide</t>
        </is>
      </c>
      <c r="F8" s="19" t="inlineStr">
        <is>
          <t>augmented; default until in the dashboard</t>
        </is>
      </c>
    </row>
    <row r="9">
      <c r="A9" s="19" t="inlineStr">
        <is>
          <t>in</t>
        </is>
      </c>
      <c r="B9" s="19" t="inlineStr">
        <is>
          <t>return_public_capital_pct</t>
        </is>
      </c>
      <c r="C9" s="19" t="inlineStr">
        <is>
          <t>Return on public capital (%)</t>
        </is>
      </c>
      <c r="D9" s="19" t="inlineStr">
        <is>
          <t>%</t>
        </is>
      </c>
      <c r="E9" s="19" t="inlineStr">
        <is>
          <t>Data_wide</t>
        </is>
      </c>
      <c r="F9" s="19" t="inlineStr">
        <is>
          <t>augmented; default until in the dashboard</t>
        </is>
      </c>
    </row>
    <row r="10">
      <c r="A10" s="19" t="inlineStr">
        <is>
          <t>in</t>
        </is>
      </c>
      <c r="B10" s="19" t="inlineStr">
        <is>
          <t>hand_to_mouth_pct</t>
        </is>
      </c>
      <c r="C10" s="19" t="inlineStr">
        <is>
          <t>Hand-to-mouth households (%)</t>
        </is>
      </c>
      <c r="D10" s="19" t="inlineStr">
        <is>
          <t>%</t>
        </is>
      </c>
      <c r="E10" s="19" t="inlineStr">
        <is>
          <t>Data_wide</t>
        </is>
      </c>
      <c r="F10" s="19" t="inlineStr">
        <is>
          <t>augmented; default until in the dashboard</t>
        </is>
      </c>
    </row>
    <row r="11">
      <c r="A11" s="19" t="inlineStr">
        <is>
          <t>in</t>
        </is>
      </c>
      <c r="B11" s="19" t="inlineStr">
        <is>
          <t>grants_pct_gdp</t>
        </is>
      </c>
      <c r="C11" s="19" t="inlineStr">
        <is>
          <t>Grants (% GDP)</t>
        </is>
      </c>
      <c r="D11" s="19" t="inlineStr">
        <is>
          <t>%</t>
        </is>
      </c>
      <c r="E11" s="19" t="inlineStr">
        <is>
          <t>Data_wide</t>
        </is>
      </c>
      <c r="F11" s="19" t="inlineStr">
        <is>
          <t>augmented; default until in the dashboard</t>
        </is>
      </c>
    </row>
    <row r="12">
      <c r="A12" s="19" t="inlineStr">
        <is>
          <t>in</t>
        </is>
      </c>
      <c r="B12" s="19" t="inlineStr">
        <is>
          <t>fiscal_rule_speed</t>
        </is>
      </c>
      <c r="C12" s="19" t="inlineStr">
        <is>
          <t>Fiscal rule speed needed to stabilise debt</t>
        </is>
      </c>
      <c r="D12" s="19" t="inlineStr">
        <is>
          <t>x</t>
        </is>
      </c>
      <c r="E12" s="19" t="inlineStr">
        <is>
          <t>Data_wide</t>
        </is>
      </c>
      <c r="F12" s="19" t="inlineStr">
        <is>
          <t>augmented; passed in from the integrated run (module-to-module example)</t>
        </is>
      </c>
    </row>
    <row r="13">
      <c r="A13" s="19" t="inlineStr">
        <is>
          <t>in</t>
        </is>
      </c>
      <c r="B13" s="19" t="inlineStr">
        <is>
          <t>pub_cap</t>
        </is>
      </c>
      <c r="C13" s="19" t="inlineStr">
        <is>
          <t>Budget need, capital (% GDP)</t>
        </is>
      </c>
      <c r="D13" s="19" t="inlineStr">
        <is>
          <t>% GDP</t>
        </is>
      </c>
      <c r="E13" s="19" t="inlineStr">
        <is>
          <t>Data_long</t>
        </is>
      </c>
      <c r="F13" s="19" t="inlineStr">
        <is>
          <t>annual 2025-2050</t>
        </is>
      </c>
    </row>
    <row r="14">
      <c r="A14" s="19" t="inlineStr">
        <is>
          <t>in</t>
        </is>
      </c>
      <c r="B14" s="19" t="inlineStr">
        <is>
          <t>pub_spend</t>
        </is>
      </c>
      <c r="C14" s="19" t="inlineStr">
        <is>
          <t>Budget need, spending: land use, non-CO2 (% GDP)</t>
        </is>
      </c>
      <c r="D14" s="19" t="inlineStr">
        <is>
          <t>% GDP</t>
        </is>
      </c>
      <c r="E14" s="19" t="inlineStr">
        <is>
          <t>Data_long</t>
        </is>
      </c>
      <c r="F14" s="19" t="inlineStr">
        <is>
          <t>annual 2025-2050</t>
        </is>
      </c>
    </row>
    <row r="15">
      <c r="A15" s="19" t="inlineStr">
        <is>
          <t>in</t>
        </is>
      </c>
      <c r="B15" s="19" t="inlineStr">
        <is>
          <t>rev</t>
        </is>
      </c>
      <c r="C15" s="19" t="inlineStr">
        <is>
          <t>Feasible power carbon-pricing revenue (% GDP)</t>
        </is>
      </c>
      <c r="D15" s="19" t="inlineStr">
        <is>
          <t>% GDP</t>
        </is>
      </c>
      <c r="E15" s="19" t="inlineStr">
        <is>
          <t>Data_long</t>
        </is>
      </c>
      <c r="F15" s="19" t="inlineStr">
        <is>
          <t>annual 2025-2050</t>
        </is>
      </c>
    </row>
    <row r="16">
      <c r="A16" s="23" t="inlineStr">
        <is>
          <t>out</t>
        </is>
      </c>
      <c r="B16" s="23" t="inlineStr">
        <is>
          <t>dig.gdp_dev_programme_pct</t>
        </is>
      </c>
      <c r="C16" s="23" t="inlineStr">
        <is>
          <t>GDP, programme vs baseline</t>
        </is>
      </c>
      <c r="D16" s="23" t="inlineStr">
        <is>
          <t>%</t>
        </is>
      </c>
      <c r="E16" s="23" t="inlineStr">
        <is>
          <t>Outputs (long)</t>
        </is>
      </c>
      <c r="F16" s="23" t="inlineStr">
        <is>
          <t>years 2030, 2050</t>
        </is>
      </c>
    </row>
    <row r="17">
      <c r="A17" s="23" t="inlineStr">
        <is>
          <t>out</t>
        </is>
      </c>
      <c r="B17" s="23" t="inlineStr">
        <is>
          <t>dig.gdp_vs_2024_programme_pct</t>
        </is>
      </c>
      <c r="C17" s="23" t="inlineStr">
        <is>
          <t>GDP vs 2024, programme</t>
        </is>
      </c>
      <c r="D17" s="23" t="inlineStr">
        <is>
          <t>%</t>
        </is>
      </c>
      <c r="E17" s="23" t="inlineStr">
        <is>
          <t>Outputs (long)</t>
        </is>
      </c>
      <c r="F17" s="23" t="inlineStr">
        <is>
          <t>years 2050</t>
        </is>
      </c>
    </row>
    <row r="18">
      <c r="A18" s="23" t="inlineStr">
        <is>
          <t>out</t>
        </is>
      </c>
      <c r="B18" s="23" t="inlineStr">
        <is>
          <t>dig.gdp_vs_2024_baseline_pct</t>
        </is>
      </c>
      <c r="C18" s="23" t="inlineStr">
        <is>
          <t>GDP vs 2024, baseline (incl. rent fall)</t>
        </is>
      </c>
      <c r="D18" s="23" t="inlineStr">
        <is>
          <t>%</t>
        </is>
      </c>
      <c r="E18" s="23" t="inlineStr">
        <is>
          <t>Outputs (long)</t>
        </is>
      </c>
      <c r="F18" s="23" t="inlineStr">
        <is>
          <t>years 2050</t>
        </is>
      </c>
    </row>
    <row r="19">
      <c r="A19" s="23" t="inlineStr">
        <is>
          <t>out</t>
        </is>
      </c>
      <c r="B19" s="23" t="inlineStr">
        <is>
          <t>dig.debt_programme_pct_gdp</t>
        </is>
      </c>
      <c r="C19" s="23" t="inlineStr">
        <is>
          <t>Public debt, programme</t>
        </is>
      </c>
      <c r="D19" s="23" t="inlineStr">
        <is>
          <t>% GDP</t>
        </is>
      </c>
      <c r="E19" s="23" t="inlineStr">
        <is>
          <t>Outputs (long)</t>
        </is>
      </c>
      <c r="F19" s="23" t="inlineStr">
        <is>
          <t>years 2030, 2050</t>
        </is>
      </c>
    </row>
    <row r="20">
      <c r="A20" s="23" t="inlineStr">
        <is>
          <t>out</t>
        </is>
      </c>
      <c r="B20" s="23" t="inlineStr">
        <is>
          <t>dig.debt_baseline_pct_gdp</t>
        </is>
      </c>
      <c r="C20" s="23" t="inlineStr">
        <is>
          <t>Public debt, baseline</t>
        </is>
      </c>
      <c r="D20" s="23" t="inlineStr">
        <is>
          <t>% GDP</t>
        </is>
      </c>
      <c r="E20" s="23" t="inlineStr">
        <is>
          <t>Outputs (long)</t>
        </is>
      </c>
      <c r="F20" s="23" t="inlineStr">
        <is>
          <t>years 2050</t>
        </is>
      </c>
    </row>
    <row r="21">
      <c r="A21" s="23" t="inlineStr">
        <is>
          <t>out</t>
        </is>
      </c>
      <c r="B21" s="23" t="inlineStr">
        <is>
          <t>dig.debt_due_to_programme_pp</t>
        </is>
      </c>
      <c r="C21" s="23" t="inlineStr">
        <is>
          <t>Debt added by the programme</t>
        </is>
      </c>
      <c r="D21" s="23" t="inlineStr">
        <is>
          <t>pp GDP</t>
        </is>
      </c>
      <c r="E21" s="23" t="inlineStr">
        <is>
          <t>Outputs (long)</t>
        </is>
      </c>
      <c r="F21" s="23" t="inlineStr">
        <is>
          <t>years 2050</t>
        </is>
      </c>
    </row>
    <row r="22">
      <c r="A22" s="23" t="inlineStr">
        <is>
          <t>out</t>
        </is>
      </c>
      <c r="B22" s="23" t="inlineStr">
        <is>
          <t>dig.htm_consumption_dev_programme_pct</t>
        </is>
      </c>
      <c r="C22" s="23" t="inlineStr">
        <is>
          <t>Hand-to-mouth consumption, programme vs baseline</t>
        </is>
      </c>
      <c r="D22" s="23" t="inlineStr">
        <is>
          <t>%</t>
        </is>
      </c>
      <c r="E22" s="23" t="inlineStr">
        <is>
          <t>Outputs (long)</t>
        </is>
      </c>
      <c r="F22" s="23" t="inlineStr">
        <is>
          <t>years 2050</t>
        </is>
      </c>
    </row>
    <row r="23">
      <c r="A23" s="23" t="inlineStr">
        <is>
          <t>out</t>
        </is>
      </c>
      <c r="B23" s="23" t="inlineStr">
        <is>
          <t>dig.transfers_change_pp_gdp</t>
        </is>
      </c>
      <c r="C23" s="23" t="inlineStr">
        <is>
          <t>Transfers, programme vs baseline (fiscal rule)</t>
        </is>
      </c>
      <c r="D23" s="23" t="inlineStr">
        <is>
          <t>pp GDP</t>
        </is>
      </c>
      <c r="E23" s="23" t="inlineStr">
        <is>
          <t>Outputs (long)</t>
        </is>
      </c>
      <c r="F23" s="23" t="inlineStr">
        <is>
          <t>years 2050</t>
        </is>
      </c>
    </row>
    <row r="24">
      <c r="A24" s="23" t="inlineStr">
        <is>
          <t>out</t>
        </is>
      </c>
      <c r="B24" s="23" t="inlineStr">
        <is>
          <t>dig.rents_pct_gdp</t>
        </is>
      </c>
      <c r="C24" s="23" t="inlineStr">
        <is>
          <t>Fossil rents (resource block)</t>
        </is>
      </c>
      <c r="D24" s="23" t="inlineStr">
        <is>
          <t>% GDP</t>
        </is>
      </c>
      <c r="E24" s="23" t="inlineStr">
        <is>
          <t>Outputs (long)</t>
        </is>
      </c>
      <c r="F24" s="23" t="inlineStr">
        <is>
          <t>years 2050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14" customWidth="1" min="4" max="4"/>
    <col width="12" customWidth="1" min="5" max="5"/>
    <col width="12" customWidth="1" min="6" max="6"/>
    <col width="40" customWidth="1" min="7" max="7"/>
  </cols>
  <sheetData>
    <row r="1">
      <c r="A1" s="16" t="inlineStr">
        <is>
          <t>iso3</t>
        </is>
      </c>
      <c r="B1" s="16" t="inlineStr">
        <is>
          <t>model in the integrated run</t>
        </is>
      </c>
      <c r="C1" s="16" t="inlineStr">
        <is>
          <t>GDP vs 2024, 2050: Python</t>
        </is>
      </c>
      <c r="D1" s="16" t="inlineStr">
        <is>
          <t>GDP vs 2024, 2050: Excel</t>
        </is>
      </c>
      <c r="E1" s="16" t="inlineStr">
        <is>
          <t>Debt 2050: Python</t>
        </is>
      </c>
      <c r="F1" s="16" t="inlineStr">
        <is>
          <t>Debt 2050: Excel</t>
        </is>
      </c>
      <c r="G1" s="16" t="inlineStr">
        <is>
          <t>comparable?</t>
        </is>
      </c>
    </row>
    <row r="2">
      <c r="A2" s="19" t="inlineStr">
        <is>
          <t>KEN</t>
        </is>
      </c>
      <c r="B2" s="19" t="inlineStr">
        <is>
          <t>DIGNAD-lite</t>
        </is>
      </c>
      <c r="C2" s="27" t="n">
        <v>0.261</v>
      </c>
      <c r="D2" s="27">
        <f>SUMIFS(Outputs!$E:$E,Outputs!$A:$A,$A2,Outputs!$C:$C,"dig.gdp_vs_2024_programme_pct",Outputs!$D:$D,2050)</f>
        <v/>
      </c>
      <c r="E2" s="27" t="n">
        <v>74.56999999999999</v>
      </c>
      <c r="F2" s="27">
        <f>SUMIFS(Outputs!$E:$E,Outputs!$A:$A,$A2,Outputs!$C:$C,"dig.debt_programme_pct_gdp",Outputs!$D:$D,2050)</f>
        <v/>
      </c>
      <c r="G2" s="19" t="inlineStr">
        <is>
          <t>yes</t>
        </is>
      </c>
    </row>
    <row r="3">
      <c r="A3" s="19" t="inlineStr">
        <is>
          <t>SLE</t>
        </is>
      </c>
      <c r="B3" s="19" t="inlineStr">
        <is>
          <t>DIGNAD-lite</t>
        </is>
      </c>
      <c r="C3" s="27" t="n">
        <v>0.443</v>
      </c>
      <c r="D3" s="27">
        <f>SUMIFS(Outputs!$E:$E,Outputs!$A:$A,$A3,Outputs!$C:$C,"dig.gdp_vs_2024_programme_pct",Outputs!$D:$D,2050)</f>
        <v/>
      </c>
      <c r="E3" s="27" t="n">
        <v>69.29000000000001</v>
      </c>
      <c r="F3" s="27">
        <f>SUMIFS(Outputs!$E:$E,Outputs!$A:$A,$A3,Outputs!$C:$C,"dig.debt_programme_pct_gdp",Outputs!$D:$D,2050)</f>
        <v/>
      </c>
      <c r="G3" s="19" t="inlineStr">
        <is>
          <t>yes</t>
        </is>
      </c>
    </row>
    <row r="4">
      <c r="A4" s="19" t="inlineStr">
        <is>
          <t>UGA</t>
        </is>
      </c>
      <c r="B4" s="19" t="inlineStr">
        <is>
          <t>DIGNAD-lite</t>
        </is>
      </c>
      <c r="C4" s="27" t="n">
        <v>0.4096</v>
      </c>
      <c r="D4" s="27">
        <f>SUMIFS(Outputs!$E:$E,Outputs!$A:$A,$A4,Outputs!$C:$C,"dig.gdp_vs_2024_programme_pct",Outputs!$D:$D,2050)</f>
        <v/>
      </c>
      <c r="E4" s="27" t="n">
        <v>65.65000000000001</v>
      </c>
      <c r="F4" s="27">
        <f>SUMIFS(Outputs!$E:$E,Outputs!$A:$A,$A4,Outputs!$C:$C,"dig.debt_programme_pct_gdp",Outputs!$D:$D,2050)</f>
        <v/>
      </c>
      <c r="G4" s="19" t="inlineStr">
        <is>
          <t>yes</t>
        </is>
      </c>
    </row>
    <row r="5">
      <c r="A5" s="19" t="inlineStr">
        <is>
          <t>LBR</t>
        </is>
      </c>
      <c r="B5" s="19" t="inlineStr">
        <is>
          <t>DIGNAD-lite</t>
        </is>
      </c>
      <c r="C5" s="27" t="n">
        <v>0.5648</v>
      </c>
      <c r="D5" s="27">
        <f>SUMIFS(Outputs!$E:$E,Outputs!$A:$A,$A5,Outputs!$C:$C,"dig.gdp_vs_2024_programme_pct",Outputs!$D:$D,2050)</f>
        <v/>
      </c>
      <c r="E5" s="27" t="n">
        <v>100</v>
      </c>
      <c r="F5" s="27">
        <f>SUMIFS(Outputs!$E:$E,Outputs!$A:$A,$A5,Outputs!$C:$C,"dig.debt_programme_pct_gdp",Outputs!$D:$D,2050)</f>
        <v/>
      </c>
      <c r="G5" s="19" t="inlineStr">
        <is>
          <t>yes</t>
        </is>
      </c>
    </row>
    <row r="6">
      <c r="A6" s="19" t="inlineStr">
        <is>
          <t>ETH</t>
        </is>
      </c>
      <c r="B6" s="19" t="inlineStr">
        <is>
          <t>DIGNAD-lite</t>
        </is>
      </c>
      <c r="C6" s="27" t="n">
        <v>0.7443</v>
      </c>
      <c r="D6" s="27">
        <f>SUMIFS(Outputs!$E:$E,Outputs!$A:$A,$A6,Outputs!$C:$C,"dig.gdp_vs_2024_programme_pct",Outputs!$D:$D,2050)</f>
        <v/>
      </c>
      <c r="E6" s="27" t="n">
        <v>48.15</v>
      </c>
      <c r="F6" s="27">
        <f>SUMIFS(Outputs!$E:$E,Outputs!$A:$A,$A6,Outputs!$C:$C,"dig.debt_programme_pct_gdp",Outputs!$D:$D,2050)</f>
        <v/>
      </c>
      <c r="G6" s="19" t="inlineStr">
        <is>
          <t>yes</t>
        </is>
      </c>
    </row>
    <row r="7">
      <c r="A7" s="19" t="inlineStr">
        <is>
          <t>RWA</t>
        </is>
      </c>
      <c r="B7" s="19" t="inlineStr">
        <is>
          <t>DIGNAD-lite</t>
        </is>
      </c>
      <c r="C7" s="27" t="n">
        <v>0.2085</v>
      </c>
      <c r="D7" s="27">
        <f>SUMIFS(Outputs!$E:$E,Outputs!$A:$A,$A7,Outputs!$C:$C,"dig.gdp_vs_2024_programme_pct",Outputs!$D:$D,2050)</f>
        <v/>
      </c>
      <c r="E7" s="27" t="n">
        <v>68.36</v>
      </c>
      <c r="F7" s="27">
        <f>SUMIFS(Outputs!$E:$E,Outputs!$A:$A,$A7,Outputs!$C:$C,"dig.debt_programme_pct_gdp",Outputs!$D:$D,2050)</f>
        <v/>
      </c>
      <c r="G7" s="19" t="inlineStr">
        <is>
          <t>yes</t>
        </is>
      </c>
    </row>
    <row r="8">
      <c r="A8" s="19" t="inlineStr">
        <is>
          <t>MOZ</t>
        </is>
      </c>
      <c r="B8" s="19" t="inlineStr">
        <is>
          <t>DIGNAD-lite</t>
        </is>
      </c>
      <c r="C8" s="27" t="n">
        <v>0.7521</v>
      </c>
      <c r="D8" s="27">
        <f>SUMIFS(Outputs!$E:$E,Outputs!$A:$A,$A8,Outputs!$C:$C,"dig.gdp_vs_2024_programme_pct",Outputs!$D:$D,2050)</f>
        <v/>
      </c>
      <c r="E8" s="27" t="n">
        <v>164</v>
      </c>
      <c r="F8" s="27">
        <f>SUMIFS(Outputs!$E:$E,Outputs!$A:$A,$A8,Outputs!$C:$C,"dig.debt_programme_pct_gdp",Outputs!$D:$D,2050)</f>
        <v/>
      </c>
      <c r="G8" s="19" t="inlineStr">
        <is>
          <t>yes</t>
        </is>
      </c>
    </row>
    <row r="9">
      <c r="A9" s="19" t="inlineStr">
        <is>
          <t>GHA</t>
        </is>
      </c>
      <c r="B9" s="19" t="inlineStr">
        <is>
          <t>GIMF-lite</t>
        </is>
      </c>
      <c r="C9" s="27" t="n"/>
      <c r="D9" s="27">
        <f>SUMIFS(Outputs!$E:$E,Outputs!$A:$A,$A9,Outputs!$C:$C,"dig.gdp_vs_2024_programme_pct",Outputs!$D:$D,2050)</f>
        <v/>
      </c>
      <c r="E9" s="27" t="n"/>
      <c r="F9" s="27">
        <f>SUMIFS(Outputs!$E:$E,Outputs!$A:$A,$A9,Outputs!$C:$C,"dig.debt_programme_pct_gdp",Outputs!$D:$D,2050)</f>
        <v/>
      </c>
      <c r="G9" s="19" t="inlineStr">
        <is>
          <t>no: GIMF-lite in the integrated run (adds energy savings, private investment)</t>
        </is>
      </c>
    </row>
    <row r="10">
      <c r="A10" s="19" t="inlineStr">
        <is>
          <t>SEN</t>
        </is>
      </c>
      <c r="B10" s="19" t="inlineStr">
        <is>
          <t>GIMF-lite</t>
        </is>
      </c>
      <c r="C10" s="27" t="n"/>
      <c r="D10" s="27">
        <f>SUMIFS(Outputs!$E:$E,Outputs!$A:$A,$A10,Outputs!$C:$C,"dig.gdp_vs_2024_programme_pct",Outputs!$D:$D,2050)</f>
        <v/>
      </c>
      <c r="E10" s="27" t="n"/>
      <c r="F10" s="27">
        <f>SUMIFS(Outputs!$E:$E,Outputs!$A:$A,$A10,Outputs!$C:$C,"dig.debt_programme_pct_gdp",Outputs!$D:$D,2050)</f>
        <v/>
      </c>
      <c r="G10" s="19" t="inlineStr">
        <is>
          <t>no: GIMF-lite in the integrated run (adds energy savings, private investment)</t>
        </is>
      </c>
    </row>
    <row r="11">
      <c r="A11" s="19" t="inlineStr">
        <is>
          <t>AGO</t>
        </is>
      </c>
      <c r="B11" s="19" t="inlineStr">
        <is>
          <t>DIGNAR-lite</t>
        </is>
      </c>
      <c r="C11" s="27" t="n">
        <v>-20.53</v>
      </c>
      <c r="D11" s="27">
        <f>SUMIFS(Outputs!$E:$E,Outputs!$A:$A,$A11,Outputs!$C:$C,"dig.gdp_vs_2024_programme_pct",Outputs!$D:$D,2050)</f>
        <v/>
      </c>
      <c r="E11" s="27" t="n">
        <v>82.13</v>
      </c>
      <c r="F11" s="27">
        <f>SUMIFS(Outputs!$E:$E,Outputs!$A:$A,$A11,Outputs!$C:$C,"dig.debt_programme_pct_gdp",Outputs!$D:$D,2050)</f>
        <v/>
      </c>
      <c r="G11" s="19" t="inlineStr">
        <is>
          <t>yes</t>
        </is>
      </c>
    </row>
    <row r="12">
      <c r="A12" s="19" t="inlineStr">
        <is>
          <t>COG</t>
        </is>
      </c>
      <c r="B12" s="19" t="inlineStr">
        <is>
          <t>DIGNAR-lite</t>
        </is>
      </c>
      <c r="C12" s="27" t="n">
        <v>-24.76</v>
      </c>
      <c r="D12" s="27">
        <f>SUMIFS(Outputs!$E:$E,Outputs!$A:$A,$A12,Outputs!$C:$C,"dig.gdp_vs_2024_programme_pct",Outputs!$D:$D,2050)</f>
        <v/>
      </c>
      <c r="E12" s="27" t="n">
        <v>131</v>
      </c>
      <c r="F12" s="27">
        <f>SUMIFS(Outputs!$E:$E,Outputs!$A:$A,$A12,Outputs!$C:$C,"dig.debt_programme_pct_gdp",Outputs!$D:$D,2050)</f>
        <v/>
      </c>
      <c r="G12" s="19" t="inlineStr">
        <is>
          <t>yes</t>
        </is>
      </c>
    </row>
    <row r="13">
      <c r="A13" s="19" t="inlineStr">
        <is>
          <t>TCD</t>
        </is>
      </c>
      <c r="B13" s="19" t="inlineStr">
        <is>
          <t>DIGNAR-lite</t>
        </is>
      </c>
      <c r="C13" s="27" t="n">
        <v>-11.27</v>
      </c>
      <c r="D13" s="27">
        <f>SUMIFS(Outputs!$E:$E,Outputs!$A:$A,$A13,Outputs!$C:$C,"dig.gdp_vs_2024_programme_pct",Outputs!$D:$D,2050)</f>
        <v/>
      </c>
      <c r="E13" s="27" t="n">
        <v>87.05</v>
      </c>
      <c r="F13" s="27">
        <f>SUMIFS(Outputs!$E:$E,Outputs!$A:$A,$A13,Outputs!$C:$C,"dig.debt_programme_pct_gdp",Outputs!$D:$D,2050)</f>
        <v/>
      </c>
      <c r="G13" s="19" t="inlineStr">
        <is>
          <t>yes</t>
        </is>
      </c>
    </row>
    <row r="15">
      <c r="A15" s="2" t="inlineStr">
        <is>
          <t>Python: MacroFiscalModels/integrated.py (perfect foresight, forward-looking savers, consumption tax and transfers both respond, fiscal rule tightened where needed). Excel: this workbook (recursive; private capital closes p_lambda_k of the gap each year; one fiscal instrument). The Excel formulas themselves were checked against a Python copy of the same recursive equations (build_dignad_excel.py --check): equal to rounding.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</row>
    <row r="2">
      <c r="A2" t="inlineStr">
        <is>
          <t>GDP, baseline (2024 = 100)</t>
        </is>
      </c>
      <c r="B2" s="28">
        <f>INDEX(Model!$O$1:$O$325,Country!$C$6+0)/INDEX(Model!$O$1:$O$325,Country!$C$6)*100</f>
        <v/>
      </c>
      <c r="C2" s="28">
        <f>INDEX(Model!$O$1:$O$325,Country!$C$6+1)/INDEX(Model!$O$1:$O$325,Country!$C$6)*100</f>
        <v/>
      </c>
      <c r="D2" s="28">
        <f>INDEX(Model!$O$1:$O$325,Country!$C$6+2)/INDEX(Model!$O$1:$O$325,Country!$C$6)*100</f>
        <v/>
      </c>
      <c r="E2" s="28">
        <f>INDEX(Model!$O$1:$O$325,Country!$C$6+3)/INDEX(Model!$O$1:$O$325,Country!$C$6)*100</f>
        <v/>
      </c>
      <c r="F2" s="28">
        <f>INDEX(Model!$O$1:$O$325,Country!$C$6+4)/INDEX(Model!$O$1:$O$325,Country!$C$6)*100</f>
        <v/>
      </c>
      <c r="G2" s="28">
        <f>INDEX(Model!$O$1:$O$325,Country!$C$6+5)/INDEX(Model!$O$1:$O$325,Country!$C$6)*100</f>
        <v/>
      </c>
      <c r="H2" s="28">
        <f>INDEX(Model!$O$1:$O$325,Country!$C$6+6)/INDEX(Model!$O$1:$O$325,Country!$C$6)*100</f>
        <v/>
      </c>
      <c r="I2" s="28">
        <f>INDEX(Model!$O$1:$O$325,Country!$C$6+7)/INDEX(Model!$O$1:$O$325,Country!$C$6)*100</f>
        <v/>
      </c>
      <c r="J2" s="28">
        <f>INDEX(Model!$O$1:$O$325,Country!$C$6+8)/INDEX(Model!$O$1:$O$325,Country!$C$6)*100</f>
        <v/>
      </c>
      <c r="K2" s="28">
        <f>INDEX(Model!$O$1:$O$325,Country!$C$6+9)/INDEX(Model!$O$1:$O$325,Country!$C$6)*100</f>
        <v/>
      </c>
      <c r="L2" s="28">
        <f>INDEX(Model!$O$1:$O$325,Country!$C$6+10)/INDEX(Model!$O$1:$O$325,Country!$C$6)*100</f>
        <v/>
      </c>
      <c r="M2" s="28">
        <f>INDEX(Model!$O$1:$O$325,Country!$C$6+11)/INDEX(Model!$O$1:$O$325,Country!$C$6)*100</f>
        <v/>
      </c>
      <c r="N2" s="28">
        <f>INDEX(Model!$O$1:$O$325,Country!$C$6+12)/INDEX(Model!$O$1:$O$325,Country!$C$6)*100</f>
        <v/>
      </c>
      <c r="O2" s="28">
        <f>INDEX(Model!$O$1:$O$325,Country!$C$6+13)/INDEX(Model!$O$1:$O$325,Country!$C$6)*100</f>
        <v/>
      </c>
      <c r="P2" s="28">
        <f>INDEX(Model!$O$1:$O$325,Country!$C$6+14)/INDEX(Model!$O$1:$O$325,Country!$C$6)*100</f>
        <v/>
      </c>
      <c r="Q2" s="28">
        <f>INDEX(Model!$O$1:$O$325,Country!$C$6+15)/INDEX(Model!$O$1:$O$325,Country!$C$6)*100</f>
        <v/>
      </c>
      <c r="R2" s="28">
        <f>INDEX(Model!$O$1:$O$325,Country!$C$6+16)/INDEX(Model!$O$1:$O$325,Country!$C$6)*100</f>
        <v/>
      </c>
      <c r="S2" s="28">
        <f>INDEX(Model!$O$1:$O$325,Country!$C$6+17)/INDEX(Model!$O$1:$O$325,Country!$C$6)*100</f>
        <v/>
      </c>
      <c r="T2" s="28">
        <f>INDEX(Model!$O$1:$O$325,Country!$C$6+18)/INDEX(Model!$O$1:$O$325,Country!$C$6)*100</f>
        <v/>
      </c>
      <c r="U2" s="28">
        <f>INDEX(Model!$O$1:$O$325,Country!$C$6+19)/INDEX(Model!$O$1:$O$325,Country!$C$6)*100</f>
        <v/>
      </c>
      <c r="V2" s="28">
        <f>INDEX(Model!$O$1:$O$325,Country!$C$6+20)/INDEX(Model!$O$1:$O$325,Country!$C$6)*100</f>
        <v/>
      </c>
      <c r="W2" s="28">
        <f>INDEX(Model!$O$1:$O$325,Country!$C$6+21)/INDEX(Model!$O$1:$O$325,Country!$C$6)*100</f>
        <v/>
      </c>
      <c r="X2" s="28">
        <f>INDEX(Model!$O$1:$O$325,Country!$C$6+22)/INDEX(Model!$O$1:$O$325,Country!$C$6)*100</f>
        <v/>
      </c>
      <c r="Y2" s="28">
        <f>INDEX(Model!$O$1:$O$325,Country!$C$6+23)/INDEX(Model!$O$1:$O$325,Country!$C$6)*100</f>
        <v/>
      </c>
      <c r="Z2" s="28">
        <f>INDEX(Model!$O$1:$O$325,Country!$C$6+24)/INDEX(Model!$O$1:$O$325,Country!$C$6)*100</f>
        <v/>
      </c>
      <c r="AA2" s="28">
        <f>INDEX(Model!$O$1:$O$325,Country!$C$6+25)/INDEX(Model!$O$1:$O$325,Country!$C$6)*100</f>
        <v/>
      </c>
      <c r="AB2" s="28">
        <f>INDEX(Model!$O$1:$O$325,Country!$C$6+26)/INDEX(Model!$O$1:$O$325,Country!$C$6)*100</f>
        <v/>
      </c>
    </row>
    <row r="3">
      <c r="A3" t="inlineStr">
        <is>
          <t>GDP, programme (2024 = 100)</t>
        </is>
      </c>
      <c r="B3" s="28">
        <f>INDEX(Model!$AE$1:$AE$325,Country!$C$6+0)/INDEX(Model!$AE$1:$AE$325,Country!$C$6)*100</f>
        <v/>
      </c>
      <c r="C3" s="28">
        <f>INDEX(Model!$AE$1:$AE$325,Country!$C$6+1)/INDEX(Model!$AE$1:$AE$325,Country!$C$6)*100</f>
        <v/>
      </c>
      <c r="D3" s="28">
        <f>INDEX(Model!$AE$1:$AE$325,Country!$C$6+2)/INDEX(Model!$AE$1:$AE$325,Country!$C$6)*100</f>
        <v/>
      </c>
      <c r="E3" s="28">
        <f>INDEX(Model!$AE$1:$AE$325,Country!$C$6+3)/INDEX(Model!$AE$1:$AE$325,Country!$C$6)*100</f>
        <v/>
      </c>
      <c r="F3" s="28">
        <f>INDEX(Model!$AE$1:$AE$325,Country!$C$6+4)/INDEX(Model!$AE$1:$AE$325,Country!$C$6)*100</f>
        <v/>
      </c>
      <c r="G3" s="28">
        <f>INDEX(Model!$AE$1:$AE$325,Country!$C$6+5)/INDEX(Model!$AE$1:$AE$325,Country!$C$6)*100</f>
        <v/>
      </c>
      <c r="H3" s="28">
        <f>INDEX(Model!$AE$1:$AE$325,Country!$C$6+6)/INDEX(Model!$AE$1:$AE$325,Country!$C$6)*100</f>
        <v/>
      </c>
      <c r="I3" s="28">
        <f>INDEX(Model!$AE$1:$AE$325,Country!$C$6+7)/INDEX(Model!$AE$1:$AE$325,Country!$C$6)*100</f>
        <v/>
      </c>
      <c r="J3" s="28">
        <f>INDEX(Model!$AE$1:$AE$325,Country!$C$6+8)/INDEX(Model!$AE$1:$AE$325,Country!$C$6)*100</f>
        <v/>
      </c>
      <c r="K3" s="28">
        <f>INDEX(Model!$AE$1:$AE$325,Country!$C$6+9)/INDEX(Model!$AE$1:$AE$325,Country!$C$6)*100</f>
        <v/>
      </c>
      <c r="L3" s="28">
        <f>INDEX(Model!$AE$1:$AE$325,Country!$C$6+10)/INDEX(Model!$AE$1:$AE$325,Country!$C$6)*100</f>
        <v/>
      </c>
      <c r="M3" s="28">
        <f>INDEX(Model!$AE$1:$AE$325,Country!$C$6+11)/INDEX(Model!$AE$1:$AE$325,Country!$C$6)*100</f>
        <v/>
      </c>
      <c r="N3" s="28">
        <f>INDEX(Model!$AE$1:$AE$325,Country!$C$6+12)/INDEX(Model!$AE$1:$AE$325,Country!$C$6)*100</f>
        <v/>
      </c>
      <c r="O3" s="28">
        <f>INDEX(Model!$AE$1:$AE$325,Country!$C$6+13)/INDEX(Model!$AE$1:$AE$325,Country!$C$6)*100</f>
        <v/>
      </c>
      <c r="P3" s="28">
        <f>INDEX(Model!$AE$1:$AE$325,Country!$C$6+14)/INDEX(Model!$AE$1:$AE$325,Country!$C$6)*100</f>
        <v/>
      </c>
      <c r="Q3" s="28">
        <f>INDEX(Model!$AE$1:$AE$325,Country!$C$6+15)/INDEX(Model!$AE$1:$AE$325,Country!$C$6)*100</f>
        <v/>
      </c>
      <c r="R3" s="28">
        <f>INDEX(Model!$AE$1:$AE$325,Country!$C$6+16)/INDEX(Model!$AE$1:$AE$325,Country!$C$6)*100</f>
        <v/>
      </c>
      <c r="S3" s="28">
        <f>INDEX(Model!$AE$1:$AE$325,Country!$C$6+17)/INDEX(Model!$AE$1:$AE$325,Country!$C$6)*100</f>
        <v/>
      </c>
      <c r="T3" s="28">
        <f>INDEX(Model!$AE$1:$AE$325,Country!$C$6+18)/INDEX(Model!$AE$1:$AE$325,Country!$C$6)*100</f>
        <v/>
      </c>
      <c r="U3" s="28">
        <f>INDEX(Model!$AE$1:$AE$325,Country!$C$6+19)/INDEX(Model!$AE$1:$AE$325,Country!$C$6)*100</f>
        <v/>
      </c>
      <c r="V3" s="28">
        <f>INDEX(Model!$AE$1:$AE$325,Country!$C$6+20)/INDEX(Model!$AE$1:$AE$325,Country!$C$6)*100</f>
        <v/>
      </c>
      <c r="W3" s="28">
        <f>INDEX(Model!$AE$1:$AE$325,Country!$C$6+21)/INDEX(Model!$AE$1:$AE$325,Country!$C$6)*100</f>
        <v/>
      </c>
      <c r="X3" s="28">
        <f>INDEX(Model!$AE$1:$AE$325,Country!$C$6+22)/INDEX(Model!$AE$1:$AE$325,Country!$C$6)*100</f>
        <v/>
      </c>
      <c r="Y3" s="28">
        <f>INDEX(Model!$AE$1:$AE$325,Country!$C$6+23)/INDEX(Model!$AE$1:$AE$325,Country!$C$6)*100</f>
        <v/>
      </c>
      <c r="Z3" s="28">
        <f>INDEX(Model!$AE$1:$AE$325,Country!$C$6+24)/INDEX(Model!$AE$1:$AE$325,Country!$C$6)*100</f>
        <v/>
      </c>
      <c r="AA3" s="28">
        <f>INDEX(Model!$AE$1:$AE$325,Country!$C$6+25)/INDEX(Model!$AE$1:$AE$325,Country!$C$6)*100</f>
        <v/>
      </c>
      <c r="AB3" s="28">
        <f>INDEX(Model!$AE$1:$AE$325,Country!$C$6+26)/INDEX(Model!$AE$1:$AE$325,Country!$C$6)*100</f>
        <v/>
      </c>
    </row>
    <row r="4">
      <c r="A4" t="inlineStr">
        <is>
          <t>Debt, baseline (% GDP)</t>
        </is>
      </c>
      <c r="B4" s="28">
        <f>INDEX(Model!$X$1:$X$325,Country!$C$6+0)*100</f>
        <v/>
      </c>
      <c r="C4" s="28">
        <f>INDEX(Model!$X$1:$X$325,Country!$C$6+1)*100</f>
        <v/>
      </c>
      <c r="D4" s="28">
        <f>INDEX(Model!$X$1:$X$325,Country!$C$6+2)*100</f>
        <v/>
      </c>
      <c r="E4" s="28">
        <f>INDEX(Model!$X$1:$X$325,Country!$C$6+3)*100</f>
        <v/>
      </c>
      <c r="F4" s="28">
        <f>INDEX(Model!$X$1:$X$325,Country!$C$6+4)*100</f>
        <v/>
      </c>
      <c r="G4" s="28">
        <f>INDEX(Model!$X$1:$X$325,Country!$C$6+5)*100</f>
        <v/>
      </c>
      <c r="H4" s="28">
        <f>INDEX(Model!$X$1:$X$325,Country!$C$6+6)*100</f>
        <v/>
      </c>
      <c r="I4" s="28">
        <f>INDEX(Model!$X$1:$X$325,Country!$C$6+7)*100</f>
        <v/>
      </c>
      <c r="J4" s="28">
        <f>INDEX(Model!$X$1:$X$325,Country!$C$6+8)*100</f>
        <v/>
      </c>
      <c r="K4" s="28">
        <f>INDEX(Model!$X$1:$X$325,Country!$C$6+9)*100</f>
        <v/>
      </c>
      <c r="L4" s="28">
        <f>INDEX(Model!$X$1:$X$325,Country!$C$6+10)*100</f>
        <v/>
      </c>
      <c r="M4" s="28">
        <f>INDEX(Model!$X$1:$X$325,Country!$C$6+11)*100</f>
        <v/>
      </c>
      <c r="N4" s="28">
        <f>INDEX(Model!$X$1:$X$325,Country!$C$6+12)*100</f>
        <v/>
      </c>
      <c r="O4" s="28">
        <f>INDEX(Model!$X$1:$X$325,Country!$C$6+13)*100</f>
        <v/>
      </c>
      <c r="P4" s="28">
        <f>INDEX(Model!$X$1:$X$325,Country!$C$6+14)*100</f>
        <v/>
      </c>
      <c r="Q4" s="28">
        <f>INDEX(Model!$X$1:$X$325,Country!$C$6+15)*100</f>
        <v/>
      </c>
      <c r="R4" s="28">
        <f>INDEX(Model!$X$1:$X$325,Country!$C$6+16)*100</f>
        <v/>
      </c>
      <c r="S4" s="28">
        <f>INDEX(Model!$X$1:$X$325,Country!$C$6+17)*100</f>
        <v/>
      </c>
      <c r="T4" s="28">
        <f>INDEX(Model!$X$1:$X$325,Country!$C$6+18)*100</f>
        <v/>
      </c>
      <c r="U4" s="28">
        <f>INDEX(Model!$X$1:$X$325,Country!$C$6+19)*100</f>
        <v/>
      </c>
      <c r="V4" s="28">
        <f>INDEX(Model!$X$1:$X$325,Country!$C$6+20)*100</f>
        <v/>
      </c>
      <c r="W4" s="28">
        <f>INDEX(Model!$X$1:$X$325,Country!$C$6+21)*100</f>
        <v/>
      </c>
      <c r="X4" s="28">
        <f>INDEX(Model!$X$1:$X$325,Country!$C$6+22)*100</f>
        <v/>
      </c>
      <c r="Y4" s="28">
        <f>INDEX(Model!$X$1:$X$325,Country!$C$6+23)*100</f>
        <v/>
      </c>
      <c r="Z4" s="28">
        <f>INDEX(Model!$X$1:$X$325,Country!$C$6+24)*100</f>
        <v/>
      </c>
      <c r="AA4" s="28">
        <f>INDEX(Model!$X$1:$X$325,Country!$C$6+25)*100</f>
        <v/>
      </c>
      <c r="AB4" s="28">
        <f>INDEX(Model!$X$1:$X$325,Country!$C$6+26)*100</f>
        <v/>
      </c>
    </row>
    <row r="5">
      <c r="A5" t="inlineStr">
        <is>
          <t>Debt, programme (% GDP)</t>
        </is>
      </c>
      <c r="B5" s="28">
        <f>INDEX(Model!$AN$1:$AN$325,Country!$C$6+0)*100</f>
        <v/>
      </c>
      <c r="C5" s="28">
        <f>INDEX(Model!$AN$1:$AN$325,Country!$C$6+1)*100</f>
        <v/>
      </c>
      <c r="D5" s="28">
        <f>INDEX(Model!$AN$1:$AN$325,Country!$C$6+2)*100</f>
        <v/>
      </c>
      <c r="E5" s="28">
        <f>INDEX(Model!$AN$1:$AN$325,Country!$C$6+3)*100</f>
        <v/>
      </c>
      <c r="F5" s="28">
        <f>INDEX(Model!$AN$1:$AN$325,Country!$C$6+4)*100</f>
        <v/>
      </c>
      <c r="G5" s="28">
        <f>INDEX(Model!$AN$1:$AN$325,Country!$C$6+5)*100</f>
        <v/>
      </c>
      <c r="H5" s="28">
        <f>INDEX(Model!$AN$1:$AN$325,Country!$C$6+6)*100</f>
        <v/>
      </c>
      <c r="I5" s="28">
        <f>INDEX(Model!$AN$1:$AN$325,Country!$C$6+7)*100</f>
        <v/>
      </c>
      <c r="J5" s="28">
        <f>INDEX(Model!$AN$1:$AN$325,Country!$C$6+8)*100</f>
        <v/>
      </c>
      <c r="K5" s="28">
        <f>INDEX(Model!$AN$1:$AN$325,Country!$C$6+9)*100</f>
        <v/>
      </c>
      <c r="L5" s="28">
        <f>INDEX(Model!$AN$1:$AN$325,Country!$C$6+10)*100</f>
        <v/>
      </c>
      <c r="M5" s="28">
        <f>INDEX(Model!$AN$1:$AN$325,Country!$C$6+11)*100</f>
        <v/>
      </c>
      <c r="N5" s="28">
        <f>INDEX(Model!$AN$1:$AN$325,Country!$C$6+12)*100</f>
        <v/>
      </c>
      <c r="O5" s="28">
        <f>INDEX(Model!$AN$1:$AN$325,Country!$C$6+13)*100</f>
        <v/>
      </c>
      <c r="P5" s="28">
        <f>INDEX(Model!$AN$1:$AN$325,Country!$C$6+14)*100</f>
        <v/>
      </c>
      <c r="Q5" s="28">
        <f>INDEX(Model!$AN$1:$AN$325,Country!$C$6+15)*100</f>
        <v/>
      </c>
      <c r="R5" s="28">
        <f>INDEX(Model!$AN$1:$AN$325,Country!$C$6+16)*100</f>
        <v/>
      </c>
      <c r="S5" s="28">
        <f>INDEX(Model!$AN$1:$AN$325,Country!$C$6+17)*100</f>
        <v/>
      </c>
      <c r="T5" s="28">
        <f>INDEX(Model!$AN$1:$AN$325,Country!$C$6+18)*100</f>
        <v/>
      </c>
      <c r="U5" s="28">
        <f>INDEX(Model!$AN$1:$AN$325,Country!$C$6+19)*100</f>
        <v/>
      </c>
      <c r="V5" s="28">
        <f>INDEX(Model!$AN$1:$AN$325,Country!$C$6+20)*100</f>
        <v/>
      </c>
      <c r="W5" s="28">
        <f>INDEX(Model!$AN$1:$AN$325,Country!$C$6+21)*100</f>
        <v/>
      </c>
      <c r="X5" s="28">
        <f>INDEX(Model!$AN$1:$AN$325,Country!$C$6+22)*100</f>
        <v/>
      </c>
      <c r="Y5" s="28">
        <f>INDEX(Model!$AN$1:$AN$325,Country!$C$6+23)*100</f>
        <v/>
      </c>
      <c r="Z5" s="28">
        <f>INDEX(Model!$AN$1:$AN$325,Country!$C$6+24)*100</f>
        <v/>
      </c>
      <c r="AA5" s="28">
        <f>INDEX(Model!$AN$1:$AN$325,Country!$C$6+25)*100</f>
        <v/>
      </c>
      <c r="AB5" s="28">
        <f>INDEX(Model!$AN$1:$AN$325,Country!$C$6+26)*100</f>
        <v/>
      </c>
    </row>
    <row r="6">
      <c r="A6" t="inlineStr">
        <is>
          <t>Transfers, baseline (% GDP)</t>
        </is>
      </c>
      <c r="B6" s="28">
        <f>INDEX(Model!$S$1:$S$325,Country!$C$6+0)*100</f>
        <v/>
      </c>
      <c r="C6" s="28">
        <f>INDEX(Model!$S$1:$S$325,Country!$C$6+1)*100</f>
        <v/>
      </c>
      <c r="D6" s="28">
        <f>INDEX(Model!$S$1:$S$325,Country!$C$6+2)*100</f>
        <v/>
      </c>
      <c r="E6" s="28">
        <f>INDEX(Model!$S$1:$S$325,Country!$C$6+3)*100</f>
        <v/>
      </c>
      <c r="F6" s="28">
        <f>INDEX(Model!$S$1:$S$325,Country!$C$6+4)*100</f>
        <v/>
      </c>
      <c r="G6" s="28">
        <f>INDEX(Model!$S$1:$S$325,Country!$C$6+5)*100</f>
        <v/>
      </c>
      <c r="H6" s="28">
        <f>INDEX(Model!$S$1:$S$325,Country!$C$6+6)*100</f>
        <v/>
      </c>
      <c r="I6" s="28">
        <f>INDEX(Model!$S$1:$S$325,Country!$C$6+7)*100</f>
        <v/>
      </c>
      <c r="J6" s="28">
        <f>INDEX(Model!$S$1:$S$325,Country!$C$6+8)*100</f>
        <v/>
      </c>
      <c r="K6" s="28">
        <f>INDEX(Model!$S$1:$S$325,Country!$C$6+9)*100</f>
        <v/>
      </c>
      <c r="L6" s="28">
        <f>INDEX(Model!$S$1:$S$325,Country!$C$6+10)*100</f>
        <v/>
      </c>
      <c r="M6" s="28">
        <f>INDEX(Model!$S$1:$S$325,Country!$C$6+11)*100</f>
        <v/>
      </c>
      <c r="N6" s="28">
        <f>INDEX(Model!$S$1:$S$325,Country!$C$6+12)*100</f>
        <v/>
      </c>
      <c r="O6" s="28">
        <f>INDEX(Model!$S$1:$S$325,Country!$C$6+13)*100</f>
        <v/>
      </c>
      <c r="P6" s="28">
        <f>INDEX(Model!$S$1:$S$325,Country!$C$6+14)*100</f>
        <v/>
      </c>
      <c r="Q6" s="28">
        <f>INDEX(Model!$S$1:$S$325,Country!$C$6+15)*100</f>
        <v/>
      </c>
      <c r="R6" s="28">
        <f>INDEX(Model!$S$1:$S$325,Country!$C$6+16)*100</f>
        <v/>
      </c>
      <c r="S6" s="28">
        <f>INDEX(Model!$S$1:$S$325,Country!$C$6+17)*100</f>
        <v/>
      </c>
      <c r="T6" s="28">
        <f>INDEX(Model!$S$1:$S$325,Country!$C$6+18)*100</f>
        <v/>
      </c>
      <c r="U6" s="28">
        <f>INDEX(Model!$S$1:$S$325,Country!$C$6+19)*100</f>
        <v/>
      </c>
      <c r="V6" s="28">
        <f>INDEX(Model!$S$1:$S$325,Country!$C$6+20)*100</f>
        <v/>
      </c>
      <c r="W6" s="28">
        <f>INDEX(Model!$S$1:$S$325,Country!$C$6+21)*100</f>
        <v/>
      </c>
      <c r="X6" s="28">
        <f>INDEX(Model!$S$1:$S$325,Country!$C$6+22)*100</f>
        <v/>
      </c>
      <c r="Y6" s="28">
        <f>INDEX(Model!$S$1:$S$325,Country!$C$6+23)*100</f>
        <v/>
      </c>
      <c r="Z6" s="28">
        <f>INDEX(Model!$S$1:$S$325,Country!$C$6+24)*100</f>
        <v/>
      </c>
      <c r="AA6" s="28">
        <f>INDEX(Model!$S$1:$S$325,Country!$C$6+25)*100</f>
        <v/>
      </c>
      <c r="AB6" s="28">
        <f>INDEX(Model!$S$1:$S$325,Country!$C$6+26)*100</f>
        <v/>
      </c>
    </row>
    <row r="7">
      <c r="A7" t="inlineStr">
        <is>
          <t>Transfers, programme (% GDP)</t>
        </is>
      </c>
      <c r="B7" s="28">
        <f>INDEX(Model!$AI$1:$AI$325,Country!$C$6+0)*100</f>
        <v/>
      </c>
      <c r="C7" s="28">
        <f>INDEX(Model!$AI$1:$AI$325,Country!$C$6+1)*100</f>
        <v/>
      </c>
      <c r="D7" s="28">
        <f>INDEX(Model!$AI$1:$AI$325,Country!$C$6+2)*100</f>
        <v/>
      </c>
      <c r="E7" s="28">
        <f>INDEX(Model!$AI$1:$AI$325,Country!$C$6+3)*100</f>
        <v/>
      </c>
      <c r="F7" s="28">
        <f>INDEX(Model!$AI$1:$AI$325,Country!$C$6+4)*100</f>
        <v/>
      </c>
      <c r="G7" s="28">
        <f>INDEX(Model!$AI$1:$AI$325,Country!$C$6+5)*100</f>
        <v/>
      </c>
      <c r="H7" s="28">
        <f>INDEX(Model!$AI$1:$AI$325,Country!$C$6+6)*100</f>
        <v/>
      </c>
      <c r="I7" s="28">
        <f>INDEX(Model!$AI$1:$AI$325,Country!$C$6+7)*100</f>
        <v/>
      </c>
      <c r="J7" s="28">
        <f>INDEX(Model!$AI$1:$AI$325,Country!$C$6+8)*100</f>
        <v/>
      </c>
      <c r="K7" s="28">
        <f>INDEX(Model!$AI$1:$AI$325,Country!$C$6+9)*100</f>
        <v/>
      </c>
      <c r="L7" s="28">
        <f>INDEX(Model!$AI$1:$AI$325,Country!$C$6+10)*100</f>
        <v/>
      </c>
      <c r="M7" s="28">
        <f>INDEX(Model!$AI$1:$AI$325,Country!$C$6+11)*100</f>
        <v/>
      </c>
      <c r="N7" s="28">
        <f>INDEX(Model!$AI$1:$AI$325,Country!$C$6+12)*100</f>
        <v/>
      </c>
      <c r="O7" s="28">
        <f>INDEX(Model!$AI$1:$AI$325,Country!$C$6+13)*100</f>
        <v/>
      </c>
      <c r="P7" s="28">
        <f>INDEX(Model!$AI$1:$AI$325,Country!$C$6+14)*100</f>
        <v/>
      </c>
      <c r="Q7" s="28">
        <f>INDEX(Model!$AI$1:$AI$325,Country!$C$6+15)*100</f>
        <v/>
      </c>
      <c r="R7" s="28">
        <f>INDEX(Model!$AI$1:$AI$325,Country!$C$6+16)*100</f>
        <v/>
      </c>
      <c r="S7" s="28">
        <f>INDEX(Model!$AI$1:$AI$325,Country!$C$6+17)*100</f>
        <v/>
      </c>
      <c r="T7" s="28">
        <f>INDEX(Model!$AI$1:$AI$325,Country!$C$6+18)*100</f>
        <v/>
      </c>
      <c r="U7" s="28">
        <f>INDEX(Model!$AI$1:$AI$325,Country!$C$6+19)*100</f>
        <v/>
      </c>
      <c r="V7" s="28">
        <f>INDEX(Model!$AI$1:$AI$325,Country!$C$6+20)*100</f>
        <v/>
      </c>
      <c r="W7" s="28">
        <f>INDEX(Model!$AI$1:$AI$325,Country!$C$6+21)*100</f>
        <v/>
      </c>
      <c r="X7" s="28">
        <f>INDEX(Model!$AI$1:$AI$325,Country!$C$6+22)*100</f>
        <v/>
      </c>
      <c r="Y7" s="28">
        <f>INDEX(Model!$AI$1:$AI$325,Country!$C$6+23)*100</f>
        <v/>
      </c>
      <c r="Z7" s="28">
        <f>INDEX(Model!$AI$1:$AI$325,Country!$C$6+24)*100</f>
        <v/>
      </c>
      <c r="AA7" s="28">
        <f>INDEX(Model!$AI$1:$AI$325,Country!$C$6+25)*100</f>
        <v/>
      </c>
      <c r="AB7" s="28">
        <f>INDEX(Model!$AI$1:$AI$325,Country!$C$6+26)*100</f>
        <v/>
      </c>
    </row>
    <row r="8">
      <c r="A8" t="inlineStr">
        <is>
          <t>Programme spending (% GDP)</t>
        </is>
      </c>
      <c r="B8" s="28">
        <f>INDEX(Model!$AF$1:$AF$325,Country!$C$6+0)*100</f>
        <v/>
      </c>
      <c r="C8" s="28">
        <f>INDEX(Model!$AF$1:$AF$325,Country!$C$6+1)*100</f>
        <v/>
      </c>
      <c r="D8" s="28">
        <f>INDEX(Model!$AF$1:$AF$325,Country!$C$6+2)*100</f>
        <v/>
      </c>
      <c r="E8" s="28">
        <f>INDEX(Model!$AF$1:$AF$325,Country!$C$6+3)*100</f>
        <v/>
      </c>
      <c r="F8" s="28">
        <f>INDEX(Model!$AF$1:$AF$325,Country!$C$6+4)*100</f>
        <v/>
      </c>
      <c r="G8" s="28">
        <f>INDEX(Model!$AF$1:$AF$325,Country!$C$6+5)*100</f>
        <v/>
      </c>
      <c r="H8" s="28">
        <f>INDEX(Model!$AF$1:$AF$325,Country!$C$6+6)*100</f>
        <v/>
      </c>
      <c r="I8" s="28">
        <f>INDEX(Model!$AF$1:$AF$325,Country!$C$6+7)*100</f>
        <v/>
      </c>
      <c r="J8" s="28">
        <f>INDEX(Model!$AF$1:$AF$325,Country!$C$6+8)*100</f>
        <v/>
      </c>
      <c r="K8" s="28">
        <f>INDEX(Model!$AF$1:$AF$325,Country!$C$6+9)*100</f>
        <v/>
      </c>
      <c r="L8" s="28">
        <f>INDEX(Model!$AF$1:$AF$325,Country!$C$6+10)*100</f>
        <v/>
      </c>
      <c r="M8" s="28">
        <f>INDEX(Model!$AF$1:$AF$325,Country!$C$6+11)*100</f>
        <v/>
      </c>
      <c r="N8" s="28">
        <f>INDEX(Model!$AF$1:$AF$325,Country!$C$6+12)*100</f>
        <v/>
      </c>
      <c r="O8" s="28">
        <f>INDEX(Model!$AF$1:$AF$325,Country!$C$6+13)*100</f>
        <v/>
      </c>
      <c r="P8" s="28">
        <f>INDEX(Model!$AF$1:$AF$325,Country!$C$6+14)*100</f>
        <v/>
      </c>
      <c r="Q8" s="28">
        <f>INDEX(Model!$AF$1:$AF$325,Country!$C$6+15)*100</f>
        <v/>
      </c>
      <c r="R8" s="28">
        <f>INDEX(Model!$AF$1:$AF$325,Country!$C$6+16)*100</f>
        <v/>
      </c>
      <c r="S8" s="28">
        <f>INDEX(Model!$AF$1:$AF$325,Country!$C$6+17)*100</f>
        <v/>
      </c>
      <c r="T8" s="28">
        <f>INDEX(Model!$AF$1:$AF$325,Country!$C$6+18)*100</f>
        <v/>
      </c>
      <c r="U8" s="28">
        <f>INDEX(Model!$AF$1:$AF$325,Country!$C$6+19)*100</f>
        <v/>
      </c>
      <c r="V8" s="28">
        <f>INDEX(Model!$AF$1:$AF$325,Country!$C$6+20)*100</f>
        <v/>
      </c>
      <c r="W8" s="28">
        <f>INDEX(Model!$AF$1:$AF$325,Country!$C$6+21)*100</f>
        <v/>
      </c>
      <c r="X8" s="28">
        <f>INDEX(Model!$AF$1:$AF$325,Country!$C$6+22)*100</f>
        <v/>
      </c>
      <c r="Y8" s="28">
        <f>INDEX(Model!$AF$1:$AF$325,Country!$C$6+23)*100</f>
        <v/>
      </c>
      <c r="Z8" s="28">
        <f>INDEX(Model!$AF$1:$AF$325,Country!$C$6+24)*100</f>
        <v/>
      </c>
      <c r="AA8" s="28">
        <f>INDEX(Model!$AF$1:$AF$325,Country!$C$6+25)*100</f>
        <v/>
      </c>
      <c r="AB8" s="28">
        <f>INDEX(Model!$AF$1:$AF$325,Country!$C$6+26)*100</f>
        <v/>
      </c>
    </row>
    <row r="9">
      <c r="A9" t="inlineStr">
        <is>
          <t>Pricing revenue (% GDP)</t>
        </is>
      </c>
      <c r="B9" s="28">
        <f>INDEX(Model!$J$1:$J$325,Country!$C$6+0)*100</f>
        <v/>
      </c>
      <c r="C9" s="28">
        <f>INDEX(Model!$J$1:$J$325,Country!$C$6+1)*100</f>
        <v/>
      </c>
      <c r="D9" s="28">
        <f>INDEX(Model!$J$1:$J$325,Country!$C$6+2)*100</f>
        <v/>
      </c>
      <c r="E9" s="28">
        <f>INDEX(Model!$J$1:$J$325,Country!$C$6+3)*100</f>
        <v/>
      </c>
      <c r="F9" s="28">
        <f>INDEX(Model!$J$1:$J$325,Country!$C$6+4)*100</f>
        <v/>
      </c>
      <c r="G9" s="28">
        <f>INDEX(Model!$J$1:$J$325,Country!$C$6+5)*100</f>
        <v/>
      </c>
      <c r="H9" s="28">
        <f>INDEX(Model!$J$1:$J$325,Country!$C$6+6)*100</f>
        <v/>
      </c>
      <c r="I9" s="28">
        <f>INDEX(Model!$J$1:$J$325,Country!$C$6+7)*100</f>
        <v/>
      </c>
      <c r="J9" s="28">
        <f>INDEX(Model!$J$1:$J$325,Country!$C$6+8)*100</f>
        <v/>
      </c>
      <c r="K9" s="28">
        <f>INDEX(Model!$J$1:$J$325,Country!$C$6+9)*100</f>
        <v/>
      </c>
      <c r="L9" s="28">
        <f>INDEX(Model!$J$1:$J$325,Country!$C$6+10)*100</f>
        <v/>
      </c>
      <c r="M9" s="28">
        <f>INDEX(Model!$J$1:$J$325,Country!$C$6+11)*100</f>
        <v/>
      </c>
      <c r="N9" s="28">
        <f>INDEX(Model!$J$1:$J$325,Country!$C$6+12)*100</f>
        <v/>
      </c>
      <c r="O9" s="28">
        <f>INDEX(Model!$J$1:$J$325,Country!$C$6+13)*100</f>
        <v/>
      </c>
      <c r="P9" s="28">
        <f>INDEX(Model!$J$1:$J$325,Country!$C$6+14)*100</f>
        <v/>
      </c>
      <c r="Q9" s="28">
        <f>INDEX(Model!$J$1:$J$325,Country!$C$6+15)*100</f>
        <v/>
      </c>
      <c r="R9" s="28">
        <f>INDEX(Model!$J$1:$J$325,Country!$C$6+16)*100</f>
        <v/>
      </c>
      <c r="S9" s="28">
        <f>INDEX(Model!$J$1:$J$325,Country!$C$6+17)*100</f>
        <v/>
      </c>
      <c r="T9" s="28">
        <f>INDEX(Model!$J$1:$J$325,Country!$C$6+18)*100</f>
        <v/>
      </c>
      <c r="U9" s="28">
        <f>INDEX(Model!$J$1:$J$325,Country!$C$6+19)*100</f>
        <v/>
      </c>
      <c r="V9" s="28">
        <f>INDEX(Model!$J$1:$J$325,Country!$C$6+20)*100</f>
        <v/>
      </c>
      <c r="W9" s="28">
        <f>INDEX(Model!$J$1:$J$325,Country!$C$6+21)*100</f>
        <v/>
      </c>
      <c r="X9" s="28">
        <f>INDEX(Model!$J$1:$J$325,Country!$C$6+22)*100</f>
        <v/>
      </c>
      <c r="Y9" s="28">
        <f>INDEX(Model!$J$1:$J$325,Country!$C$6+23)*100</f>
        <v/>
      </c>
      <c r="Z9" s="28">
        <f>INDEX(Model!$J$1:$J$325,Country!$C$6+24)*100</f>
        <v/>
      </c>
      <c r="AA9" s="28">
        <f>INDEX(Model!$J$1:$J$325,Country!$C$6+25)*100</f>
        <v/>
      </c>
      <c r="AB9" s="28">
        <f>INDEX(Model!$J$1:$J$325,Country!$C$6+26)*100</f>
        <v/>
      </c>
    </row>
    <row r="10">
      <c r="A10" t="inlineStr">
        <is>
          <t>Fossil rents (% GDP)</t>
        </is>
      </c>
      <c r="B10" s="28">
        <f>INDEX(Model!$G$1:$G$325,Country!$C$6+0)*100</f>
        <v/>
      </c>
      <c r="C10" s="28">
        <f>INDEX(Model!$G$1:$G$325,Country!$C$6+1)*100</f>
        <v/>
      </c>
      <c r="D10" s="28">
        <f>INDEX(Model!$G$1:$G$325,Country!$C$6+2)*100</f>
        <v/>
      </c>
      <c r="E10" s="28">
        <f>INDEX(Model!$G$1:$G$325,Country!$C$6+3)*100</f>
        <v/>
      </c>
      <c r="F10" s="28">
        <f>INDEX(Model!$G$1:$G$325,Country!$C$6+4)*100</f>
        <v/>
      </c>
      <c r="G10" s="28">
        <f>INDEX(Model!$G$1:$G$325,Country!$C$6+5)*100</f>
        <v/>
      </c>
      <c r="H10" s="28">
        <f>INDEX(Model!$G$1:$G$325,Country!$C$6+6)*100</f>
        <v/>
      </c>
      <c r="I10" s="28">
        <f>INDEX(Model!$G$1:$G$325,Country!$C$6+7)*100</f>
        <v/>
      </c>
      <c r="J10" s="28">
        <f>INDEX(Model!$G$1:$G$325,Country!$C$6+8)*100</f>
        <v/>
      </c>
      <c r="K10" s="28">
        <f>INDEX(Model!$G$1:$G$325,Country!$C$6+9)*100</f>
        <v/>
      </c>
      <c r="L10" s="28">
        <f>INDEX(Model!$G$1:$G$325,Country!$C$6+10)*100</f>
        <v/>
      </c>
      <c r="M10" s="28">
        <f>INDEX(Model!$G$1:$G$325,Country!$C$6+11)*100</f>
        <v/>
      </c>
      <c r="N10" s="28">
        <f>INDEX(Model!$G$1:$G$325,Country!$C$6+12)*100</f>
        <v/>
      </c>
      <c r="O10" s="28">
        <f>INDEX(Model!$G$1:$G$325,Country!$C$6+13)*100</f>
        <v/>
      </c>
      <c r="P10" s="28">
        <f>INDEX(Model!$G$1:$G$325,Country!$C$6+14)*100</f>
        <v/>
      </c>
      <c r="Q10" s="28">
        <f>INDEX(Model!$G$1:$G$325,Country!$C$6+15)*100</f>
        <v/>
      </c>
      <c r="R10" s="28">
        <f>INDEX(Model!$G$1:$G$325,Country!$C$6+16)*100</f>
        <v/>
      </c>
      <c r="S10" s="28">
        <f>INDEX(Model!$G$1:$G$325,Country!$C$6+17)*100</f>
        <v/>
      </c>
      <c r="T10" s="28">
        <f>INDEX(Model!$G$1:$G$325,Country!$C$6+18)*100</f>
        <v/>
      </c>
      <c r="U10" s="28">
        <f>INDEX(Model!$G$1:$G$325,Country!$C$6+19)*100</f>
        <v/>
      </c>
      <c r="V10" s="28">
        <f>INDEX(Model!$G$1:$G$325,Country!$C$6+20)*100</f>
        <v/>
      </c>
      <c r="W10" s="28">
        <f>INDEX(Model!$G$1:$G$325,Country!$C$6+21)*100</f>
        <v/>
      </c>
      <c r="X10" s="28">
        <f>INDEX(Model!$G$1:$G$325,Country!$C$6+22)*100</f>
        <v/>
      </c>
      <c r="Y10" s="28">
        <f>INDEX(Model!$G$1:$G$325,Country!$C$6+23)*100</f>
        <v/>
      </c>
      <c r="Z10" s="28">
        <f>INDEX(Model!$G$1:$G$325,Country!$C$6+24)*100</f>
        <v/>
      </c>
      <c r="AA10" s="28">
        <f>INDEX(Model!$G$1:$G$325,Country!$C$6+25)*100</f>
        <v/>
      </c>
      <c r="AB10" s="28">
        <f>INDEX(Model!$G$1:$G$325,Country!$C$6+26)*100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2026-10-20T14:52:46Z</dcterms:created>
  <dcterms:modified xmlns:dcterms="http://purl.org/dc/terms/" xmlns:xsi="http://www.w3.org/2001/XMLSchema-instance" xsi:type="dcterms:W3CDTF">2026-10-20T14:52:47Z</dcterms:modified>
</cp:coreProperties>
</file>